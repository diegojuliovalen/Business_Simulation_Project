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edu-my.sharepoint.com/personal/s2111745_bi_no/Documents/"/>
    </mc:Choice>
  </mc:AlternateContent>
  <xr:revisionPtr revIDLastSave="1529" documentId="8_{A8216813-3259-D345-AE98-D3BC0D5E650E}" xr6:coauthVersionLast="47" xr6:coauthVersionMax="47" xr10:uidLastSave="{CECEB822-7B5F-A04B-872F-E605A612C17D}"/>
  <bookViews>
    <workbookView xWindow="0" yWindow="500" windowWidth="28800" windowHeight="15940" activeTab="6" xr2:uid="{98170F8A-F8D4-D34C-A4AA-E0FED7300B13}"/>
  </bookViews>
  <sheets>
    <sheet name="Main Statistics" sheetId="14" r:id="rId1"/>
    <sheet name="Varity A - Carménère" sheetId="1" r:id="rId2"/>
    <sheet name="Varity B - Cabarnet Savignon" sheetId="7" r:id="rId3"/>
    <sheet name="Varity C - Syrah" sheetId="5" r:id="rId4"/>
    <sheet name="NPV - Allt.1" sheetId="8" r:id="rId5"/>
    <sheet name="NPV - Allt.2" sheetId="9" r:id="rId6"/>
    <sheet name="NPV - Allt.3" sheetId="10" r:id="rId7"/>
    <sheet name="NPV - Allt.4" sheetId="11" r:id="rId8"/>
    <sheet name="NPV - Allt5.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4" l="1"/>
  <c r="H12" i="14"/>
  <c r="G13" i="14"/>
  <c r="G12" i="14"/>
  <c r="F13" i="14"/>
  <c r="F12" i="14"/>
  <c r="E13" i="14"/>
  <c r="E12" i="14"/>
  <c r="D13" i="14"/>
  <c r="D12" i="14"/>
  <c r="H10" i="14"/>
  <c r="G10" i="14"/>
  <c r="F10" i="14"/>
  <c r="E10" i="14"/>
  <c r="D10" i="14"/>
  <c r="H11" i="14"/>
  <c r="G11" i="14"/>
  <c r="F11" i="14"/>
  <c r="E11" i="14"/>
  <c r="D11" i="14"/>
  <c r="H9" i="14"/>
  <c r="G9" i="14"/>
  <c r="F9" i="14"/>
  <c r="E9" i="14"/>
  <c r="D9" i="14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L611" i="10"/>
  <c r="L612" i="10"/>
  <c r="L613" i="10"/>
  <c r="L614" i="10"/>
  <c r="L615" i="10"/>
  <c r="L616" i="10"/>
  <c r="L617" i="10"/>
  <c r="L618" i="10"/>
  <c r="L619" i="10"/>
  <c r="L620" i="10"/>
  <c r="L621" i="10"/>
  <c r="L622" i="10"/>
  <c r="L623" i="10"/>
  <c r="L624" i="10"/>
  <c r="L625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6" i="10"/>
  <c r="L657" i="10"/>
  <c r="L658" i="10"/>
  <c r="L659" i="10"/>
  <c r="L660" i="10"/>
  <c r="L661" i="10"/>
  <c r="L662" i="10"/>
  <c r="L663" i="10"/>
  <c r="L664" i="10"/>
  <c r="L665" i="10"/>
  <c r="L666" i="10"/>
  <c r="L667" i="10"/>
  <c r="L668" i="10"/>
  <c r="L669" i="10"/>
  <c r="L670" i="10"/>
  <c r="L671" i="10"/>
  <c r="L672" i="10"/>
  <c r="L673" i="10"/>
  <c r="L674" i="10"/>
  <c r="L675" i="10"/>
  <c r="L676" i="10"/>
  <c r="L677" i="10"/>
  <c r="L678" i="10"/>
  <c r="L679" i="10"/>
  <c r="L680" i="10"/>
  <c r="L681" i="10"/>
  <c r="L682" i="10"/>
  <c r="L683" i="10"/>
  <c r="L684" i="10"/>
  <c r="L685" i="10"/>
  <c r="L686" i="10"/>
  <c r="L687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15" i="10"/>
  <c r="L716" i="10"/>
  <c r="L717" i="10"/>
  <c r="L718" i="10"/>
  <c r="L719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49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0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1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2" i="10"/>
  <c r="L843" i="10"/>
  <c r="L844" i="10"/>
  <c r="L845" i="10"/>
  <c r="L846" i="10"/>
  <c r="L847" i="10"/>
  <c r="L848" i="10"/>
  <c r="L849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L867" i="10"/>
  <c r="L868" i="10"/>
  <c r="L869" i="10"/>
  <c r="L870" i="10"/>
  <c r="L871" i="10"/>
  <c r="L872" i="10"/>
  <c r="L873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1" i="10"/>
  <c r="L902" i="10"/>
  <c r="L903" i="10"/>
  <c r="L904" i="10"/>
  <c r="L905" i="10"/>
  <c r="L906" i="10"/>
  <c r="L907" i="10"/>
  <c r="L908" i="10"/>
  <c r="L909" i="10"/>
  <c r="L910" i="10"/>
  <c r="L911" i="10"/>
  <c r="L912" i="10"/>
  <c r="L913" i="10"/>
  <c r="L914" i="10"/>
  <c r="L915" i="10"/>
  <c r="L916" i="10"/>
  <c r="L917" i="10"/>
  <c r="L918" i="10"/>
  <c r="L919" i="10"/>
  <c r="L920" i="10"/>
  <c r="L921" i="10"/>
  <c r="L922" i="10"/>
  <c r="L923" i="10"/>
  <c r="L924" i="10"/>
  <c r="L925" i="10"/>
  <c r="L926" i="10"/>
  <c r="L927" i="10"/>
  <c r="L928" i="10"/>
  <c r="L929" i="10"/>
  <c r="L930" i="10"/>
  <c r="L931" i="10"/>
  <c r="L932" i="10"/>
  <c r="L933" i="10"/>
  <c r="L934" i="10"/>
  <c r="L935" i="10"/>
  <c r="L936" i="10"/>
  <c r="L937" i="10"/>
  <c r="L938" i="10"/>
  <c r="L939" i="10"/>
  <c r="L940" i="10"/>
  <c r="L941" i="10"/>
  <c r="L942" i="10"/>
  <c r="L943" i="10"/>
  <c r="L944" i="10"/>
  <c r="L945" i="10"/>
  <c r="L946" i="10"/>
  <c r="L947" i="10"/>
  <c r="L948" i="10"/>
  <c r="L949" i="10"/>
  <c r="L950" i="10"/>
  <c r="L951" i="10"/>
  <c r="L952" i="10"/>
  <c r="L953" i="10"/>
  <c r="L954" i="10"/>
  <c r="L955" i="10"/>
  <c r="L956" i="10"/>
  <c r="L957" i="10"/>
  <c r="L958" i="10"/>
  <c r="L959" i="10"/>
  <c r="L960" i="10"/>
  <c r="L961" i="10"/>
  <c r="L962" i="10"/>
  <c r="L963" i="10"/>
  <c r="L964" i="10"/>
  <c r="L965" i="10"/>
  <c r="L966" i="10"/>
  <c r="L967" i="10"/>
  <c r="L968" i="10"/>
  <c r="L969" i="10"/>
  <c r="L970" i="10"/>
  <c r="L971" i="10"/>
  <c r="L972" i="10"/>
  <c r="L973" i="10"/>
  <c r="L974" i="10"/>
  <c r="L975" i="10"/>
  <c r="L976" i="10"/>
  <c r="L977" i="10"/>
  <c r="L978" i="10"/>
  <c r="L979" i="10"/>
  <c r="L980" i="10"/>
  <c r="L981" i="10"/>
  <c r="L982" i="10"/>
  <c r="L983" i="10"/>
  <c r="L984" i="10"/>
  <c r="L985" i="10"/>
  <c r="L986" i="10"/>
  <c r="L987" i="10"/>
  <c r="L988" i="10"/>
  <c r="L989" i="10"/>
  <c r="L990" i="10"/>
  <c r="L991" i="10"/>
  <c r="L992" i="10"/>
  <c r="L993" i="10"/>
  <c r="L994" i="10"/>
  <c r="L995" i="10"/>
  <c r="L996" i="10"/>
  <c r="L997" i="10"/>
  <c r="L998" i="10"/>
  <c r="L999" i="10"/>
  <c r="L1000" i="10"/>
  <c r="L1001" i="10"/>
  <c r="L1002" i="10"/>
  <c r="L1003" i="10"/>
  <c r="L1004" i="10"/>
  <c r="L1005" i="10"/>
  <c r="L1006" i="10"/>
  <c r="L1007" i="10"/>
  <c r="L1008" i="10"/>
  <c r="L1009" i="10"/>
  <c r="L1010" i="10"/>
  <c r="L1011" i="10"/>
  <c r="W26" i="8"/>
  <c r="W25" i="8"/>
  <c r="W24" i="8"/>
  <c r="W23" i="8"/>
  <c r="W19" i="8"/>
  <c r="W18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X28" i="9"/>
  <c r="X27" i="9"/>
  <c r="X26" i="9"/>
  <c r="X25" i="9"/>
  <c r="X21" i="9"/>
  <c r="X20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R14" i="11"/>
  <c r="AA19" i="12"/>
  <c r="AA18" i="12"/>
  <c r="AA17" i="12"/>
  <c r="AA16" i="12"/>
  <c r="AA12" i="12"/>
  <c r="AA11" i="12"/>
  <c r="AD16" i="10"/>
  <c r="AD18" i="10" s="1"/>
  <c r="R10" i="11"/>
  <c r="R9" i="11"/>
  <c r="AD12" i="10"/>
  <c r="AD11" i="10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6" i="11"/>
  <c r="K587" i="11"/>
  <c r="K588" i="11"/>
  <c r="K589" i="11"/>
  <c r="K590" i="11"/>
  <c r="K591" i="11"/>
  <c r="K592" i="11"/>
  <c r="K593" i="11"/>
  <c r="K594" i="11"/>
  <c r="K595" i="11"/>
  <c r="K596" i="11"/>
  <c r="K597" i="11"/>
  <c r="K598" i="11"/>
  <c r="K599" i="11"/>
  <c r="K600" i="11"/>
  <c r="K601" i="11"/>
  <c r="K602" i="11"/>
  <c r="K603" i="11"/>
  <c r="K604" i="11"/>
  <c r="K605" i="11"/>
  <c r="K606" i="11"/>
  <c r="K607" i="11"/>
  <c r="K608" i="11"/>
  <c r="K609" i="11"/>
  <c r="K610" i="11"/>
  <c r="K611" i="11"/>
  <c r="K612" i="11"/>
  <c r="K613" i="11"/>
  <c r="K614" i="11"/>
  <c r="K615" i="11"/>
  <c r="K616" i="11"/>
  <c r="K617" i="11"/>
  <c r="K618" i="11"/>
  <c r="K619" i="11"/>
  <c r="K620" i="11"/>
  <c r="K621" i="11"/>
  <c r="K622" i="11"/>
  <c r="K623" i="11"/>
  <c r="K624" i="11"/>
  <c r="K625" i="11"/>
  <c r="K626" i="11"/>
  <c r="K627" i="11"/>
  <c r="K628" i="11"/>
  <c r="K629" i="11"/>
  <c r="K630" i="11"/>
  <c r="K631" i="11"/>
  <c r="K632" i="11"/>
  <c r="K633" i="11"/>
  <c r="K634" i="11"/>
  <c r="K635" i="11"/>
  <c r="K636" i="11"/>
  <c r="K637" i="11"/>
  <c r="K638" i="11"/>
  <c r="K639" i="11"/>
  <c r="K640" i="11"/>
  <c r="K641" i="11"/>
  <c r="K642" i="11"/>
  <c r="K643" i="11"/>
  <c r="K644" i="11"/>
  <c r="K645" i="11"/>
  <c r="K646" i="11"/>
  <c r="K647" i="11"/>
  <c r="K648" i="11"/>
  <c r="K649" i="11"/>
  <c r="K650" i="11"/>
  <c r="K651" i="11"/>
  <c r="K652" i="11"/>
  <c r="K653" i="11"/>
  <c r="K654" i="11"/>
  <c r="K655" i="11"/>
  <c r="K656" i="11"/>
  <c r="K657" i="11"/>
  <c r="K658" i="11"/>
  <c r="K659" i="11"/>
  <c r="K660" i="11"/>
  <c r="K661" i="11"/>
  <c r="K662" i="11"/>
  <c r="K663" i="11"/>
  <c r="K664" i="11"/>
  <c r="K665" i="11"/>
  <c r="K666" i="11"/>
  <c r="K667" i="11"/>
  <c r="K668" i="11"/>
  <c r="K669" i="11"/>
  <c r="K670" i="11"/>
  <c r="K671" i="11"/>
  <c r="K672" i="11"/>
  <c r="K673" i="11"/>
  <c r="K674" i="11"/>
  <c r="K675" i="11"/>
  <c r="K676" i="11"/>
  <c r="K677" i="11"/>
  <c r="K678" i="11"/>
  <c r="K679" i="11"/>
  <c r="K680" i="11"/>
  <c r="K681" i="11"/>
  <c r="K682" i="11"/>
  <c r="K683" i="11"/>
  <c r="K684" i="11"/>
  <c r="K685" i="11"/>
  <c r="K686" i="11"/>
  <c r="K687" i="11"/>
  <c r="K688" i="11"/>
  <c r="K689" i="11"/>
  <c r="K690" i="11"/>
  <c r="K691" i="11"/>
  <c r="K692" i="11"/>
  <c r="K693" i="11"/>
  <c r="K694" i="11"/>
  <c r="K695" i="11"/>
  <c r="K696" i="11"/>
  <c r="K697" i="11"/>
  <c r="K698" i="11"/>
  <c r="K699" i="11"/>
  <c r="K700" i="11"/>
  <c r="K701" i="11"/>
  <c r="K702" i="11"/>
  <c r="K703" i="11"/>
  <c r="K704" i="11"/>
  <c r="K705" i="11"/>
  <c r="K706" i="11"/>
  <c r="K707" i="11"/>
  <c r="K708" i="11"/>
  <c r="K709" i="11"/>
  <c r="K710" i="11"/>
  <c r="K711" i="11"/>
  <c r="K712" i="11"/>
  <c r="K713" i="11"/>
  <c r="K714" i="11"/>
  <c r="K715" i="11"/>
  <c r="K716" i="11"/>
  <c r="K717" i="11"/>
  <c r="K718" i="11"/>
  <c r="K719" i="11"/>
  <c r="K720" i="11"/>
  <c r="K721" i="11"/>
  <c r="K722" i="11"/>
  <c r="K723" i="11"/>
  <c r="K724" i="11"/>
  <c r="K725" i="11"/>
  <c r="K726" i="11"/>
  <c r="K727" i="11"/>
  <c r="K728" i="11"/>
  <c r="K729" i="11"/>
  <c r="K730" i="11"/>
  <c r="K731" i="11"/>
  <c r="K732" i="11"/>
  <c r="K733" i="11"/>
  <c r="K734" i="11"/>
  <c r="K735" i="11"/>
  <c r="K736" i="11"/>
  <c r="K737" i="11"/>
  <c r="K738" i="11"/>
  <c r="K739" i="11"/>
  <c r="K740" i="11"/>
  <c r="K741" i="11"/>
  <c r="K742" i="11"/>
  <c r="K743" i="11"/>
  <c r="K744" i="11"/>
  <c r="K745" i="11"/>
  <c r="K746" i="11"/>
  <c r="K747" i="11"/>
  <c r="K748" i="11"/>
  <c r="K749" i="11"/>
  <c r="K750" i="11"/>
  <c r="K751" i="11"/>
  <c r="K752" i="11"/>
  <c r="K753" i="11"/>
  <c r="K754" i="11"/>
  <c r="K755" i="11"/>
  <c r="K756" i="11"/>
  <c r="K757" i="11"/>
  <c r="K758" i="11"/>
  <c r="K759" i="11"/>
  <c r="K760" i="11"/>
  <c r="K761" i="11"/>
  <c r="K762" i="11"/>
  <c r="K763" i="11"/>
  <c r="K764" i="11"/>
  <c r="K765" i="11"/>
  <c r="K766" i="11"/>
  <c r="K767" i="11"/>
  <c r="K768" i="11"/>
  <c r="K769" i="11"/>
  <c r="K770" i="11"/>
  <c r="K771" i="11"/>
  <c r="K772" i="11"/>
  <c r="K773" i="11"/>
  <c r="K774" i="11"/>
  <c r="K775" i="11"/>
  <c r="K776" i="11"/>
  <c r="K777" i="11"/>
  <c r="K778" i="11"/>
  <c r="K779" i="11"/>
  <c r="K780" i="11"/>
  <c r="K781" i="11"/>
  <c r="K782" i="11"/>
  <c r="K783" i="11"/>
  <c r="K784" i="11"/>
  <c r="K785" i="11"/>
  <c r="K786" i="11"/>
  <c r="K787" i="11"/>
  <c r="K788" i="11"/>
  <c r="K789" i="11"/>
  <c r="K790" i="11"/>
  <c r="K791" i="11"/>
  <c r="K792" i="11"/>
  <c r="K793" i="11"/>
  <c r="K794" i="11"/>
  <c r="K795" i="11"/>
  <c r="K796" i="11"/>
  <c r="K797" i="11"/>
  <c r="K798" i="11"/>
  <c r="K799" i="11"/>
  <c r="K800" i="11"/>
  <c r="K801" i="11"/>
  <c r="K802" i="11"/>
  <c r="K803" i="11"/>
  <c r="K804" i="11"/>
  <c r="K805" i="11"/>
  <c r="K806" i="11"/>
  <c r="K807" i="11"/>
  <c r="K808" i="11"/>
  <c r="K809" i="11"/>
  <c r="K810" i="11"/>
  <c r="K811" i="11"/>
  <c r="K812" i="11"/>
  <c r="K813" i="11"/>
  <c r="K814" i="11"/>
  <c r="K815" i="11"/>
  <c r="K816" i="11"/>
  <c r="K817" i="11"/>
  <c r="K818" i="11"/>
  <c r="K819" i="11"/>
  <c r="K820" i="11"/>
  <c r="K821" i="11"/>
  <c r="K822" i="11"/>
  <c r="K823" i="11"/>
  <c r="K824" i="11"/>
  <c r="K825" i="11"/>
  <c r="K826" i="11"/>
  <c r="K827" i="11"/>
  <c r="K828" i="11"/>
  <c r="K829" i="11"/>
  <c r="K830" i="11"/>
  <c r="K831" i="11"/>
  <c r="K832" i="11"/>
  <c r="K833" i="11"/>
  <c r="K834" i="11"/>
  <c r="K835" i="11"/>
  <c r="K836" i="11"/>
  <c r="K837" i="11"/>
  <c r="K838" i="11"/>
  <c r="K839" i="11"/>
  <c r="K840" i="11"/>
  <c r="K841" i="11"/>
  <c r="K842" i="11"/>
  <c r="K843" i="11"/>
  <c r="K844" i="11"/>
  <c r="K845" i="11"/>
  <c r="K846" i="11"/>
  <c r="K847" i="11"/>
  <c r="K848" i="11"/>
  <c r="K849" i="11"/>
  <c r="K850" i="11"/>
  <c r="K851" i="11"/>
  <c r="K852" i="11"/>
  <c r="K853" i="11"/>
  <c r="K854" i="11"/>
  <c r="K855" i="11"/>
  <c r="K856" i="11"/>
  <c r="K857" i="11"/>
  <c r="K858" i="11"/>
  <c r="K859" i="11"/>
  <c r="K860" i="11"/>
  <c r="K861" i="11"/>
  <c r="K862" i="11"/>
  <c r="K863" i="11"/>
  <c r="K864" i="11"/>
  <c r="K865" i="11"/>
  <c r="K866" i="11"/>
  <c r="K867" i="11"/>
  <c r="K868" i="11"/>
  <c r="K869" i="11"/>
  <c r="K870" i="11"/>
  <c r="K871" i="11"/>
  <c r="K872" i="11"/>
  <c r="K873" i="11"/>
  <c r="K874" i="11"/>
  <c r="K875" i="11"/>
  <c r="K876" i="11"/>
  <c r="K877" i="11"/>
  <c r="K878" i="11"/>
  <c r="K879" i="11"/>
  <c r="K880" i="11"/>
  <c r="K881" i="11"/>
  <c r="K882" i="11"/>
  <c r="K883" i="11"/>
  <c r="K884" i="11"/>
  <c r="K885" i="11"/>
  <c r="K886" i="11"/>
  <c r="K887" i="11"/>
  <c r="K888" i="11"/>
  <c r="K889" i="11"/>
  <c r="K890" i="11"/>
  <c r="K891" i="11"/>
  <c r="K892" i="11"/>
  <c r="K893" i="11"/>
  <c r="K894" i="11"/>
  <c r="K895" i="11"/>
  <c r="K896" i="11"/>
  <c r="K897" i="11"/>
  <c r="K898" i="11"/>
  <c r="K899" i="11"/>
  <c r="K900" i="11"/>
  <c r="K901" i="11"/>
  <c r="K902" i="11"/>
  <c r="K903" i="11"/>
  <c r="K904" i="11"/>
  <c r="K905" i="11"/>
  <c r="K906" i="11"/>
  <c r="K907" i="11"/>
  <c r="K908" i="11"/>
  <c r="K909" i="11"/>
  <c r="K910" i="11"/>
  <c r="K911" i="11"/>
  <c r="K912" i="11"/>
  <c r="K913" i="11"/>
  <c r="K914" i="11"/>
  <c r="K915" i="11"/>
  <c r="K916" i="11"/>
  <c r="K917" i="11"/>
  <c r="K918" i="11"/>
  <c r="K919" i="11"/>
  <c r="K920" i="11"/>
  <c r="K921" i="11"/>
  <c r="K922" i="11"/>
  <c r="K923" i="11"/>
  <c r="K924" i="11"/>
  <c r="K925" i="11"/>
  <c r="K926" i="11"/>
  <c r="K927" i="11"/>
  <c r="K928" i="11"/>
  <c r="K929" i="11"/>
  <c r="K930" i="11"/>
  <c r="K931" i="11"/>
  <c r="K932" i="11"/>
  <c r="K933" i="11"/>
  <c r="K934" i="11"/>
  <c r="K935" i="11"/>
  <c r="K936" i="11"/>
  <c r="K937" i="11"/>
  <c r="K938" i="11"/>
  <c r="K939" i="11"/>
  <c r="K940" i="11"/>
  <c r="K941" i="11"/>
  <c r="K942" i="11"/>
  <c r="K943" i="11"/>
  <c r="K944" i="11"/>
  <c r="K945" i="11"/>
  <c r="K946" i="11"/>
  <c r="K947" i="11"/>
  <c r="K948" i="11"/>
  <c r="K949" i="11"/>
  <c r="K950" i="11"/>
  <c r="K951" i="11"/>
  <c r="K952" i="11"/>
  <c r="K953" i="11"/>
  <c r="K954" i="11"/>
  <c r="K955" i="11"/>
  <c r="K956" i="11"/>
  <c r="K957" i="11"/>
  <c r="K958" i="11"/>
  <c r="K959" i="11"/>
  <c r="K960" i="11"/>
  <c r="K961" i="11"/>
  <c r="K962" i="11"/>
  <c r="K963" i="11"/>
  <c r="K964" i="11"/>
  <c r="K965" i="11"/>
  <c r="K966" i="11"/>
  <c r="K967" i="11"/>
  <c r="K968" i="11"/>
  <c r="K969" i="11"/>
  <c r="K970" i="11"/>
  <c r="K971" i="11"/>
  <c r="K972" i="11"/>
  <c r="K973" i="11"/>
  <c r="K974" i="11"/>
  <c r="K975" i="11"/>
  <c r="K976" i="11"/>
  <c r="K977" i="11"/>
  <c r="K978" i="11"/>
  <c r="K979" i="11"/>
  <c r="K980" i="11"/>
  <c r="K981" i="11"/>
  <c r="K982" i="11"/>
  <c r="K983" i="11"/>
  <c r="K984" i="11"/>
  <c r="K985" i="11"/>
  <c r="K986" i="11"/>
  <c r="K987" i="11"/>
  <c r="K988" i="11"/>
  <c r="K989" i="11"/>
  <c r="K990" i="11"/>
  <c r="K991" i="11"/>
  <c r="K992" i="11"/>
  <c r="K993" i="11"/>
  <c r="K994" i="11"/>
  <c r="K995" i="11"/>
  <c r="K996" i="11"/>
  <c r="K997" i="11"/>
  <c r="K998" i="11"/>
  <c r="K999" i="11"/>
  <c r="K1000" i="11"/>
  <c r="K1001" i="11"/>
  <c r="K1002" i="11"/>
  <c r="K1003" i="11"/>
  <c r="K1004" i="11"/>
  <c r="K1005" i="11"/>
  <c r="K1006" i="11"/>
  <c r="K1007" i="11"/>
  <c r="K1008" i="11"/>
  <c r="K1009" i="11"/>
  <c r="K1010" i="11"/>
  <c r="W29" i="5"/>
  <c r="AB29" i="5" s="1"/>
  <c r="W28" i="5"/>
  <c r="AB28" i="5" s="1"/>
  <c r="W27" i="5"/>
  <c r="AB27" i="5" s="1"/>
  <c r="W26" i="5"/>
  <c r="AB26" i="5" s="1"/>
  <c r="W25" i="5"/>
  <c r="AB25" i="5" s="1"/>
  <c r="W24" i="5"/>
  <c r="AB24" i="5" s="1"/>
  <c r="W23" i="5"/>
  <c r="AB23" i="5" s="1"/>
  <c r="W22" i="5"/>
  <c r="AB22" i="5" s="1"/>
  <c r="W21" i="5"/>
  <c r="Z21" i="5" s="1"/>
  <c r="W20" i="5"/>
  <c r="Z20" i="5" s="1"/>
  <c r="W19" i="5"/>
  <c r="AB19" i="5" s="1"/>
  <c r="W18" i="5"/>
  <c r="Z18" i="5" s="1"/>
  <c r="W17" i="5"/>
  <c r="AB17" i="5" s="1"/>
  <c r="W16" i="5"/>
  <c r="AB16" i="5" s="1"/>
  <c r="W15" i="5"/>
  <c r="AB15" i="5" s="1"/>
  <c r="W14" i="5"/>
  <c r="AB14" i="5" s="1"/>
  <c r="W13" i="5"/>
  <c r="Z13" i="5" s="1"/>
  <c r="W12" i="5"/>
  <c r="Z12" i="5" s="1"/>
  <c r="W11" i="5"/>
  <c r="AB11" i="5" s="1"/>
  <c r="W10" i="5"/>
  <c r="AB10" i="5" s="1"/>
  <c r="T11" i="5"/>
  <c r="AO11" i="5" s="1"/>
  <c r="T12" i="5"/>
  <c r="AO12" i="5" s="1"/>
  <c r="T13" i="5"/>
  <c r="AO13" i="5" s="1"/>
  <c r="T14" i="5"/>
  <c r="AO14" i="5" s="1"/>
  <c r="T15" i="5"/>
  <c r="AO15" i="5" s="1"/>
  <c r="T16" i="5"/>
  <c r="AO16" i="5" s="1"/>
  <c r="T17" i="5"/>
  <c r="AO17" i="5" s="1"/>
  <c r="T18" i="5"/>
  <c r="AO18" i="5" s="1"/>
  <c r="T19" i="5"/>
  <c r="AO19" i="5" s="1"/>
  <c r="T20" i="5"/>
  <c r="AO20" i="5" s="1"/>
  <c r="T21" i="5"/>
  <c r="AO21" i="5" s="1"/>
  <c r="T22" i="5"/>
  <c r="AO22" i="5" s="1"/>
  <c r="T23" i="5"/>
  <c r="AO23" i="5" s="1"/>
  <c r="T24" i="5"/>
  <c r="AO24" i="5" s="1"/>
  <c r="T25" i="5"/>
  <c r="AO25" i="5" s="1"/>
  <c r="T26" i="5"/>
  <c r="AO26" i="5" s="1"/>
  <c r="T27" i="5"/>
  <c r="AO27" i="5" s="1"/>
  <c r="T28" i="5"/>
  <c r="AO28" i="5" s="1"/>
  <c r="T29" i="5"/>
  <c r="AO29" i="5" s="1"/>
  <c r="T10" i="5"/>
  <c r="AO10" i="5" s="1"/>
  <c r="Q11" i="5"/>
  <c r="AN11" i="5" s="1"/>
  <c r="Q12" i="5"/>
  <c r="AN12" i="5" s="1"/>
  <c r="Q13" i="5"/>
  <c r="AN13" i="5" s="1"/>
  <c r="Q14" i="5"/>
  <c r="AN14" i="5" s="1"/>
  <c r="Q15" i="5"/>
  <c r="AN15" i="5" s="1"/>
  <c r="Q16" i="5"/>
  <c r="AN16" i="5" s="1"/>
  <c r="Q17" i="5"/>
  <c r="AN17" i="5" s="1"/>
  <c r="Q18" i="5"/>
  <c r="AN18" i="5" s="1"/>
  <c r="Q19" i="5"/>
  <c r="AN19" i="5" s="1"/>
  <c r="Q20" i="5"/>
  <c r="AN20" i="5" s="1"/>
  <c r="Q21" i="5"/>
  <c r="AN21" i="5" s="1"/>
  <c r="Q22" i="5"/>
  <c r="AN22" i="5" s="1"/>
  <c r="Q23" i="5"/>
  <c r="AN23" i="5" s="1"/>
  <c r="Q24" i="5"/>
  <c r="AN24" i="5" s="1"/>
  <c r="Q25" i="5"/>
  <c r="AN25" i="5" s="1"/>
  <c r="Q26" i="5"/>
  <c r="AN26" i="5" s="1"/>
  <c r="Q27" i="5"/>
  <c r="AN27" i="5" s="1"/>
  <c r="Q28" i="5"/>
  <c r="AN28" i="5" s="1"/>
  <c r="Q29" i="5"/>
  <c r="AN29" i="5" s="1"/>
  <c r="Q10" i="5"/>
  <c r="AN10" i="5" s="1"/>
  <c r="N8" i="5"/>
  <c r="M8" i="5"/>
  <c r="J11" i="5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10" i="5"/>
  <c r="D11" i="5"/>
  <c r="M11" i="5" s="1"/>
  <c r="D12" i="5"/>
  <c r="M12" i="5" s="1"/>
  <c r="D13" i="5"/>
  <c r="M13" i="5" s="1"/>
  <c r="D14" i="5"/>
  <c r="M14" i="5" s="1"/>
  <c r="D15" i="5"/>
  <c r="M15" i="5" s="1"/>
  <c r="D16" i="5"/>
  <c r="N16" i="5" s="1"/>
  <c r="D17" i="5"/>
  <c r="M17" i="5" s="1"/>
  <c r="D18" i="5"/>
  <c r="M18" i="5" s="1"/>
  <c r="D19" i="5"/>
  <c r="M19" i="5" s="1"/>
  <c r="D20" i="5"/>
  <c r="M20" i="5" s="1"/>
  <c r="D21" i="5"/>
  <c r="M21" i="5" s="1"/>
  <c r="D22" i="5"/>
  <c r="M22" i="5" s="1"/>
  <c r="D23" i="5"/>
  <c r="M23" i="5" s="1"/>
  <c r="D24" i="5"/>
  <c r="M24" i="5" s="1"/>
  <c r="D25" i="5"/>
  <c r="M25" i="5" s="1"/>
  <c r="D26" i="5"/>
  <c r="M26" i="5" s="1"/>
  <c r="D27" i="5"/>
  <c r="M27" i="5" s="1"/>
  <c r="D28" i="5"/>
  <c r="M28" i="5" s="1"/>
  <c r="D29" i="5"/>
  <c r="M29" i="5" s="1"/>
  <c r="D10" i="5"/>
  <c r="M10" i="5" s="1"/>
  <c r="X6" i="7"/>
  <c r="AA7" i="7" s="1"/>
  <c r="X7" i="7"/>
  <c r="AA8" i="7" s="1"/>
  <c r="X8" i="7"/>
  <c r="AA9" i="7" s="1"/>
  <c r="X9" i="7"/>
  <c r="AC10" i="7" s="1"/>
  <c r="X10" i="7"/>
  <c r="AC11" i="7" s="1"/>
  <c r="X11" i="7"/>
  <c r="AC12" i="7" s="1"/>
  <c r="X12" i="7"/>
  <c r="AA13" i="7" s="1"/>
  <c r="X13" i="7"/>
  <c r="AC14" i="7" s="1"/>
  <c r="X14" i="7"/>
  <c r="AC15" i="7" s="1"/>
  <c r="X15" i="7"/>
  <c r="AC16" i="7" s="1"/>
  <c r="X16" i="7"/>
  <c r="AA17" i="7" s="1"/>
  <c r="X17" i="7"/>
  <c r="AC18" i="7" s="1"/>
  <c r="X18" i="7"/>
  <c r="AC19" i="7" s="1"/>
  <c r="X19" i="7"/>
  <c r="AC20" i="7" s="1"/>
  <c r="X20" i="7"/>
  <c r="AC21" i="7" s="1"/>
  <c r="X21" i="7"/>
  <c r="AC22" i="7" s="1"/>
  <c r="X22" i="7"/>
  <c r="AC23" i="7" s="1"/>
  <c r="X23" i="7"/>
  <c r="AC24" i="7" s="1"/>
  <c r="X24" i="7"/>
  <c r="AC25" i="7" s="1"/>
  <c r="X25" i="7"/>
  <c r="AC26" i="7" s="1"/>
  <c r="U12" i="7"/>
  <c r="AQ12" i="7" s="1"/>
  <c r="U13" i="7"/>
  <c r="AQ13" i="7" s="1"/>
  <c r="U14" i="7"/>
  <c r="AQ14" i="7" s="1"/>
  <c r="U15" i="7"/>
  <c r="AQ15" i="7" s="1"/>
  <c r="U16" i="7"/>
  <c r="AQ16" i="7" s="1"/>
  <c r="U17" i="7"/>
  <c r="AQ17" i="7" s="1"/>
  <c r="U18" i="7"/>
  <c r="AQ18" i="7" s="1"/>
  <c r="U19" i="7"/>
  <c r="AQ19" i="7" s="1"/>
  <c r="U20" i="7"/>
  <c r="AQ20" i="7" s="1"/>
  <c r="U21" i="7"/>
  <c r="AQ21" i="7" s="1"/>
  <c r="U22" i="7"/>
  <c r="AQ22" i="7" s="1"/>
  <c r="U23" i="7"/>
  <c r="AQ23" i="7" s="1"/>
  <c r="U24" i="7"/>
  <c r="AQ24" i="7" s="1"/>
  <c r="U25" i="7"/>
  <c r="AQ25" i="7" s="1"/>
  <c r="U26" i="7"/>
  <c r="AQ26" i="7" s="1"/>
  <c r="U27" i="7"/>
  <c r="AQ27" i="7" s="1"/>
  <c r="U28" i="7"/>
  <c r="AQ28" i="7" s="1"/>
  <c r="U29" i="7"/>
  <c r="AQ29" i="7" s="1"/>
  <c r="U30" i="7"/>
  <c r="AQ30" i="7" s="1"/>
  <c r="U31" i="7"/>
  <c r="AQ31" i="7" s="1"/>
  <c r="R12" i="7"/>
  <c r="AP12" i="7" s="1"/>
  <c r="R13" i="7"/>
  <c r="AP13" i="7" s="1"/>
  <c r="R14" i="7"/>
  <c r="AP14" i="7" s="1"/>
  <c r="R15" i="7"/>
  <c r="AP15" i="7" s="1"/>
  <c r="R16" i="7"/>
  <c r="AP16" i="7" s="1"/>
  <c r="R17" i="7"/>
  <c r="AP17" i="7" s="1"/>
  <c r="R18" i="7"/>
  <c r="AP18" i="7" s="1"/>
  <c r="R19" i="7"/>
  <c r="AP19" i="7" s="1"/>
  <c r="R20" i="7"/>
  <c r="AP20" i="7" s="1"/>
  <c r="R21" i="7"/>
  <c r="AP21" i="7" s="1"/>
  <c r="R22" i="7"/>
  <c r="AP22" i="7" s="1"/>
  <c r="R23" i="7"/>
  <c r="AP23" i="7" s="1"/>
  <c r="R24" i="7"/>
  <c r="AP24" i="7" s="1"/>
  <c r="R25" i="7"/>
  <c r="AP25" i="7" s="1"/>
  <c r="R26" i="7"/>
  <c r="AP26" i="7" s="1"/>
  <c r="R27" i="7"/>
  <c r="AP27" i="7" s="1"/>
  <c r="R28" i="7"/>
  <c r="AP28" i="7" s="1"/>
  <c r="R29" i="7"/>
  <c r="AP29" i="7" s="1"/>
  <c r="R30" i="7"/>
  <c r="AP30" i="7" s="1"/>
  <c r="R31" i="7"/>
  <c r="AP31" i="7" s="1"/>
  <c r="O10" i="7"/>
  <c r="N10" i="7"/>
  <c r="J11" i="7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M8" i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G20" i="7"/>
  <c r="G21" i="7"/>
  <c r="G22" i="7"/>
  <c r="G23" i="7"/>
  <c r="G24" i="7"/>
  <c r="G25" i="7"/>
  <c r="G26" i="7"/>
  <c r="G27" i="7"/>
  <c r="G28" i="7"/>
  <c r="G29" i="7"/>
  <c r="G11" i="7"/>
  <c r="G12" i="7"/>
  <c r="G13" i="7"/>
  <c r="G14" i="7"/>
  <c r="G15" i="7"/>
  <c r="G16" i="7"/>
  <c r="G17" i="7"/>
  <c r="G18" i="7"/>
  <c r="G19" i="7"/>
  <c r="G10" i="7"/>
  <c r="C27" i="7"/>
  <c r="N29" i="7" s="1"/>
  <c r="C28" i="7"/>
  <c r="N30" i="7" s="1"/>
  <c r="C29" i="7"/>
  <c r="N31" i="7" s="1"/>
  <c r="C19" i="7"/>
  <c r="N21" i="7" s="1"/>
  <c r="C20" i="7"/>
  <c r="N22" i="7" s="1"/>
  <c r="C21" i="7"/>
  <c r="N23" i="7" s="1"/>
  <c r="C22" i="7"/>
  <c r="N24" i="7" s="1"/>
  <c r="C23" i="7"/>
  <c r="N25" i="7" s="1"/>
  <c r="C24" i="7"/>
  <c r="N26" i="7" s="1"/>
  <c r="C25" i="7"/>
  <c r="N27" i="7" s="1"/>
  <c r="C26" i="7"/>
  <c r="N28" i="7" s="1"/>
  <c r="C11" i="7"/>
  <c r="N13" i="7" s="1"/>
  <c r="C12" i="7"/>
  <c r="N14" i="7" s="1"/>
  <c r="C13" i="7"/>
  <c r="N15" i="7" s="1"/>
  <c r="C14" i="7"/>
  <c r="N16" i="7" s="1"/>
  <c r="C15" i="7"/>
  <c r="N17" i="7" s="1"/>
  <c r="C16" i="7"/>
  <c r="N18" i="7" s="1"/>
  <c r="C17" i="7"/>
  <c r="N19" i="7" s="1"/>
  <c r="C18" i="7"/>
  <c r="N20" i="7" s="1"/>
  <c r="C10" i="7"/>
  <c r="N12" i="7" s="1"/>
  <c r="AD24" i="1"/>
  <c r="AI24" i="1" s="1"/>
  <c r="AD25" i="1"/>
  <c r="AG25" i="1" s="1"/>
  <c r="AD7" i="1"/>
  <c r="AI7" i="1" s="1"/>
  <c r="AD8" i="1"/>
  <c r="AG8" i="1" s="1"/>
  <c r="AD9" i="1"/>
  <c r="AI9" i="1" s="1"/>
  <c r="AD10" i="1"/>
  <c r="AG10" i="1" s="1"/>
  <c r="AD11" i="1"/>
  <c r="AI11" i="1" s="1"/>
  <c r="AD12" i="1"/>
  <c r="AG12" i="1" s="1"/>
  <c r="AD13" i="1"/>
  <c r="AI13" i="1" s="1"/>
  <c r="AD14" i="1"/>
  <c r="AG14" i="1" s="1"/>
  <c r="AD15" i="1"/>
  <c r="AI15" i="1" s="1"/>
  <c r="AD16" i="1"/>
  <c r="AG16" i="1" s="1"/>
  <c r="AD17" i="1"/>
  <c r="AG17" i="1" s="1"/>
  <c r="AD18" i="1"/>
  <c r="AG18" i="1" s="1"/>
  <c r="AD19" i="1"/>
  <c r="AG19" i="1" s="1"/>
  <c r="AD20" i="1"/>
  <c r="AG20" i="1" s="1"/>
  <c r="AD21" i="1"/>
  <c r="AI21" i="1" s="1"/>
  <c r="AD22" i="1"/>
  <c r="AG22" i="1" s="1"/>
  <c r="AD23" i="1"/>
  <c r="AI23" i="1" s="1"/>
  <c r="AD6" i="1"/>
  <c r="AG6" i="1" s="1"/>
  <c r="U8" i="1"/>
  <c r="T8" i="1"/>
  <c r="AA15" i="1"/>
  <c r="AA16" i="1"/>
  <c r="AA17" i="1"/>
  <c r="AA18" i="1"/>
  <c r="AA19" i="1"/>
  <c r="AA20" i="1"/>
  <c r="AA21" i="1"/>
  <c r="AW17" i="1" s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14" i="1"/>
  <c r="X14" i="1"/>
  <c r="AV10" i="1" s="1"/>
  <c r="X22" i="1"/>
  <c r="AV18" i="1" s="1"/>
  <c r="X23" i="1"/>
  <c r="AV19" i="1" s="1"/>
  <c r="X24" i="1"/>
  <c r="AV20" i="1" s="1"/>
  <c r="X25" i="1"/>
  <c r="X26" i="1"/>
  <c r="X27" i="1"/>
  <c r="AV23" i="1" s="1"/>
  <c r="X28" i="1"/>
  <c r="X29" i="1"/>
  <c r="AV25" i="1" s="1"/>
  <c r="X30" i="1"/>
  <c r="AV26" i="1" s="1"/>
  <c r="X31" i="1"/>
  <c r="AV27" i="1" s="1"/>
  <c r="X32" i="1"/>
  <c r="AV28" i="1" s="1"/>
  <c r="X33" i="1"/>
  <c r="X15" i="1"/>
  <c r="X16" i="1"/>
  <c r="AV12" i="1" s="1"/>
  <c r="X17" i="1"/>
  <c r="X18" i="1"/>
  <c r="AV14" i="1" s="1"/>
  <c r="X19" i="1"/>
  <c r="AV15" i="1" s="1"/>
  <c r="X20" i="1"/>
  <c r="AV16" i="1" s="1"/>
  <c r="X21" i="1"/>
  <c r="AV17" i="1" s="1"/>
  <c r="R16" i="11" l="1"/>
  <c r="R15" i="11"/>
  <c r="AD17" i="10"/>
  <c r="AD19" i="10" s="1"/>
  <c r="AW23" i="1"/>
  <c r="AW15" i="1"/>
  <c r="AV13" i="1"/>
  <c r="AV24" i="1"/>
  <c r="AW10" i="1"/>
  <c r="AW22" i="1"/>
  <c r="AW14" i="1"/>
  <c r="AW24" i="1"/>
  <c r="AW21" i="1"/>
  <c r="AW13" i="1"/>
  <c r="AV11" i="1"/>
  <c r="AV22" i="1"/>
  <c r="AW28" i="1"/>
  <c r="AW20" i="1"/>
  <c r="AW12" i="1"/>
  <c r="AV29" i="1"/>
  <c r="AV21" i="1"/>
  <c r="AW27" i="1"/>
  <c r="AW19" i="1"/>
  <c r="AW11" i="1"/>
  <c r="AW25" i="1"/>
  <c r="AW16" i="1"/>
  <c r="AW29" i="1"/>
  <c r="AW26" i="1"/>
  <c r="AW18" i="1"/>
  <c r="AQ10" i="5"/>
  <c r="AP10" i="5"/>
  <c r="AE18" i="5"/>
  <c r="AG16" i="5"/>
  <c r="AE20" i="5"/>
  <c r="AE12" i="5"/>
  <c r="AE21" i="5"/>
  <c r="AE13" i="5"/>
  <c r="Z17" i="5"/>
  <c r="AE17" i="5" s="1"/>
  <c r="Z25" i="5"/>
  <c r="AE25" i="5" s="1"/>
  <c r="Z19" i="5"/>
  <c r="AE19" i="5" s="1"/>
  <c r="Z16" i="5"/>
  <c r="AB21" i="5"/>
  <c r="Z14" i="5"/>
  <c r="AE14" i="5" s="1"/>
  <c r="Z22" i="5"/>
  <c r="AE22" i="5" s="1"/>
  <c r="AB13" i="5"/>
  <c r="AB18" i="5"/>
  <c r="Z27" i="5"/>
  <c r="AE27" i="5" s="1"/>
  <c r="Z11" i="5"/>
  <c r="AE11" i="5" s="1"/>
  <c r="Z24" i="5"/>
  <c r="AE24" i="5" s="1"/>
  <c r="Z28" i="5"/>
  <c r="AE28" i="5" s="1"/>
  <c r="AB12" i="5"/>
  <c r="Z15" i="5"/>
  <c r="AE15" i="5" s="1"/>
  <c r="AB20" i="5"/>
  <c r="Z23" i="5"/>
  <c r="AE23" i="5" s="1"/>
  <c r="Z10" i="5"/>
  <c r="Z26" i="5"/>
  <c r="AE26" i="5" s="1"/>
  <c r="Z29" i="5"/>
  <c r="AE29" i="5" s="1"/>
  <c r="M16" i="5"/>
  <c r="N24" i="5"/>
  <c r="AG24" i="5" s="1"/>
  <c r="N23" i="5"/>
  <c r="AG23" i="5" s="1"/>
  <c r="N25" i="5"/>
  <c r="AG25" i="5" s="1"/>
  <c r="N22" i="5"/>
  <c r="AG22" i="5" s="1"/>
  <c r="N17" i="5"/>
  <c r="AG17" i="5" s="1"/>
  <c r="N15" i="5"/>
  <c r="AG15" i="5" s="1"/>
  <c r="N14" i="5"/>
  <c r="AG14" i="5" s="1"/>
  <c r="N26" i="5"/>
  <c r="AG26" i="5" s="1"/>
  <c r="N18" i="5"/>
  <c r="N29" i="5"/>
  <c r="AG29" i="5" s="1"/>
  <c r="N21" i="5"/>
  <c r="N13" i="5"/>
  <c r="N28" i="5"/>
  <c r="AG28" i="5" s="1"/>
  <c r="N20" i="5"/>
  <c r="N12" i="5"/>
  <c r="N27" i="5"/>
  <c r="AG27" i="5" s="1"/>
  <c r="N19" i="5"/>
  <c r="AG19" i="5" s="1"/>
  <c r="N11" i="5"/>
  <c r="AG11" i="5" s="1"/>
  <c r="N10" i="5"/>
  <c r="AS12" i="7"/>
  <c r="AR12" i="7"/>
  <c r="AF13" i="7"/>
  <c r="AT18" i="7" s="1"/>
  <c r="AF8" i="7"/>
  <c r="AF9" i="7"/>
  <c r="AT14" i="7" s="1"/>
  <c r="AF17" i="7"/>
  <c r="AF7" i="7"/>
  <c r="AT12" i="7" s="1"/>
  <c r="AA21" i="7"/>
  <c r="AF21" i="7" s="1"/>
  <c r="AT26" i="7" s="1"/>
  <c r="AC13" i="7"/>
  <c r="AC17" i="7"/>
  <c r="AC9" i="7"/>
  <c r="AC8" i="7"/>
  <c r="AA20" i="7"/>
  <c r="AF20" i="7" s="1"/>
  <c r="AT25" i="7" s="1"/>
  <c r="AA19" i="7"/>
  <c r="AF19" i="7" s="1"/>
  <c r="AC7" i="7"/>
  <c r="AA23" i="7"/>
  <c r="AF23" i="7" s="1"/>
  <c r="AT28" i="7" s="1"/>
  <c r="AA22" i="7"/>
  <c r="AF22" i="7" s="1"/>
  <c r="AA26" i="7"/>
  <c r="AF26" i="7" s="1"/>
  <c r="AT31" i="7" s="1"/>
  <c r="AA18" i="7"/>
  <c r="AF18" i="7" s="1"/>
  <c r="AT23" i="7" s="1"/>
  <c r="AA25" i="7"/>
  <c r="AF25" i="7" s="1"/>
  <c r="AA24" i="7"/>
  <c r="AF24" i="7" s="1"/>
  <c r="AT29" i="7" s="1"/>
  <c r="AA16" i="7"/>
  <c r="AF16" i="7" s="1"/>
  <c r="AT21" i="7" s="1"/>
  <c r="AA15" i="7"/>
  <c r="AF15" i="7" s="1"/>
  <c r="AA14" i="7"/>
  <c r="AF14" i="7" s="1"/>
  <c r="AT19" i="7" s="1"/>
  <c r="AA12" i="7"/>
  <c r="AF12" i="7" s="1"/>
  <c r="AT17" i="7" s="1"/>
  <c r="AA11" i="7"/>
  <c r="AF11" i="7" s="1"/>
  <c r="AT16" i="7" s="1"/>
  <c r="AA10" i="7"/>
  <c r="AF10" i="7" s="1"/>
  <c r="AT15" i="7" s="1"/>
  <c r="O25" i="7"/>
  <c r="AH20" i="7" s="1"/>
  <c r="AU25" i="7" s="1"/>
  <c r="O16" i="7"/>
  <c r="AH11" i="7" s="1"/>
  <c r="AU16" i="7" s="1"/>
  <c r="O28" i="7"/>
  <c r="AH23" i="7" s="1"/>
  <c r="O20" i="7"/>
  <c r="AH15" i="7" s="1"/>
  <c r="O19" i="7"/>
  <c r="AH14" i="7" s="1"/>
  <c r="O18" i="7"/>
  <c r="O17" i="7"/>
  <c r="AH12" i="7" s="1"/>
  <c r="AU17" i="7" s="1"/>
  <c r="O27" i="7"/>
  <c r="AH22" i="7" s="1"/>
  <c r="AU27" i="7" s="1"/>
  <c r="O26" i="7"/>
  <c r="AH21" i="7" s="1"/>
  <c r="AU26" i="7" s="1"/>
  <c r="O31" i="7"/>
  <c r="AH26" i="7" s="1"/>
  <c r="O23" i="7"/>
  <c r="AH18" i="7" s="1"/>
  <c r="AU23" i="7" s="1"/>
  <c r="O15" i="7"/>
  <c r="AH10" i="7" s="1"/>
  <c r="AU15" i="7" s="1"/>
  <c r="O24" i="7"/>
  <c r="AH19" i="7" s="1"/>
  <c r="O30" i="7"/>
  <c r="AH25" i="7" s="1"/>
  <c r="O22" i="7"/>
  <c r="O14" i="7"/>
  <c r="O29" i="7"/>
  <c r="AH24" i="7" s="1"/>
  <c r="O21" i="7"/>
  <c r="AH16" i="7" s="1"/>
  <c r="O13" i="7"/>
  <c r="O12" i="7"/>
  <c r="AY10" i="1"/>
  <c r="AX10" i="1"/>
  <c r="AI25" i="1"/>
  <c r="AI22" i="1"/>
  <c r="AI20" i="1"/>
  <c r="AI14" i="1"/>
  <c r="AI12" i="1"/>
  <c r="AI19" i="1"/>
  <c r="AI18" i="1"/>
  <c r="AI10" i="1"/>
  <c r="AI17" i="1"/>
  <c r="AI16" i="1"/>
  <c r="AI8" i="1"/>
  <c r="AI6" i="1"/>
  <c r="AG24" i="1"/>
  <c r="AG23" i="1"/>
  <c r="AG15" i="1"/>
  <c r="AG21" i="1"/>
  <c r="AG13" i="1"/>
  <c r="AG11" i="1"/>
  <c r="AG9" i="1"/>
  <c r="AG7" i="1"/>
  <c r="G13" i="1"/>
  <c r="U11" i="1" s="1"/>
  <c r="AN7" i="1" s="1"/>
  <c r="BA11" i="1" s="1"/>
  <c r="G14" i="1"/>
  <c r="U12" i="1" s="1"/>
  <c r="G15" i="1"/>
  <c r="U13" i="1" s="1"/>
  <c r="AN9" i="1" s="1"/>
  <c r="BA13" i="1" s="1"/>
  <c r="G16" i="1"/>
  <c r="U14" i="1" s="1"/>
  <c r="G17" i="1"/>
  <c r="U15" i="1" s="1"/>
  <c r="AN11" i="1" s="1"/>
  <c r="BA15" i="1" s="1"/>
  <c r="G18" i="1"/>
  <c r="U16" i="1" s="1"/>
  <c r="G19" i="1"/>
  <c r="U17" i="1" s="1"/>
  <c r="AN13" i="1" s="1"/>
  <c r="BA17" i="1" s="1"/>
  <c r="G20" i="1"/>
  <c r="U18" i="1" s="1"/>
  <c r="G21" i="1"/>
  <c r="U19" i="1" s="1"/>
  <c r="AN15" i="1" s="1"/>
  <c r="BA19" i="1" s="1"/>
  <c r="G22" i="1"/>
  <c r="U20" i="1" s="1"/>
  <c r="G23" i="1"/>
  <c r="U21" i="1" s="1"/>
  <c r="G24" i="1"/>
  <c r="U22" i="1" s="1"/>
  <c r="G25" i="1"/>
  <c r="U23" i="1" s="1"/>
  <c r="G26" i="1"/>
  <c r="U24" i="1" s="1"/>
  <c r="G27" i="1"/>
  <c r="U25" i="1" s="1"/>
  <c r="AN21" i="1" s="1"/>
  <c r="BA25" i="1" s="1"/>
  <c r="G28" i="1"/>
  <c r="U26" i="1" s="1"/>
  <c r="G29" i="1"/>
  <c r="U27" i="1" s="1"/>
  <c r="AN23" i="1" s="1"/>
  <c r="BA27" i="1" s="1"/>
  <c r="G30" i="1"/>
  <c r="U28" i="1" s="1"/>
  <c r="AN24" i="1" s="1"/>
  <c r="BA28" i="1" s="1"/>
  <c r="G31" i="1"/>
  <c r="U29" i="1" s="1"/>
  <c r="G12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11" i="1"/>
  <c r="R17" i="11" l="1"/>
  <c r="AM19" i="5"/>
  <c r="AU19" i="5" s="1"/>
  <c r="C24" i="9" s="1"/>
  <c r="AS19" i="5"/>
  <c r="AM27" i="5"/>
  <c r="AU27" i="5" s="1"/>
  <c r="C32" i="9" s="1"/>
  <c r="AS27" i="5"/>
  <c r="AM26" i="5"/>
  <c r="AU26" i="5" s="1"/>
  <c r="C31" i="9" s="1"/>
  <c r="AS26" i="5"/>
  <c r="AM14" i="5"/>
  <c r="AU14" i="5" s="1"/>
  <c r="C19" i="9" s="1"/>
  <c r="AS14" i="5"/>
  <c r="AM16" i="5"/>
  <c r="AU16" i="5" s="1"/>
  <c r="C21" i="9" s="1"/>
  <c r="AS16" i="5"/>
  <c r="AM29" i="5"/>
  <c r="AU29" i="5" s="1"/>
  <c r="C34" i="9" s="1"/>
  <c r="AS29" i="5"/>
  <c r="AM15" i="5"/>
  <c r="AU15" i="5" s="1"/>
  <c r="C20" i="9" s="1"/>
  <c r="AS15" i="5"/>
  <c r="AM25" i="5"/>
  <c r="AU25" i="5" s="1"/>
  <c r="C30" i="9" s="1"/>
  <c r="AS25" i="5"/>
  <c r="AM11" i="5"/>
  <c r="AU11" i="5" s="1"/>
  <c r="C16" i="9" s="1"/>
  <c r="AS11" i="5"/>
  <c r="AM23" i="5"/>
  <c r="AU23" i="5" s="1"/>
  <c r="C28" i="9" s="1"/>
  <c r="AS23" i="5"/>
  <c r="AM28" i="5"/>
  <c r="AU28" i="5" s="1"/>
  <c r="C33" i="9" s="1"/>
  <c r="AS28" i="5"/>
  <c r="AM17" i="5"/>
  <c r="AU17" i="5" s="1"/>
  <c r="C22" i="9" s="1"/>
  <c r="AS17" i="5"/>
  <c r="AM24" i="5"/>
  <c r="AU24" i="5" s="1"/>
  <c r="C29" i="9" s="1"/>
  <c r="AS24" i="5"/>
  <c r="AM22" i="5"/>
  <c r="AU22" i="5" s="1"/>
  <c r="C27" i="9" s="1"/>
  <c r="AS22" i="5"/>
  <c r="AL13" i="5"/>
  <c r="AT13" i="5" s="1"/>
  <c r="AR13" i="5"/>
  <c r="AL15" i="5"/>
  <c r="AT15" i="5" s="1"/>
  <c r="AR15" i="5"/>
  <c r="AL22" i="5"/>
  <c r="AT22" i="5" s="1"/>
  <c r="AR22" i="5"/>
  <c r="AL21" i="5"/>
  <c r="AT21" i="5" s="1"/>
  <c r="AR21" i="5"/>
  <c r="AL14" i="5"/>
  <c r="AT14" i="5" s="1"/>
  <c r="AR14" i="5"/>
  <c r="AL12" i="5"/>
  <c r="AT12" i="5" s="1"/>
  <c r="AR12" i="5"/>
  <c r="AL28" i="5"/>
  <c r="AT28" i="5" s="1"/>
  <c r="AR28" i="5"/>
  <c r="AL20" i="5"/>
  <c r="AT20" i="5" s="1"/>
  <c r="AR20" i="5"/>
  <c r="AL29" i="5"/>
  <c r="AT29" i="5" s="1"/>
  <c r="AR29" i="5"/>
  <c r="AL26" i="5"/>
  <c r="AT26" i="5" s="1"/>
  <c r="AR26" i="5"/>
  <c r="AL11" i="5"/>
  <c r="AT11" i="5" s="1"/>
  <c r="AR11" i="5"/>
  <c r="AL19" i="5"/>
  <c r="AT19" i="5" s="1"/>
  <c r="AR19" i="5"/>
  <c r="AL18" i="5"/>
  <c r="AT18" i="5" s="1"/>
  <c r="AR18" i="5"/>
  <c r="AL24" i="5"/>
  <c r="AT24" i="5" s="1"/>
  <c r="AR24" i="5"/>
  <c r="AL27" i="5"/>
  <c r="AT27" i="5" s="1"/>
  <c r="AR27" i="5"/>
  <c r="AL25" i="5"/>
  <c r="AT25" i="5" s="1"/>
  <c r="AR25" i="5"/>
  <c r="AL23" i="5"/>
  <c r="AT23" i="5" s="1"/>
  <c r="AR23" i="5"/>
  <c r="AL17" i="5"/>
  <c r="AT17" i="5" s="1"/>
  <c r="AR17" i="5"/>
  <c r="AG21" i="5"/>
  <c r="AG13" i="5"/>
  <c r="AG20" i="5"/>
  <c r="AG10" i="5"/>
  <c r="AG12" i="5"/>
  <c r="AG18" i="5"/>
  <c r="AE16" i="5"/>
  <c r="AE10" i="5"/>
  <c r="AO21" i="7"/>
  <c r="AU21" i="7"/>
  <c r="AO24" i="7"/>
  <c r="AW24" i="7" s="1"/>
  <c r="C25" i="11" s="1"/>
  <c r="E25" i="11" s="1"/>
  <c r="AU24" i="7"/>
  <c r="AO19" i="7"/>
  <c r="AW19" i="7" s="1"/>
  <c r="C20" i="11" s="1"/>
  <c r="E20" i="11" s="1"/>
  <c r="AU19" i="7"/>
  <c r="AO31" i="7"/>
  <c r="AW31" i="7" s="1"/>
  <c r="C32" i="11" s="1"/>
  <c r="E32" i="11" s="1"/>
  <c r="AU31" i="7"/>
  <c r="AO20" i="7"/>
  <c r="AW20" i="7" s="1"/>
  <c r="C21" i="11" s="1"/>
  <c r="E21" i="11" s="1"/>
  <c r="AU20" i="7"/>
  <c r="AO28" i="7"/>
  <c r="AW28" i="7" s="1"/>
  <c r="C29" i="11" s="1"/>
  <c r="E29" i="11" s="1"/>
  <c r="AU28" i="7"/>
  <c r="AO29" i="7"/>
  <c r="AW29" i="7" s="1"/>
  <c r="C30" i="11" s="1"/>
  <c r="E30" i="11" s="1"/>
  <c r="AU29" i="7"/>
  <c r="AO30" i="7"/>
  <c r="AW30" i="7" s="1"/>
  <c r="C31" i="11" s="1"/>
  <c r="E31" i="11" s="1"/>
  <c r="AU30" i="7"/>
  <c r="AN20" i="7"/>
  <c r="AV20" i="7" s="1"/>
  <c r="D23" i="10" s="1"/>
  <c r="G23" i="10" s="1"/>
  <c r="AT20" i="7"/>
  <c r="AN30" i="7"/>
  <c r="AV30" i="7" s="1"/>
  <c r="D33" i="10" s="1"/>
  <c r="G33" i="10" s="1"/>
  <c r="AT30" i="7"/>
  <c r="AN22" i="7"/>
  <c r="AV22" i="7" s="1"/>
  <c r="D25" i="10" s="1"/>
  <c r="G25" i="10" s="1"/>
  <c r="AT22" i="7"/>
  <c r="AN13" i="7"/>
  <c r="AV13" i="7" s="1"/>
  <c r="D16" i="10" s="1"/>
  <c r="G16" i="10" s="1"/>
  <c r="AT13" i="7"/>
  <c r="AN24" i="7"/>
  <c r="AV24" i="7" s="1"/>
  <c r="D27" i="10" s="1"/>
  <c r="G27" i="10" s="1"/>
  <c r="AT24" i="7"/>
  <c r="AN27" i="7"/>
  <c r="AV27" i="7" s="1"/>
  <c r="D30" i="10" s="1"/>
  <c r="G30" i="10" s="1"/>
  <c r="AT27" i="7"/>
  <c r="AN12" i="7"/>
  <c r="AV12" i="7" s="1"/>
  <c r="D15" i="10" s="1"/>
  <c r="G15" i="10" s="1"/>
  <c r="AO26" i="7"/>
  <c r="AW26" i="7" s="1"/>
  <c r="C27" i="11" s="1"/>
  <c r="E27" i="11" s="1"/>
  <c r="AO25" i="7"/>
  <c r="AW25" i="7" s="1"/>
  <c r="C26" i="11" s="1"/>
  <c r="E26" i="11" s="1"/>
  <c r="AO16" i="7"/>
  <c r="AW16" i="7" s="1"/>
  <c r="C17" i="11" s="1"/>
  <c r="E17" i="11" s="1"/>
  <c r="AO27" i="7"/>
  <c r="AW27" i="7" s="1"/>
  <c r="C28" i="11" s="1"/>
  <c r="E28" i="11" s="1"/>
  <c r="AO17" i="7"/>
  <c r="AO23" i="7"/>
  <c r="AW23" i="7" s="1"/>
  <c r="C24" i="11" s="1"/>
  <c r="E24" i="11" s="1"/>
  <c r="AO15" i="7"/>
  <c r="AW15" i="7" s="1"/>
  <c r="C16" i="11" s="1"/>
  <c r="E16" i="11" s="1"/>
  <c r="AN31" i="7"/>
  <c r="AV31" i="7" s="1"/>
  <c r="D34" i="10" s="1"/>
  <c r="G34" i="10" s="1"/>
  <c r="AN17" i="7"/>
  <c r="AV17" i="7" s="1"/>
  <c r="D20" i="10" s="1"/>
  <c r="G20" i="10" s="1"/>
  <c r="AN28" i="7"/>
  <c r="AV28" i="7" s="1"/>
  <c r="D31" i="10" s="1"/>
  <c r="G31" i="10" s="1"/>
  <c r="AN26" i="7"/>
  <c r="AV26" i="7" s="1"/>
  <c r="D29" i="10" s="1"/>
  <c r="G29" i="10" s="1"/>
  <c r="AN25" i="7"/>
  <c r="AV25" i="7" s="1"/>
  <c r="D28" i="10" s="1"/>
  <c r="G28" i="10" s="1"/>
  <c r="AN19" i="7"/>
  <c r="AV19" i="7" s="1"/>
  <c r="D22" i="10" s="1"/>
  <c r="G22" i="10" s="1"/>
  <c r="AN21" i="7"/>
  <c r="AV21" i="7" s="1"/>
  <c r="D24" i="10" s="1"/>
  <c r="G24" i="10" s="1"/>
  <c r="AN14" i="7"/>
  <c r="AV14" i="7" s="1"/>
  <c r="D17" i="10" s="1"/>
  <c r="G17" i="10" s="1"/>
  <c r="AN29" i="7"/>
  <c r="AV29" i="7" s="1"/>
  <c r="D32" i="10" s="1"/>
  <c r="G32" i="10" s="1"/>
  <c r="AH17" i="7"/>
  <c r="AU22" i="7" s="1"/>
  <c r="AN16" i="7"/>
  <c r="AV16" i="7" s="1"/>
  <c r="D19" i="10" s="1"/>
  <c r="G19" i="10" s="1"/>
  <c r="AN18" i="7"/>
  <c r="AV18" i="7" s="1"/>
  <c r="D21" i="10" s="1"/>
  <c r="G21" i="10" s="1"/>
  <c r="AN23" i="7"/>
  <c r="AV23" i="7" s="1"/>
  <c r="D26" i="10" s="1"/>
  <c r="G26" i="10" s="1"/>
  <c r="AN15" i="7"/>
  <c r="AV15" i="7" s="1"/>
  <c r="D18" i="10" s="1"/>
  <c r="G18" i="10" s="1"/>
  <c r="AH8" i="7"/>
  <c r="AU13" i="7" s="1"/>
  <c r="AH13" i="7"/>
  <c r="AU18" i="7" s="1"/>
  <c r="AH9" i="7"/>
  <c r="AU14" i="7" s="1"/>
  <c r="AH7" i="7"/>
  <c r="AU12" i="7" s="1"/>
  <c r="AU15" i="1"/>
  <c r="BC15" i="1" s="1"/>
  <c r="B17" i="12" s="1"/>
  <c r="D17" i="12" s="1"/>
  <c r="AN22" i="1"/>
  <c r="AN25" i="1"/>
  <c r="AN17" i="1"/>
  <c r="AU17" i="1"/>
  <c r="BC17" i="1" s="1"/>
  <c r="B19" i="12" s="1"/>
  <c r="D19" i="12" s="1"/>
  <c r="AU25" i="1"/>
  <c r="BC25" i="1" s="1"/>
  <c r="B27" i="12" s="1"/>
  <c r="D27" i="12" s="1"/>
  <c r="AN10" i="1"/>
  <c r="BA14" i="1" s="1"/>
  <c r="AU28" i="1"/>
  <c r="BC28" i="1" s="1"/>
  <c r="B30" i="12" s="1"/>
  <c r="D30" i="12" s="1"/>
  <c r="AU27" i="1"/>
  <c r="BC27" i="1" s="1"/>
  <c r="B29" i="12" s="1"/>
  <c r="D29" i="12" s="1"/>
  <c r="AU13" i="1"/>
  <c r="BC13" i="1" s="1"/>
  <c r="B15" i="12" s="1"/>
  <c r="D15" i="12" s="1"/>
  <c r="AU19" i="1"/>
  <c r="BC19" i="1" s="1"/>
  <c r="B21" i="12" s="1"/>
  <c r="D21" i="12" s="1"/>
  <c r="AU11" i="1"/>
  <c r="BC11" i="1" s="1"/>
  <c r="B13" i="12" s="1"/>
  <c r="D13" i="12" s="1"/>
  <c r="U10" i="1"/>
  <c r="AN6" i="1" s="1"/>
  <c r="BA10" i="1" s="1"/>
  <c r="T10" i="1"/>
  <c r="AN16" i="1"/>
  <c r="BA20" i="1" s="1"/>
  <c r="AN8" i="1"/>
  <c r="BA12" i="1" s="1"/>
  <c r="AN20" i="1"/>
  <c r="BA24" i="1" s="1"/>
  <c r="AN18" i="1"/>
  <c r="BA22" i="1" s="1"/>
  <c r="AN19" i="1"/>
  <c r="BA23" i="1" s="1"/>
  <c r="AN12" i="1"/>
  <c r="BA16" i="1" s="1"/>
  <c r="AN14" i="1"/>
  <c r="BA18" i="1" s="1"/>
  <c r="T24" i="1"/>
  <c r="AL20" i="1" s="1"/>
  <c r="AZ24" i="1" s="1"/>
  <c r="T26" i="1"/>
  <c r="AL22" i="1" s="1"/>
  <c r="AZ26" i="1" s="1"/>
  <c r="T25" i="1"/>
  <c r="AL21" i="1" s="1"/>
  <c r="AZ25" i="1" s="1"/>
  <c r="T29" i="1"/>
  <c r="AL25" i="1" s="1"/>
  <c r="AZ29" i="1" s="1"/>
  <c r="T21" i="1"/>
  <c r="AL17" i="1" s="1"/>
  <c r="AZ21" i="1" s="1"/>
  <c r="T23" i="1"/>
  <c r="AL19" i="1" s="1"/>
  <c r="AZ23" i="1" s="1"/>
  <c r="T28" i="1"/>
  <c r="AL24" i="1" s="1"/>
  <c r="AZ28" i="1" s="1"/>
  <c r="T22" i="1"/>
  <c r="AL18" i="1" s="1"/>
  <c r="AZ22" i="1" s="1"/>
  <c r="T27" i="1"/>
  <c r="AL23" i="1" s="1"/>
  <c r="AZ27" i="1" s="1"/>
  <c r="T18" i="1"/>
  <c r="AL14" i="1" s="1"/>
  <c r="AZ18" i="1" s="1"/>
  <c r="T17" i="1"/>
  <c r="T16" i="1"/>
  <c r="T15" i="1"/>
  <c r="T13" i="1"/>
  <c r="T14" i="1"/>
  <c r="T20" i="1"/>
  <c r="AL16" i="1" s="1"/>
  <c r="AZ20" i="1" s="1"/>
  <c r="T12" i="1"/>
  <c r="T19" i="1"/>
  <c r="AL15" i="1" s="1"/>
  <c r="AZ19" i="1" s="1"/>
  <c r="T11" i="1"/>
  <c r="D26" i="11" l="1"/>
  <c r="F26" i="11" s="1"/>
  <c r="G26" i="11" s="1"/>
  <c r="C25" i="12"/>
  <c r="E25" i="12" s="1"/>
  <c r="D32" i="11"/>
  <c r="F32" i="11" s="1"/>
  <c r="G32" i="11" s="1"/>
  <c r="C31" i="12"/>
  <c r="E31" i="12" s="1"/>
  <c r="D30" i="11"/>
  <c r="F30" i="11" s="1"/>
  <c r="G30" i="11" s="1"/>
  <c r="C29" i="12"/>
  <c r="E29" i="12" s="1"/>
  <c r="F29" i="12" s="1"/>
  <c r="D27" i="11"/>
  <c r="F27" i="11" s="1"/>
  <c r="G27" i="11" s="1"/>
  <c r="C26" i="12"/>
  <c r="E26" i="12" s="1"/>
  <c r="D28" i="11"/>
  <c r="F28" i="11" s="1"/>
  <c r="G28" i="11" s="1"/>
  <c r="C27" i="12"/>
  <c r="E27" i="12" s="1"/>
  <c r="F27" i="12" s="1"/>
  <c r="D31" i="11"/>
  <c r="F31" i="11" s="1"/>
  <c r="G31" i="11" s="1"/>
  <c r="C30" i="12"/>
  <c r="E30" i="12" s="1"/>
  <c r="F30" i="12" s="1"/>
  <c r="D29" i="11"/>
  <c r="F29" i="11" s="1"/>
  <c r="G29" i="11" s="1"/>
  <c r="C28" i="12"/>
  <c r="E28" i="12" s="1"/>
  <c r="D25" i="11"/>
  <c r="F25" i="11" s="1"/>
  <c r="G25" i="11" s="1"/>
  <c r="C24" i="12"/>
  <c r="E24" i="12" s="1"/>
  <c r="D14" i="11"/>
  <c r="F14" i="11" s="1"/>
  <c r="C13" i="12"/>
  <c r="E13" i="12" s="1"/>
  <c r="F13" i="12" s="1"/>
  <c r="D19" i="11"/>
  <c r="F19" i="11" s="1"/>
  <c r="C18" i="12"/>
  <c r="E18" i="12" s="1"/>
  <c r="D22" i="11"/>
  <c r="F22" i="11" s="1"/>
  <c r="C21" i="12"/>
  <c r="E21" i="12" s="1"/>
  <c r="F21" i="12" s="1"/>
  <c r="D20" i="11"/>
  <c r="F20" i="11" s="1"/>
  <c r="G20" i="11" s="1"/>
  <c r="C19" i="12"/>
  <c r="E19" i="12" s="1"/>
  <c r="F19" i="12" s="1"/>
  <c r="D17" i="11"/>
  <c r="F17" i="11" s="1"/>
  <c r="G17" i="11" s="1"/>
  <c r="C16" i="12"/>
  <c r="E16" i="12" s="1"/>
  <c r="D18" i="11"/>
  <c r="F18" i="11" s="1"/>
  <c r="C17" i="12"/>
  <c r="E17" i="12" s="1"/>
  <c r="F17" i="12" s="1"/>
  <c r="AM18" i="5"/>
  <c r="AU18" i="5" s="1"/>
  <c r="C23" i="9" s="1"/>
  <c r="AS18" i="5"/>
  <c r="AM12" i="5"/>
  <c r="AU12" i="5" s="1"/>
  <c r="C17" i="9" s="1"/>
  <c r="AS12" i="5"/>
  <c r="AM20" i="5"/>
  <c r="AU20" i="5" s="1"/>
  <c r="C25" i="9" s="1"/>
  <c r="AS20" i="5"/>
  <c r="AM13" i="5"/>
  <c r="AU13" i="5" s="1"/>
  <c r="C18" i="9" s="1"/>
  <c r="AS13" i="5"/>
  <c r="AM21" i="5"/>
  <c r="AU21" i="5" s="1"/>
  <c r="C26" i="9" s="1"/>
  <c r="AS21" i="5"/>
  <c r="AM10" i="5"/>
  <c r="AU10" i="5" s="1"/>
  <c r="C15" i="9" s="1"/>
  <c r="AS10" i="5"/>
  <c r="AL16" i="5"/>
  <c r="AT16" i="5" s="1"/>
  <c r="AR16" i="5"/>
  <c r="AL10" i="5"/>
  <c r="AT10" i="5" s="1"/>
  <c r="AR10" i="5"/>
  <c r="AU21" i="1"/>
  <c r="BC21" i="1" s="1"/>
  <c r="B23" i="12" s="1"/>
  <c r="D23" i="12" s="1"/>
  <c r="BA21" i="1"/>
  <c r="AU29" i="1"/>
  <c r="BC29" i="1" s="1"/>
  <c r="B31" i="12" s="1"/>
  <c r="D31" i="12" s="1"/>
  <c r="BA29" i="1"/>
  <c r="AU26" i="1"/>
  <c r="BC26" i="1" s="1"/>
  <c r="B28" i="12" s="1"/>
  <c r="D28" i="12" s="1"/>
  <c r="BA26" i="1"/>
  <c r="AO12" i="7"/>
  <c r="AW12" i="7" s="1"/>
  <c r="C13" i="11" s="1"/>
  <c r="E13" i="11" s="1"/>
  <c r="AO14" i="7"/>
  <c r="AW14" i="7" s="1"/>
  <c r="C15" i="11" s="1"/>
  <c r="E15" i="11" s="1"/>
  <c r="AW17" i="7"/>
  <c r="C18" i="11" s="1"/>
  <c r="E18" i="11" s="1"/>
  <c r="AO18" i="7"/>
  <c r="AW18" i="7" s="1"/>
  <c r="C19" i="11" s="1"/>
  <c r="E19" i="11" s="1"/>
  <c r="AW21" i="7"/>
  <c r="C22" i="11" s="1"/>
  <c r="E22" i="11" s="1"/>
  <c r="AO22" i="7"/>
  <c r="AW22" i="7" s="1"/>
  <c r="C23" i="11" s="1"/>
  <c r="E23" i="11" s="1"/>
  <c r="AO13" i="7"/>
  <c r="AW13" i="7" s="1"/>
  <c r="C14" i="11" s="1"/>
  <c r="E14" i="11" s="1"/>
  <c r="AU23" i="1"/>
  <c r="BC23" i="1" s="1"/>
  <c r="B25" i="12" s="1"/>
  <c r="D25" i="12" s="1"/>
  <c r="AU24" i="1"/>
  <c r="BC24" i="1" s="1"/>
  <c r="B26" i="12" s="1"/>
  <c r="D26" i="12" s="1"/>
  <c r="AU22" i="1"/>
  <c r="BC22" i="1" s="1"/>
  <c r="B24" i="12" s="1"/>
  <c r="D24" i="12" s="1"/>
  <c r="AU12" i="1"/>
  <c r="BC12" i="1" s="1"/>
  <c r="B14" i="12" s="1"/>
  <c r="D14" i="12" s="1"/>
  <c r="AU20" i="1"/>
  <c r="BC20" i="1" s="1"/>
  <c r="B22" i="12" s="1"/>
  <c r="D22" i="12" s="1"/>
  <c r="AU18" i="1"/>
  <c r="BC18" i="1" s="1"/>
  <c r="B20" i="12" s="1"/>
  <c r="D20" i="12" s="1"/>
  <c r="AU16" i="1"/>
  <c r="BC16" i="1" s="1"/>
  <c r="B18" i="12" s="1"/>
  <c r="D18" i="12" s="1"/>
  <c r="AU14" i="1"/>
  <c r="BC14" i="1" s="1"/>
  <c r="B16" i="12" s="1"/>
  <c r="D16" i="12" s="1"/>
  <c r="AU10" i="1"/>
  <c r="BC10" i="1" s="1"/>
  <c r="B12" i="12" s="1"/>
  <c r="D12" i="12" s="1"/>
  <c r="AT29" i="1"/>
  <c r="BB29" i="1" s="1"/>
  <c r="AT25" i="1"/>
  <c r="BB25" i="1" s="1"/>
  <c r="AT26" i="1"/>
  <c r="BB26" i="1" s="1"/>
  <c r="AT27" i="1"/>
  <c r="BB27" i="1" s="1"/>
  <c r="AT24" i="1"/>
  <c r="BB24" i="1" s="1"/>
  <c r="AT28" i="1"/>
  <c r="BB28" i="1" s="1"/>
  <c r="AT23" i="1"/>
  <c r="BB23" i="1" s="1"/>
  <c r="AT19" i="1"/>
  <c r="BB19" i="1" s="1"/>
  <c r="AT18" i="1"/>
  <c r="BB18" i="1" s="1"/>
  <c r="AT20" i="1"/>
  <c r="BB20" i="1" s="1"/>
  <c r="AT22" i="1"/>
  <c r="BB22" i="1" s="1"/>
  <c r="AT21" i="1"/>
  <c r="BB21" i="1" s="1"/>
  <c r="AL6" i="1"/>
  <c r="AL8" i="1"/>
  <c r="AZ12" i="1" s="1"/>
  <c r="AL10" i="1"/>
  <c r="AZ14" i="1" s="1"/>
  <c r="AL9" i="1"/>
  <c r="AZ13" i="1" s="1"/>
  <c r="AL11" i="1"/>
  <c r="AZ15" i="1" s="1"/>
  <c r="AL12" i="1"/>
  <c r="AZ16" i="1" s="1"/>
  <c r="AL7" i="1"/>
  <c r="AZ11" i="1" s="1"/>
  <c r="AL13" i="1"/>
  <c r="AZ17" i="1" s="1"/>
  <c r="C33" i="10" l="1"/>
  <c r="F33" i="10" s="1"/>
  <c r="H33" i="10" s="1"/>
  <c r="B32" i="8"/>
  <c r="C32" i="10"/>
  <c r="F32" i="10" s="1"/>
  <c r="H32" i="10" s="1"/>
  <c r="B31" i="8"/>
  <c r="C29" i="10"/>
  <c r="F29" i="10" s="1"/>
  <c r="H29" i="10" s="1"/>
  <c r="B28" i="8"/>
  <c r="C26" i="10"/>
  <c r="F26" i="10" s="1"/>
  <c r="H26" i="10" s="1"/>
  <c r="B25" i="8"/>
  <c r="C27" i="10"/>
  <c r="F27" i="10" s="1"/>
  <c r="H27" i="10" s="1"/>
  <c r="B26" i="8"/>
  <c r="C31" i="10"/>
  <c r="F31" i="10" s="1"/>
  <c r="H31" i="10" s="1"/>
  <c r="B30" i="8"/>
  <c r="C25" i="10"/>
  <c r="F25" i="10" s="1"/>
  <c r="H25" i="10" s="1"/>
  <c r="B24" i="8"/>
  <c r="C30" i="10"/>
  <c r="F30" i="10" s="1"/>
  <c r="H30" i="10" s="1"/>
  <c r="B29" i="8"/>
  <c r="C23" i="10"/>
  <c r="F23" i="10" s="1"/>
  <c r="H23" i="10" s="1"/>
  <c r="B22" i="8"/>
  <c r="C34" i="10"/>
  <c r="F34" i="10" s="1"/>
  <c r="H34" i="10" s="1"/>
  <c r="B33" i="8"/>
  <c r="C24" i="10"/>
  <c r="F24" i="10" s="1"/>
  <c r="H24" i="10" s="1"/>
  <c r="B23" i="8"/>
  <c r="C28" i="10"/>
  <c r="F28" i="10" s="1"/>
  <c r="H28" i="10" s="1"/>
  <c r="B27" i="8"/>
  <c r="F17" i="9"/>
  <c r="G14" i="11"/>
  <c r="F16" i="12"/>
  <c r="F25" i="12"/>
  <c r="F26" i="12"/>
  <c r="F18" i="12"/>
  <c r="F24" i="12"/>
  <c r="F28" i="12"/>
  <c r="F31" i="12"/>
  <c r="G22" i="11"/>
  <c r="G19" i="11"/>
  <c r="D16" i="11"/>
  <c r="F16" i="11" s="1"/>
  <c r="G16" i="11" s="1"/>
  <c r="C15" i="12"/>
  <c r="E15" i="12" s="1"/>
  <c r="F15" i="12" s="1"/>
  <c r="D23" i="11"/>
  <c r="F23" i="11" s="1"/>
  <c r="G23" i="11" s="1"/>
  <c r="C22" i="12"/>
  <c r="E22" i="12" s="1"/>
  <c r="F22" i="12" s="1"/>
  <c r="G18" i="11"/>
  <c r="D15" i="11"/>
  <c r="F15" i="11" s="1"/>
  <c r="G15" i="11" s="1"/>
  <c r="C14" i="12"/>
  <c r="E14" i="12" s="1"/>
  <c r="F14" i="12" s="1"/>
  <c r="D24" i="11"/>
  <c r="F24" i="11" s="1"/>
  <c r="G24" i="11" s="1"/>
  <c r="C23" i="12"/>
  <c r="E23" i="12" s="1"/>
  <c r="F23" i="12" s="1"/>
  <c r="D21" i="11"/>
  <c r="F21" i="11" s="1"/>
  <c r="G21" i="11" s="1"/>
  <c r="C20" i="12"/>
  <c r="E20" i="12" s="1"/>
  <c r="F20" i="12" s="1"/>
  <c r="D13" i="11"/>
  <c r="F13" i="11" s="1"/>
  <c r="G13" i="11" s="1"/>
  <c r="C12" i="12"/>
  <c r="E12" i="12" s="1"/>
  <c r="F12" i="12" s="1"/>
  <c r="AT10" i="1"/>
  <c r="BB10" i="1" s="1"/>
  <c r="B14" i="8" s="1"/>
  <c r="AZ10" i="1"/>
  <c r="AT15" i="1"/>
  <c r="BB15" i="1" s="1"/>
  <c r="AT16" i="1"/>
  <c r="BB16" i="1" s="1"/>
  <c r="AT13" i="1"/>
  <c r="BB13" i="1" s="1"/>
  <c r="AT14" i="1"/>
  <c r="BB14" i="1" s="1"/>
  <c r="AT12" i="1"/>
  <c r="BB12" i="1" s="1"/>
  <c r="AT17" i="1"/>
  <c r="BB17" i="1" s="1"/>
  <c r="AT11" i="1"/>
  <c r="BB11" i="1" s="1"/>
  <c r="B15" i="8" s="1"/>
  <c r="C22" i="10" l="1"/>
  <c r="F22" i="10" s="1"/>
  <c r="H22" i="10" s="1"/>
  <c r="B21" i="8"/>
  <c r="C19" i="10"/>
  <c r="F19" i="10" s="1"/>
  <c r="H19" i="10" s="1"/>
  <c r="B18" i="8"/>
  <c r="C21" i="10"/>
  <c r="F21" i="10" s="1"/>
  <c r="H21" i="10" s="1"/>
  <c r="B20" i="8"/>
  <c r="C17" i="10"/>
  <c r="F17" i="10" s="1"/>
  <c r="H17" i="10" s="1"/>
  <c r="B16" i="8"/>
  <c r="C18" i="10"/>
  <c r="F18" i="10" s="1"/>
  <c r="H18" i="10" s="1"/>
  <c r="B17" i="8"/>
  <c r="C20" i="10"/>
  <c r="F20" i="10" s="1"/>
  <c r="H20" i="10" s="1"/>
  <c r="B19" i="8"/>
  <c r="C16" i="10"/>
  <c r="F16" i="10" s="1"/>
  <c r="H16" i="10" s="1"/>
  <c r="C15" i="10"/>
  <c r="F15" i="10" s="1"/>
  <c r="H15" i="10" s="1"/>
  <c r="F21" i="9"/>
  <c r="L21" i="9"/>
  <c r="I6" i="12"/>
  <c r="J7" i="11"/>
  <c r="E15" i="8" l="1"/>
  <c r="J8" i="10"/>
  <c r="Q12" i="10" s="1"/>
  <c r="G21" i="9"/>
  <c r="H21" i="9" s="1"/>
  <c r="E14" i="14" s="1"/>
  <c r="I10" i="12"/>
  <c r="N12" i="12"/>
  <c r="J11" i="11"/>
  <c r="P11" i="11"/>
  <c r="E20" i="8" l="1"/>
  <c r="C20" i="8" s="1"/>
  <c r="J20" i="8"/>
  <c r="K12" i="10"/>
  <c r="J10" i="12"/>
  <c r="K9" i="12" s="1"/>
  <c r="H14" i="14" s="1"/>
  <c r="K11" i="11"/>
  <c r="L11" i="11" s="1"/>
  <c r="G14" i="14" s="1"/>
  <c r="L12" i="10" l="1"/>
  <c r="M12" i="10" s="1"/>
  <c r="F14" i="14" s="1"/>
  <c r="F20" i="8"/>
  <c r="G20" i="8" s="1"/>
  <c r="D14" i="14" s="1"/>
</calcChain>
</file>

<file path=xl/sharedStrings.xml><?xml version="1.0" encoding="utf-8"?>
<sst xmlns="http://schemas.openxmlformats.org/spreadsheetml/2006/main" count="985" uniqueCount="138">
  <si>
    <t>Varity A</t>
  </si>
  <si>
    <t>Mean</t>
  </si>
  <si>
    <t>STD</t>
  </si>
  <si>
    <t>Min</t>
  </si>
  <si>
    <t>Likely</t>
  </si>
  <si>
    <t>Max</t>
  </si>
  <si>
    <t>Price per ton - Normal distribution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</si>
  <si>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</si>
  <si>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</si>
  <si>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</si>
  <si>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</si>
  <si>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</si>
  <si>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</si>
  <si>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</si>
  <si>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</si>
  <si>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</si>
  <si>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</si>
  <si>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</si>
  <si>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</si>
  <si>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</si>
  <si>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</si>
  <si>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</si>
  <si>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</si>
  <si>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</si>
  <si>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</si>
  <si>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</si>
  <si>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</si>
  <si>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Annual yield (avkastning) - Triangular distribution</t>
  </si>
  <si>
    <t>Annual Demand</t>
  </si>
  <si>
    <t>Farming tecniques:</t>
  </si>
  <si>
    <t>Traditional farming</t>
  </si>
  <si>
    <t>Modern farming</t>
  </si>
  <si>
    <t>Effect on the annual yield in percentage</t>
  </si>
  <si>
    <t>Traditinal farming</t>
  </si>
  <si>
    <t>Traditional</t>
  </si>
  <si>
    <t>Modern</t>
  </si>
  <si>
    <t>Scaled mean</t>
  </si>
  <si>
    <t>Scaled STD</t>
  </si>
  <si>
    <t>Total hectar per year</t>
  </si>
  <si>
    <t>Fixed cost per year</t>
  </si>
  <si>
    <t>5 % probability of occuring each year</t>
  </si>
  <si>
    <t>0 if it dosent occure, 1 if it does</t>
  </si>
  <si>
    <t>Disese occurance</t>
  </si>
  <si>
    <t>Traditonal</t>
  </si>
  <si>
    <t>Exponential distribution</t>
  </si>
  <si>
    <t>Lambda</t>
  </si>
  <si>
    <t>Average</t>
  </si>
  <si>
    <t>Adjusted yield traditional</t>
  </si>
  <si>
    <t>Adjusted yield modern</t>
  </si>
  <si>
    <t>Adjusting yield to deases risk</t>
  </si>
  <si>
    <t>Annual revenue</t>
  </si>
  <si>
    <t>Costs</t>
  </si>
  <si>
    <t>Disease events</t>
  </si>
  <si>
    <t>Yield</t>
  </si>
  <si>
    <t>Annual fixed cost per hectar</t>
  </si>
  <si>
    <t xml:space="preserve">Traditonal </t>
  </si>
  <si>
    <t>Profit per year</t>
  </si>
  <si>
    <t>Varity B</t>
  </si>
  <si>
    <t>Annual Yield</t>
  </si>
  <si>
    <t>Most likely</t>
  </si>
  <si>
    <t>Triangular distribution</t>
  </si>
  <si>
    <t>Price per ton</t>
  </si>
  <si>
    <t>Normal distribution</t>
  </si>
  <si>
    <t>Annual demand</t>
  </si>
  <si>
    <t>CLP 1 600 000,00</t>
  </si>
  <si>
    <t>CLP 200 000,00</t>
  </si>
  <si>
    <t>Varity C</t>
  </si>
  <si>
    <t>Annual yield</t>
  </si>
  <si>
    <t>Mostly</t>
  </si>
  <si>
    <t>Inn ton</t>
  </si>
  <si>
    <t>CLP 1 900 000,00</t>
  </si>
  <si>
    <t>CLP 250 000,00</t>
  </si>
  <si>
    <t>Material costs per hectar</t>
  </si>
  <si>
    <t>Fixed cost per year (20 hectar)</t>
  </si>
  <si>
    <t>NPV</t>
  </si>
  <si>
    <t>Discount rate</t>
  </si>
  <si>
    <t>NPV:</t>
  </si>
  <si>
    <t>1000 Replications(scenarios) of NPV:</t>
  </si>
  <si>
    <t>Sample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</si>
  <si>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</si>
  <si>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</si>
  <si>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</si>
  <si>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</si>
  <si>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</si>
  <si>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</si>
  <si>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</si>
  <si>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</si>
  <si>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</si>
  <si>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</si>
  <si>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</si>
  <si>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</si>
  <si>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1000 replications of NPV:</t>
  </si>
  <si>
    <t>Diff</t>
  </si>
  <si>
    <t>Profit/2 Varity A</t>
  </si>
  <si>
    <t>Profit/2 Varity B</t>
  </si>
  <si>
    <t>SUM Profit A + Profit B</t>
  </si>
  <si>
    <t>1000 replications for NPV:</t>
  </si>
  <si>
    <t>Profit/2 Varity C</t>
  </si>
  <si>
    <t>Sum varity B + varity C</t>
  </si>
  <si>
    <t>sample</t>
  </si>
  <si>
    <t>More</t>
  </si>
  <si>
    <t>Frequency</t>
  </si>
  <si>
    <t>Average CLP</t>
  </si>
  <si>
    <t>Diff: actual NPV and mean NPV</t>
  </si>
  <si>
    <t xml:space="preserve">Varity C </t>
  </si>
  <si>
    <t xml:space="preserve">Varity A </t>
  </si>
  <si>
    <t>Total Profit Varity A + Varity C</t>
  </si>
  <si>
    <t>1000 replications/simulations</t>
  </si>
  <si>
    <t>NPV&gt;1,7 Billion</t>
  </si>
  <si>
    <t>Descriptive statistics Alt 5</t>
  </si>
  <si>
    <t>Bin</t>
  </si>
  <si>
    <t>Descriptive Statistics</t>
  </si>
  <si>
    <t>NPV&lt;1,7 Billion</t>
  </si>
  <si>
    <t>Descriptive Statistics Alt 3</t>
  </si>
  <si>
    <t>Sample mean</t>
  </si>
  <si>
    <t>Sample size</t>
  </si>
  <si>
    <t>Confidence level</t>
  </si>
  <si>
    <t>Margin of error</t>
  </si>
  <si>
    <t>Lower estimat</t>
  </si>
  <si>
    <t>Upper estimat</t>
  </si>
  <si>
    <t>The lower the range the better and more accurate is our model.</t>
  </si>
  <si>
    <t>Varity B - Cabarnet Savignon</t>
  </si>
  <si>
    <t>Varity C - Syrah</t>
  </si>
  <si>
    <t>Descriptive statisctics</t>
  </si>
  <si>
    <t>Probability of NPV lower then 1,7 Billion</t>
  </si>
  <si>
    <t>Probability of NPV &lt; 1,7 Billion</t>
  </si>
  <si>
    <t>Probability of NPV&lt;1,7 Billion</t>
  </si>
  <si>
    <t>Alt 1</t>
  </si>
  <si>
    <t>Alt 2</t>
  </si>
  <si>
    <t>Alt 3</t>
  </si>
  <si>
    <t>Alt 4</t>
  </si>
  <si>
    <t>Alt 5</t>
  </si>
  <si>
    <t>Mean NPV</t>
  </si>
  <si>
    <t>95 % CL range</t>
  </si>
  <si>
    <t>95% CL range</t>
  </si>
  <si>
    <t>Main Statistics</t>
  </si>
  <si>
    <t>All calculations related to Varity A - Carménère</t>
  </si>
  <si>
    <t>Histogram: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</si>
</sst>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NOK&quot;\ #,##0.00;[Red]\-&quot;NOK&quot;\ #,##0.00"/>
    <numFmt numFmtId="44" formatCode="_-&quot;NOK&quot;\ * #,##0.00_-;\-&quot;NOK&quot;\ * #,##0.00_-;_-&quot;NOK&quot;\ * &quot;-&quot;??_-;_-@_-"/>
    <numFmt numFmtId="164" formatCode="_-[$CLP]\ * #,##0.00_-;\-[$CLP]\ * #,##0.00_-;_-[$CLP]\ * &quot;-&quot;??_-;_-@_-"/>
    <numFmt numFmtId="165" formatCode="[$CLP]\ #,##0.00"/>
    <numFmt numFmtId="166" formatCode="_-[$CLP]\ * #,##0_-;\-[$CLP]\ * #,##0_-;_-[$CLP]\ * &quot;-&quot;??_-;_-@_-"/>
    <numFmt numFmtId="167" formatCode="[$CLP]\ #,##0"/>
    <numFmt numFmtId="168" formatCode="0.0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i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97132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00">
    <xf numFmtId="0" fontId="0" fillId="0" borderId="0" xfId="0"/>
    <xf numFmtId="0" fontId="1" fillId="0" borderId="0" xfId="0" applyFont="1"/>
    <xf numFmtId="0" fontId="4" fillId="0" borderId="0" xfId="0" applyFon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0" fontId="1" fillId="2" borderId="0" xfId="0" applyFont="1" applyFill="1"/>
    <xf numFmtId="0" fontId="1" fillId="3" borderId="0" xfId="0" applyFont="1" applyFill="1"/>
    <xf numFmtId="165" fontId="0" fillId="0" borderId="0" xfId="0" applyNumberFormat="1"/>
    <xf numFmtId="2" fontId="0" fillId="0" borderId="0" xfId="1" applyNumberFormat="1" applyFont="1"/>
    <xf numFmtId="0" fontId="1" fillId="4" borderId="0" xfId="0" applyFont="1" applyFill="1"/>
    <xf numFmtId="165" fontId="0" fillId="0" borderId="0" xfId="1" applyNumberFormat="1" applyFont="1"/>
    <xf numFmtId="0" fontId="0" fillId="4" borderId="0" xfId="0" applyFill="1"/>
    <xf numFmtId="166" fontId="0" fillId="0" borderId="0" xfId="0" applyNumberFormat="1"/>
    <xf numFmtId="0" fontId="8" fillId="0" borderId="0" xfId="0" applyFont="1"/>
    <xf numFmtId="0" fontId="7" fillId="5" borderId="0" xfId="0" applyFont="1" applyFill="1"/>
    <xf numFmtId="0" fontId="7" fillId="6" borderId="0" xfId="0" applyFont="1" applyFill="1"/>
    <xf numFmtId="0" fontId="7" fillId="0" borderId="0" xfId="0" applyFont="1"/>
    <xf numFmtId="165" fontId="8" fillId="0" borderId="0" xfId="0" applyNumberFormat="1" applyFont="1"/>
    <xf numFmtId="2" fontId="8" fillId="0" borderId="0" xfId="0" applyNumberFormat="1" applyFont="1"/>
    <xf numFmtId="164" fontId="8" fillId="0" borderId="0" xfId="0" applyNumberFormat="1" applyFont="1"/>
    <xf numFmtId="165" fontId="8" fillId="0" borderId="0" xfId="1" applyNumberFormat="1" applyFont="1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167" fontId="0" fillId="0" borderId="0" xfId="1" applyNumberFormat="1" applyFont="1"/>
    <xf numFmtId="0" fontId="1" fillId="7" borderId="0" xfId="0" applyFont="1" applyFill="1"/>
    <xf numFmtId="0" fontId="0" fillId="7" borderId="0" xfId="0" applyFill="1"/>
    <xf numFmtId="0" fontId="7" fillId="8" borderId="0" xfId="0" applyFont="1" applyFill="1"/>
    <xf numFmtId="167" fontId="8" fillId="0" borderId="0" xfId="0" applyNumberFormat="1" applyFont="1"/>
    <xf numFmtId="166" fontId="8" fillId="0" borderId="0" xfId="0" applyNumberFormat="1" applyFont="1"/>
    <xf numFmtId="0" fontId="8" fillId="7" borderId="0" xfId="0" applyFont="1" applyFill="1"/>
    <xf numFmtId="0" fontId="7" fillId="7" borderId="0" xfId="0" applyFont="1" applyFill="1"/>
    <xf numFmtId="8" fontId="0" fillId="0" borderId="0" xfId="0" applyNumberFormat="1"/>
    <xf numFmtId="0" fontId="0" fillId="0" borderId="0" xfId="1" applyNumberFormat="1" applyFont="1"/>
    <xf numFmtId="9" fontId="0" fillId="0" borderId="0" xfId="2" applyFont="1"/>
    <xf numFmtId="164" fontId="0" fillId="0" borderId="0" xfId="1" applyNumberFormat="1" applyFont="1"/>
    <xf numFmtId="0" fontId="0" fillId="0" borderId="1" xfId="0" applyBorder="1"/>
    <xf numFmtId="164" fontId="1" fillId="0" borderId="0" xfId="0" applyNumberFormat="1" applyFont="1"/>
    <xf numFmtId="0" fontId="9" fillId="0" borderId="0" xfId="0" applyFont="1" applyAlignment="1">
      <alignment horizontal="center"/>
    </xf>
    <xf numFmtId="0" fontId="1" fillId="9" borderId="0" xfId="0" applyFont="1" applyFill="1"/>
    <xf numFmtId="0" fontId="7" fillId="10" borderId="0" xfId="0" applyFont="1" applyFill="1"/>
    <xf numFmtId="0" fontId="8" fillId="9" borderId="0" xfId="0" applyFont="1" applyFill="1"/>
    <xf numFmtId="0" fontId="7" fillId="9" borderId="0" xfId="0" applyFont="1" applyFill="1"/>
    <xf numFmtId="0" fontId="0" fillId="9" borderId="0" xfId="0" applyFill="1"/>
    <xf numFmtId="167" fontId="0" fillId="0" borderId="0" xfId="1" applyNumberFormat="1" applyFont="1" applyFill="1"/>
    <xf numFmtId="0" fontId="10" fillId="0" borderId="0" xfId="0" applyFont="1" applyAlignment="1">
      <alignment horizontal="center"/>
    </xf>
    <xf numFmtId="0" fontId="1" fillId="11" borderId="0" xfId="0" applyFont="1" applyFill="1"/>
    <xf numFmtId="0" fontId="9" fillId="4" borderId="2" xfId="0" applyFont="1" applyFill="1" applyBorder="1" applyAlignment="1">
      <alignment horizontal="centerContinuous"/>
    </xf>
    <xf numFmtId="0" fontId="10" fillId="4" borderId="2" xfId="0" applyFont="1" applyFill="1" applyBorder="1" applyAlignment="1">
      <alignment horizontal="centerContinuous"/>
    </xf>
    <xf numFmtId="0" fontId="1" fillId="4" borderId="3" xfId="0" applyFont="1" applyFill="1" applyBorder="1"/>
    <xf numFmtId="0" fontId="0" fillId="0" borderId="0" xfId="0" applyFill="1" applyBorder="1" applyAlignment="1"/>
    <xf numFmtId="0" fontId="0" fillId="0" borderId="1" xfId="0" applyFill="1" applyBorder="1" applyAlignment="1"/>
    <xf numFmtId="0" fontId="9" fillId="0" borderId="2" xfId="0" applyFont="1" applyFill="1" applyBorder="1" applyAlignment="1">
      <alignment horizontal="center"/>
    </xf>
    <xf numFmtId="0" fontId="0" fillId="0" borderId="0" xfId="0" applyBorder="1"/>
    <xf numFmtId="0" fontId="9" fillId="0" borderId="0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" fillId="12" borderId="0" xfId="0" applyFont="1" applyFill="1"/>
    <xf numFmtId="10" fontId="0" fillId="0" borderId="0" xfId="2" applyNumberFormat="1" applyFont="1"/>
    <xf numFmtId="0" fontId="0" fillId="0" borderId="0" xfId="0" applyNumberFormat="1" applyFill="1" applyBorder="1" applyAlignment="1"/>
    <xf numFmtId="0" fontId="0" fillId="0" borderId="1" xfId="0" applyNumberFormat="1" applyFill="1" applyBorder="1" applyAlignment="1"/>
    <xf numFmtId="164" fontId="0" fillId="0" borderId="0" xfId="0" applyNumberFormat="1" applyFill="1" applyBorder="1" applyAlignment="1"/>
    <xf numFmtId="9" fontId="0" fillId="0" borderId="0" xfId="2" applyFont="1" applyFill="1" applyBorder="1" applyAlignment="1"/>
    <xf numFmtId="0" fontId="0" fillId="11" borderId="0" xfId="0" applyFill="1"/>
    <xf numFmtId="0" fontId="10" fillId="12" borderId="2" xfId="0" applyFont="1" applyFill="1" applyBorder="1" applyAlignment="1">
      <alignment horizontal="center"/>
    </xf>
    <xf numFmtId="0" fontId="10" fillId="12" borderId="2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" fillId="0" borderId="0" xfId="0" applyFont="1" applyBorder="1"/>
    <xf numFmtId="164" fontId="1" fillId="0" borderId="0" xfId="0" applyNumberFormat="1" applyFont="1" applyBorder="1"/>
    <xf numFmtId="164" fontId="0" fillId="0" borderId="0" xfId="0" applyNumberFormat="1" applyBorder="1"/>
    <xf numFmtId="0" fontId="1" fillId="0" borderId="0" xfId="0" applyFont="1" applyFill="1"/>
    <xf numFmtId="8" fontId="1" fillId="7" borderId="0" xfId="0" applyNumberFormat="1" applyFont="1" applyFill="1"/>
    <xf numFmtId="0" fontId="10" fillId="11" borderId="0" xfId="0" applyFont="1" applyFill="1" applyAlignment="1">
      <alignment horizontal="center"/>
    </xf>
    <xf numFmtId="0" fontId="10" fillId="11" borderId="2" xfId="0" applyFont="1" applyFill="1" applyBorder="1" applyAlignment="1">
      <alignment horizontal="center"/>
    </xf>
    <xf numFmtId="0" fontId="10" fillId="11" borderId="2" xfId="0" applyFont="1" applyFill="1" applyBorder="1" applyAlignment="1">
      <alignment horizontal="center"/>
    </xf>
    <xf numFmtId="0" fontId="0" fillId="0" borderId="0" xfId="0" applyFill="1"/>
    <xf numFmtId="9" fontId="0" fillId="0" borderId="0" xfId="2" applyFont="1" applyFill="1"/>
    <xf numFmtId="164" fontId="0" fillId="0" borderId="0" xfId="0" applyNumberFormat="1" applyFill="1"/>
    <xf numFmtId="8" fontId="0" fillId="0" borderId="0" xfId="0" applyNumberFormat="1" applyFill="1"/>
    <xf numFmtId="8" fontId="1" fillId="0" borderId="0" xfId="0" applyNumberFormat="1" applyFont="1" applyFill="1"/>
    <xf numFmtId="0" fontId="1" fillId="11" borderId="6" xfId="0" applyFont="1" applyFill="1" applyBorder="1"/>
    <xf numFmtId="0" fontId="1" fillId="11" borderId="7" xfId="0" applyFont="1" applyFill="1" applyBorder="1"/>
    <xf numFmtId="164" fontId="0" fillId="0" borderId="11" xfId="0" applyNumberFormat="1" applyBorder="1"/>
    <xf numFmtId="0" fontId="0" fillId="0" borderId="5" xfId="0" applyBorder="1"/>
    <xf numFmtId="0" fontId="1" fillId="11" borderId="5" xfId="0" applyFont="1" applyFill="1" applyBorder="1"/>
    <xf numFmtId="0" fontId="1" fillId="0" borderId="1" xfId="0" applyFont="1" applyBorder="1"/>
    <xf numFmtId="10" fontId="0" fillId="0" borderId="0" xfId="0" applyNumberFormat="1" applyBorder="1"/>
    <xf numFmtId="9" fontId="0" fillId="0" borderId="0" xfId="0" applyNumberFormat="1" applyBorder="1"/>
    <xf numFmtId="0" fontId="11" fillId="11" borderId="6" xfId="0" applyFont="1" applyFill="1" applyBorder="1"/>
    <xf numFmtId="0" fontId="1" fillId="9" borderId="9" xfId="0" applyFont="1" applyFill="1" applyBorder="1"/>
    <xf numFmtId="0" fontId="1" fillId="9" borderId="4" xfId="0" applyFont="1" applyFill="1" applyBorder="1"/>
    <xf numFmtId="0" fontId="1" fillId="9" borderId="10" xfId="0" applyFont="1" applyFill="1" applyBorder="1"/>
    <xf numFmtId="164" fontId="0" fillId="0" borderId="13" xfId="0" applyNumberFormat="1" applyBorder="1"/>
    <xf numFmtId="164" fontId="0" fillId="0" borderId="14" xfId="0" applyNumberFormat="1" applyBorder="1"/>
    <xf numFmtId="10" fontId="0" fillId="0" borderId="11" xfId="0" applyNumberFormat="1" applyBorder="1"/>
    <xf numFmtId="0" fontId="0" fillId="0" borderId="12" xfId="0" applyBorder="1"/>
    <xf numFmtId="0" fontId="1" fillId="11" borderId="7" xfId="0" applyFont="1" applyFill="1" applyBorder="1" applyAlignment="1">
      <alignment horizontal="left"/>
    </xf>
    <xf numFmtId="0" fontId="1" fillId="11" borderId="8" xfId="0" applyFont="1" applyFill="1" applyBorder="1"/>
    <xf numFmtId="0" fontId="2" fillId="11" borderId="0" xfId="0" applyFont="1" applyFill="1"/>
    <xf numFmtId="0" fontId="6" fillId="11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Alternative 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'NPV - Allt.1'!$L$20:$L$51</c:f>
              <c:strCache>
                <c:ptCount val="32"/>
                <c:pt idx="0">
                  <c:v>2430459403</c:v>
                </c:pt>
                <c:pt idx="1">
                  <c:v>2468345807</c:v>
                </c:pt>
                <c:pt idx="2">
                  <c:v>2506232211</c:v>
                </c:pt>
                <c:pt idx="3">
                  <c:v>2544118615</c:v>
                </c:pt>
                <c:pt idx="4">
                  <c:v>2582005019</c:v>
                </c:pt>
                <c:pt idx="5">
                  <c:v>2619891423</c:v>
                </c:pt>
                <c:pt idx="6">
                  <c:v>2657777827</c:v>
                </c:pt>
                <c:pt idx="7">
                  <c:v>2695664231</c:v>
                </c:pt>
                <c:pt idx="8">
                  <c:v>2733550635</c:v>
                </c:pt>
                <c:pt idx="9">
                  <c:v>2771437039</c:v>
                </c:pt>
                <c:pt idx="10">
                  <c:v>2809323442</c:v>
                </c:pt>
                <c:pt idx="11">
                  <c:v>2847209846</c:v>
                </c:pt>
                <c:pt idx="12">
                  <c:v>2885096250</c:v>
                </c:pt>
                <c:pt idx="13">
                  <c:v>2922982654</c:v>
                </c:pt>
                <c:pt idx="14">
                  <c:v>2960869058</c:v>
                </c:pt>
                <c:pt idx="15">
                  <c:v>2998755462</c:v>
                </c:pt>
                <c:pt idx="16">
                  <c:v>3036641866</c:v>
                </c:pt>
                <c:pt idx="17">
                  <c:v>3074528270</c:v>
                </c:pt>
                <c:pt idx="18">
                  <c:v>3112414674</c:v>
                </c:pt>
                <c:pt idx="19">
                  <c:v>3150301077</c:v>
                </c:pt>
                <c:pt idx="20">
                  <c:v>3188187481</c:v>
                </c:pt>
                <c:pt idx="21">
                  <c:v>3226073885</c:v>
                </c:pt>
                <c:pt idx="22">
                  <c:v>3263960289</c:v>
                </c:pt>
                <c:pt idx="23">
                  <c:v>3301846693</c:v>
                </c:pt>
                <c:pt idx="24">
                  <c:v>3339733097</c:v>
                </c:pt>
                <c:pt idx="25">
                  <c:v>3377619501</c:v>
                </c:pt>
                <c:pt idx="26">
                  <c:v>3415505905</c:v>
                </c:pt>
                <c:pt idx="27">
                  <c:v>3453392309</c:v>
                </c:pt>
                <c:pt idx="28">
                  <c:v>3491278713</c:v>
                </c:pt>
                <c:pt idx="29">
                  <c:v>3529165116</c:v>
                </c:pt>
                <c:pt idx="30">
                  <c:v>3567051520</c:v>
                </c:pt>
                <c:pt idx="31">
                  <c:v>More</c:v>
                </c:pt>
              </c:strCache>
            </c:strRef>
          </c:cat>
          <c:val>
            <c:numRef>
              <c:f>'NPV - Allt.1'!$M$20:$M$51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10</c:v>
                </c:pt>
                <c:pt idx="8">
                  <c:v>9</c:v>
                </c:pt>
                <c:pt idx="9">
                  <c:v>16</c:v>
                </c:pt>
                <c:pt idx="10">
                  <c:v>12</c:v>
                </c:pt>
                <c:pt idx="11">
                  <c:v>19</c:v>
                </c:pt>
                <c:pt idx="12">
                  <c:v>30</c:v>
                </c:pt>
                <c:pt idx="13">
                  <c:v>33</c:v>
                </c:pt>
                <c:pt idx="14">
                  <c:v>68</c:v>
                </c:pt>
                <c:pt idx="15">
                  <c:v>70</c:v>
                </c:pt>
                <c:pt idx="16">
                  <c:v>73</c:v>
                </c:pt>
                <c:pt idx="17">
                  <c:v>82</c:v>
                </c:pt>
                <c:pt idx="18">
                  <c:v>84</c:v>
                </c:pt>
                <c:pt idx="19">
                  <c:v>94</c:v>
                </c:pt>
                <c:pt idx="20">
                  <c:v>97</c:v>
                </c:pt>
                <c:pt idx="21">
                  <c:v>57</c:v>
                </c:pt>
                <c:pt idx="22">
                  <c:v>51</c:v>
                </c:pt>
                <c:pt idx="23">
                  <c:v>55</c:v>
                </c:pt>
                <c:pt idx="24">
                  <c:v>44</c:v>
                </c:pt>
                <c:pt idx="25">
                  <c:v>27</c:v>
                </c:pt>
                <c:pt idx="26">
                  <c:v>22</c:v>
                </c:pt>
                <c:pt idx="27">
                  <c:v>10</c:v>
                </c:pt>
                <c:pt idx="28">
                  <c:v>12</c:v>
                </c:pt>
                <c:pt idx="29">
                  <c:v>3</c:v>
                </c:pt>
                <c:pt idx="30">
                  <c:v>5</c:v>
                </c:pt>
                <c:pt idx="3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2D-EF40-8F86-A0DF4E294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4001551"/>
        <c:axId val="1014469055"/>
      </c:barChart>
      <c:catAx>
        <c:axId val="1014001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NPV score in CLP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4469055"/>
        <c:crosses val="autoZero"/>
        <c:auto val="1"/>
        <c:lblAlgn val="ctr"/>
        <c:lblOffset val="100"/>
        <c:noMultiLvlLbl val="0"/>
      </c:catAx>
      <c:valAx>
        <c:axId val="10144690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400155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Alternative 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'NPV - Allt.2'!$N$21:$N$52</c:f>
              <c:strCache>
                <c:ptCount val="32"/>
                <c:pt idx="0">
                  <c:v>2497471395</c:v>
                </c:pt>
                <c:pt idx="1">
                  <c:v>2539367976</c:v>
                </c:pt>
                <c:pt idx="2">
                  <c:v>2581264557</c:v>
                </c:pt>
                <c:pt idx="3">
                  <c:v>2623161137</c:v>
                </c:pt>
                <c:pt idx="4">
                  <c:v>2665057718</c:v>
                </c:pt>
                <c:pt idx="5">
                  <c:v>2706954299</c:v>
                </c:pt>
                <c:pt idx="6">
                  <c:v>2748850880</c:v>
                </c:pt>
                <c:pt idx="7">
                  <c:v>2790747460</c:v>
                </c:pt>
                <c:pt idx="8">
                  <c:v>2832644041</c:v>
                </c:pt>
                <c:pt idx="9">
                  <c:v>2874540622</c:v>
                </c:pt>
                <c:pt idx="10">
                  <c:v>2916437203</c:v>
                </c:pt>
                <c:pt idx="11">
                  <c:v>2958333783</c:v>
                </c:pt>
                <c:pt idx="12">
                  <c:v>3000230364</c:v>
                </c:pt>
                <c:pt idx="13">
                  <c:v>3042126945</c:v>
                </c:pt>
                <c:pt idx="14">
                  <c:v>3084023526</c:v>
                </c:pt>
                <c:pt idx="15">
                  <c:v>3125920106</c:v>
                </c:pt>
                <c:pt idx="16">
                  <c:v>3167816687</c:v>
                </c:pt>
                <c:pt idx="17">
                  <c:v>3209713268</c:v>
                </c:pt>
                <c:pt idx="18">
                  <c:v>3251609849</c:v>
                </c:pt>
                <c:pt idx="19">
                  <c:v>3293506429</c:v>
                </c:pt>
                <c:pt idx="20">
                  <c:v>3335403010</c:v>
                </c:pt>
                <c:pt idx="21">
                  <c:v>3377299591</c:v>
                </c:pt>
                <c:pt idx="22">
                  <c:v>3419196172</c:v>
                </c:pt>
                <c:pt idx="23">
                  <c:v>3461092752</c:v>
                </c:pt>
                <c:pt idx="24">
                  <c:v>3502989333</c:v>
                </c:pt>
                <c:pt idx="25">
                  <c:v>3544885914</c:v>
                </c:pt>
                <c:pt idx="26">
                  <c:v>3586782495</c:v>
                </c:pt>
                <c:pt idx="27">
                  <c:v>3628679075</c:v>
                </c:pt>
                <c:pt idx="28">
                  <c:v>3670575656</c:v>
                </c:pt>
                <c:pt idx="29">
                  <c:v>3712472237</c:v>
                </c:pt>
                <c:pt idx="30">
                  <c:v>3754368818</c:v>
                </c:pt>
                <c:pt idx="31">
                  <c:v>More</c:v>
                </c:pt>
              </c:strCache>
            </c:strRef>
          </c:cat>
          <c:val>
            <c:numRef>
              <c:f>'NPV - Allt.2'!$O$21:$O$52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11</c:v>
                </c:pt>
                <c:pt idx="6">
                  <c:v>18</c:v>
                </c:pt>
                <c:pt idx="7">
                  <c:v>27</c:v>
                </c:pt>
                <c:pt idx="8">
                  <c:v>26</c:v>
                </c:pt>
                <c:pt idx="9">
                  <c:v>36</c:v>
                </c:pt>
                <c:pt idx="10">
                  <c:v>59</c:v>
                </c:pt>
                <c:pt idx="11">
                  <c:v>55</c:v>
                </c:pt>
                <c:pt idx="12">
                  <c:v>57</c:v>
                </c:pt>
                <c:pt idx="13">
                  <c:v>60</c:v>
                </c:pt>
                <c:pt idx="14">
                  <c:v>82</c:v>
                </c:pt>
                <c:pt idx="15">
                  <c:v>72</c:v>
                </c:pt>
                <c:pt idx="16">
                  <c:v>74</c:v>
                </c:pt>
                <c:pt idx="17">
                  <c:v>76</c:v>
                </c:pt>
                <c:pt idx="18">
                  <c:v>63</c:v>
                </c:pt>
                <c:pt idx="19">
                  <c:v>66</c:v>
                </c:pt>
                <c:pt idx="20">
                  <c:v>60</c:v>
                </c:pt>
                <c:pt idx="21">
                  <c:v>41</c:v>
                </c:pt>
                <c:pt idx="22">
                  <c:v>27</c:v>
                </c:pt>
                <c:pt idx="23">
                  <c:v>25</c:v>
                </c:pt>
                <c:pt idx="24">
                  <c:v>16</c:v>
                </c:pt>
                <c:pt idx="25">
                  <c:v>6</c:v>
                </c:pt>
                <c:pt idx="26">
                  <c:v>12</c:v>
                </c:pt>
                <c:pt idx="27">
                  <c:v>8</c:v>
                </c:pt>
                <c:pt idx="28">
                  <c:v>4</c:v>
                </c:pt>
                <c:pt idx="29">
                  <c:v>4</c:v>
                </c:pt>
                <c:pt idx="30">
                  <c:v>0</c:v>
                </c:pt>
                <c:pt idx="3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48-6A40-8C43-D238741E2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4779199"/>
        <c:axId val="1014653967"/>
      </c:barChart>
      <c:catAx>
        <c:axId val="1014779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NPV</a:t>
                </a:r>
                <a:r>
                  <a:rPr lang="en-US" baseline="0"/>
                  <a:t> score in CLP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4653967"/>
        <c:crosses val="autoZero"/>
        <c:auto val="1"/>
        <c:lblAlgn val="ctr"/>
        <c:lblOffset val="100"/>
        <c:noMultiLvlLbl val="0"/>
      </c:catAx>
      <c:valAx>
        <c:axId val="10146539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477919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Alternativ 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'NPV - Allt.3'!$S$12:$S$43</c:f>
              <c:strCache>
                <c:ptCount val="32"/>
                <c:pt idx="0">
                  <c:v>2506913785</c:v>
                </c:pt>
                <c:pt idx="1">
                  <c:v>2536073740</c:v>
                </c:pt>
                <c:pt idx="2">
                  <c:v>2565233694</c:v>
                </c:pt>
                <c:pt idx="3">
                  <c:v>2594393649</c:v>
                </c:pt>
                <c:pt idx="4">
                  <c:v>2623553603</c:v>
                </c:pt>
                <c:pt idx="5">
                  <c:v>2652713557</c:v>
                </c:pt>
                <c:pt idx="6">
                  <c:v>2681873512</c:v>
                </c:pt>
                <c:pt idx="7">
                  <c:v>2711033466</c:v>
                </c:pt>
                <c:pt idx="8">
                  <c:v>2740193421</c:v>
                </c:pt>
                <c:pt idx="9">
                  <c:v>2769353375</c:v>
                </c:pt>
                <c:pt idx="10">
                  <c:v>2798513330</c:v>
                </c:pt>
                <c:pt idx="11">
                  <c:v>2827673284</c:v>
                </c:pt>
                <c:pt idx="12">
                  <c:v>2856833239</c:v>
                </c:pt>
                <c:pt idx="13">
                  <c:v>2885993193</c:v>
                </c:pt>
                <c:pt idx="14">
                  <c:v>2915153148</c:v>
                </c:pt>
                <c:pt idx="15">
                  <c:v>2944313102</c:v>
                </c:pt>
                <c:pt idx="16">
                  <c:v>2973473057</c:v>
                </c:pt>
                <c:pt idx="17">
                  <c:v>3002633011</c:v>
                </c:pt>
                <c:pt idx="18">
                  <c:v>3031792966</c:v>
                </c:pt>
                <c:pt idx="19">
                  <c:v>3060952920</c:v>
                </c:pt>
                <c:pt idx="20">
                  <c:v>3090112875</c:v>
                </c:pt>
                <c:pt idx="21">
                  <c:v>3119272829</c:v>
                </c:pt>
                <c:pt idx="22">
                  <c:v>3148432784</c:v>
                </c:pt>
                <c:pt idx="23">
                  <c:v>3177592738</c:v>
                </c:pt>
                <c:pt idx="24">
                  <c:v>3206752693</c:v>
                </c:pt>
                <c:pt idx="25">
                  <c:v>3235912647</c:v>
                </c:pt>
                <c:pt idx="26">
                  <c:v>3265072602</c:v>
                </c:pt>
                <c:pt idx="27">
                  <c:v>3294232556</c:v>
                </c:pt>
                <c:pt idx="28">
                  <c:v>3323392511</c:v>
                </c:pt>
                <c:pt idx="29">
                  <c:v>3352552465</c:v>
                </c:pt>
                <c:pt idx="30">
                  <c:v>3381712419</c:v>
                </c:pt>
                <c:pt idx="31">
                  <c:v>More</c:v>
                </c:pt>
              </c:strCache>
            </c:strRef>
          </c:cat>
          <c:val>
            <c:numRef>
              <c:f>'NPV - Allt.3'!$T$12:$T$43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7</c:v>
                </c:pt>
                <c:pt idx="6">
                  <c:v>12</c:v>
                </c:pt>
                <c:pt idx="7">
                  <c:v>10</c:v>
                </c:pt>
                <c:pt idx="8">
                  <c:v>16</c:v>
                </c:pt>
                <c:pt idx="9">
                  <c:v>28</c:v>
                </c:pt>
                <c:pt idx="10">
                  <c:v>40</c:v>
                </c:pt>
                <c:pt idx="11">
                  <c:v>52</c:v>
                </c:pt>
                <c:pt idx="12">
                  <c:v>65</c:v>
                </c:pt>
                <c:pt idx="13">
                  <c:v>76</c:v>
                </c:pt>
                <c:pt idx="14">
                  <c:v>67</c:v>
                </c:pt>
                <c:pt idx="15">
                  <c:v>83</c:v>
                </c:pt>
                <c:pt idx="16">
                  <c:v>82</c:v>
                </c:pt>
                <c:pt idx="17">
                  <c:v>95</c:v>
                </c:pt>
                <c:pt idx="18">
                  <c:v>65</c:v>
                </c:pt>
                <c:pt idx="19">
                  <c:v>69</c:v>
                </c:pt>
                <c:pt idx="20">
                  <c:v>61</c:v>
                </c:pt>
                <c:pt idx="21">
                  <c:v>48</c:v>
                </c:pt>
                <c:pt idx="22">
                  <c:v>31</c:v>
                </c:pt>
                <c:pt idx="23">
                  <c:v>25</c:v>
                </c:pt>
                <c:pt idx="24">
                  <c:v>17</c:v>
                </c:pt>
                <c:pt idx="25">
                  <c:v>12</c:v>
                </c:pt>
                <c:pt idx="26">
                  <c:v>14</c:v>
                </c:pt>
                <c:pt idx="27">
                  <c:v>6</c:v>
                </c:pt>
                <c:pt idx="28">
                  <c:v>6</c:v>
                </c:pt>
                <c:pt idx="29">
                  <c:v>4</c:v>
                </c:pt>
                <c:pt idx="30">
                  <c:v>3</c:v>
                </c:pt>
                <c:pt idx="3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C4-5046-B981-BCC974394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3365360"/>
        <c:axId val="2122882912"/>
      </c:barChart>
      <c:catAx>
        <c:axId val="212336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NPV score in</a:t>
                </a:r>
                <a:r>
                  <a:rPr lang="en-US" baseline="0"/>
                  <a:t> </a:t>
                </a:r>
                <a:r>
                  <a:rPr lang="en-US"/>
                  <a:t>CLP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2882912"/>
        <c:crosses val="autoZero"/>
        <c:auto val="1"/>
        <c:lblAlgn val="ctr"/>
        <c:lblOffset val="100"/>
        <c:noMultiLvlLbl val="0"/>
      </c:catAx>
      <c:valAx>
        <c:axId val="2122882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3365360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Alternative 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130790993514331"/>
          <c:y val="0.25572851805728519"/>
          <c:w val="0.67204381359044629"/>
          <c:h val="0.30562457712711194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'NPV - Allt.4'!$U$11:$U$42</c:f>
              <c:strCache>
                <c:ptCount val="32"/>
                <c:pt idx="0">
                  <c:v>2422784017</c:v>
                </c:pt>
                <c:pt idx="1">
                  <c:v>2455836118</c:v>
                </c:pt>
                <c:pt idx="2">
                  <c:v>2488888219</c:v>
                </c:pt>
                <c:pt idx="3">
                  <c:v>2521940320</c:v>
                </c:pt>
                <c:pt idx="4">
                  <c:v>2554992420</c:v>
                </c:pt>
                <c:pt idx="5">
                  <c:v>2588044521</c:v>
                </c:pt>
                <c:pt idx="6">
                  <c:v>2621096622</c:v>
                </c:pt>
                <c:pt idx="7">
                  <c:v>2654148723</c:v>
                </c:pt>
                <c:pt idx="8">
                  <c:v>2687200823</c:v>
                </c:pt>
                <c:pt idx="9">
                  <c:v>2720252924</c:v>
                </c:pt>
                <c:pt idx="10">
                  <c:v>2753305025</c:v>
                </c:pt>
                <c:pt idx="11">
                  <c:v>2786357126</c:v>
                </c:pt>
                <c:pt idx="12">
                  <c:v>2819409227</c:v>
                </c:pt>
                <c:pt idx="13">
                  <c:v>2852461327</c:v>
                </c:pt>
                <c:pt idx="14">
                  <c:v>2885513428</c:v>
                </c:pt>
                <c:pt idx="15">
                  <c:v>2918565529</c:v>
                </c:pt>
                <c:pt idx="16">
                  <c:v>2951617630</c:v>
                </c:pt>
                <c:pt idx="17">
                  <c:v>2984669730</c:v>
                </c:pt>
                <c:pt idx="18">
                  <c:v>3017721831</c:v>
                </c:pt>
                <c:pt idx="19">
                  <c:v>3050773932</c:v>
                </c:pt>
                <c:pt idx="20">
                  <c:v>3083826033</c:v>
                </c:pt>
                <c:pt idx="21">
                  <c:v>3116878134</c:v>
                </c:pt>
                <c:pt idx="22">
                  <c:v>3149930234</c:v>
                </c:pt>
                <c:pt idx="23">
                  <c:v>3182982335</c:v>
                </c:pt>
                <c:pt idx="24">
                  <c:v>3216034436</c:v>
                </c:pt>
                <c:pt idx="25">
                  <c:v>3249086537</c:v>
                </c:pt>
                <c:pt idx="26">
                  <c:v>3282138638</c:v>
                </c:pt>
                <c:pt idx="27">
                  <c:v>3315190738</c:v>
                </c:pt>
                <c:pt idx="28">
                  <c:v>3348242839</c:v>
                </c:pt>
                <c:pt idx="29">
                  <c:v>3381294940</c:v>
                </c:pt>
                <c:pt idx="30">
                  <c:v>3414347041</c:v>
                </c:pt>
                <c:pt idx="31">
                  <c:v>More</c:v>
                </c:pt>
              </c:strCache>
            </c:strRef>
          </c:cat>
          <c:val>
            <c:numRef>
              <c:f>'NPV - Allt.4'!$V$11:$V$42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15</c:v>
                </c:pt>
                <c:pt idx="9">
                  <c:v>24</c:v>
                </c:pt>
                <c:pt idx="10">
                  <c:v>39</c:v>
                </c:pt>
                <c:pt idx="11">
                  <c:v>41</c:v>
                </c:pt>
                <c:pt idx="12">
                  <c:v>57</c:v>
                </c:pt>
                <c:pt idx="13">
                  <c:v>57</c:v>
                </c:pt>
                <c:pt idx="14">
                  <c:v>77</c:v>
                </c:pt>
                <c:pt idx="15">
                  <c:v>70</c:v>
                </c:pt>
                <c:pt idx="16">
                  <c:v>90</c:v>
                </c:pt>
                <c:pt idx="17">
                  <c:v>95</c:v>
                </c:pt>
                <c:pt idx="18">
                  <c:v>74</c:v>
                </c:pt>
                <c:pt idx="19">
                  <c:v>77</c:v>
                </c:pt>
                <c:pt idx="20">
                  <c:v>76</c:v>
                </c:pt>
                <c:pt idx="21">
                  <c:v>51</c:v>
                </c:pt>
                <c:pt idx="22">
                  <c:v>30</c:v>
                </c:pt>
                <c:pt idx="23">
                  <c:v>33</c:v>
                </c:pt>
                <c:pt idx="24">
                  <c:v>25</c:v>
                </c:pt>
                <c:pt idx="25">
                  <c:v>16</c:v>
                </c:pt>
                <c:pt idx="26">
                  <c:v>9</c:v>
                </c:pt>
                <c:pt idx="27">
                  <c:v>9</c:v>
                </c:pt>
                <c:pt idx="28">
                  <c:v>4</c:v>
                </c:pt>
                <c:pt idx="29">
                  <c:v>5</c:v>
                </c:pt>
                <c:pt idx="30">
                  <c:v>2</c:v>
                </c:pt>
                <c:pt idx="3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38-2447-9BC4-02647D6CA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0391936"/>
        <c:axId val="1730731008"/>
      </c:barChart>
      <c:catAx>
        <c:axId val="1730391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NPV Score</a:t>
                </a:r>
                <a:r>
                  <a:rPr lang="en-US" baseline="0"/>
                  <a:t> in CLP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0731008"/>
        <c:crosses val="autoZero"/>
        <c:auto val="1"/>
        <c:lblAlgn val="ctr"/>
        <c:lblOffset val="100"/>
        <c:noMultiLvlLbl val="0"/>
      </c:catAx>
      <c:valAx>
        <c:axId val="1730731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039193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Alternativ 5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29095790507104"/>
          <c:y val="0.14026791672227415"/>
          <c:w val="0.67438039710685016"/>
          <c:h val="0.41319031095689318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'NPV - Allt5.'!$O$12:$O$43</c:f>
              <c:strCache>
                <c:ptCount val="32"/>
                <c:pt idx="0">
                  <c:v> CLP 2 681 212 794,64 </c:v>
                </c:pt>
                <c:pt idx="1">
                  <c:v> CLP 2 710 524 651,91 </c:v>
                </c:pt>
                <c:pt idx="2">
                  <c:v> CLP 2 739 836 509,18 </c:v>
                </c:pt>
                <c:pt idx="3">
                  <c:v> CLP 2 769 148 366,46 </c:v>
                </c:pt>
                <c:pt idx="4">
                  <c:v> CLP 2 798 460 223,73 </c:v>
                </c:pt>
                <c:pt idx="5">
                  <c:v> CLP 2 827 772 081,01 </c:v>
                </c:pt>
                <c:pt idx="6">
                  <c:v> CLP 2 857 083 938,28 </c:v>
                </c:pt>
                <c:pt idx="7">
                  <c:v> CLP 2 886 395 795,55 </c:v>
                </c:pt>
                <c:pt idx="8">
                  <c:v> CLP 2 915 707 652,83 </c:v>
                </c:pt>
                <c:pt idx="9">
                  <c:v> CLP 2 945 019 510,10 </c:v>
                </c:pt>
                <c:pt idx="10">
                  <c:v> CLP 2 974 331 367,38 </c:v>
                </c:pt>
                <c:pt idx="11">
                  <c:v> CLP 3 003 643 224,65 </c:v>
                </c:pt>
                <c:pt idx="12">
                  <c:v> CLP 3 032 955 081,93 </c:v>
                </c:pt>
                <c:pt idx="13">
                  <c:v> CLP 3 062 266 939,20 </c:v>
                </c:pt>
                <c:pt idx="14">
                  <c:v> CLP 3 091 578 796,47 </c:v>
                </c:pt>
                <c:pt idx="15">
                  <c:v> CLP 3 120 890 653,75 </c:v>
                </c:pt>
                <c:pt idx="16">
                  <c:v> CLP 3 150 202 511,02 </c:v>
                </c:pt>
                <c:pt idx="17">
                  <c:v> CLP 3 179 514 368,30 </c:v>
                </c:pt>
                <c:pt idx="18">
                  <c:v> CLP 3 208 826 225,57 </c:v>
                </c:pt>
                <c:pt idx="19">
                  <c:v> CLP 3 238 138 082,85 </c:v>
                </c:pt>
                <c:pt idx="20">
                  <c:v> CLP 3 267 449 940,12 </c:v>
                </c:pt>
                <c:pt idx="21">
                  <c:v> CLP 3 296 761 797,39 </c:v>
                </c:pt>
                <c:pt idx="22">
                  <c:v> CLP 3 326 073 654,67 </c:v>
                </c:pt>
                <c:pt idx="23">
                  <c:v> CLP 3 355 385 511,94 </c:v>
                </c:pt>
                <c:pt idx="24">
                  <c:v> CLP 3 384 697 369,22 </c:v>
                </c:pt>
                <c:pt idx="25">
                  <c:v> CLP 3 414 009 226,49 </c:v>
                </c:pt>
                <c:pt idx="26">
                  <c:v> CLP 3 443 321 083,76 </c:v>
                </c:pt>
                <c:pt idx="27">
                  <c:v> CLP 3 472 632 941,04 </c:v>
                </c:pt>
                <c:pt idx="28">
                  <c:v> CLP 3 501 944 798,31 </c:v>
                </c:pt>
                <c:pt idx="29">
                  <c:v> CLP 3 531 256 655,59 </c:v>
                </c:pt>
                <c:pt idx="30">
                  <c:v> CLP 3 560 568 512,86 </c:v>
                </c:pt>
                <c:pt idx="31">
                  <c:v>More</c:v>
                </c:pt>
              </c:strCache>
            </c:strRef>
          </c:cat>
          <c:val>
            <c:numRef>
              <c:f>'NPV - Allt5.'!$P$12:$P$43</c:f>
              <c:numCache>
                <c:formatCode>General</c:formatCode>
                <c:ptCount val="3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15</c:v>
                </c:pt>
                <c:pt idx="7">
                  <c:v>18</c:v>
                </c:pt>
                <c:pt idx="8">
                  <c:v>31</c:v>
                </c:pt>
                <c:pt idx="9">
                  <c:v>25</c:v>
                </c:pt>
                <c:pt idx="10">
                  <c:v>40</c:v>
                </c:pt>
                <c:pt idx="11">
                  <c:v>41</c:v>
                </c:pt>
                <c:pt idx="12">
                  <c:v>52</c:v>
                </c:pt>
                <c:pt idx="13">
                  <c:v>79</c:v>
                </c:pt>
                <c:pt idx="14">
                  <c:v>75</c:v>
                </c:pt>
                <c:pt idx="15">
                  <c:v>66</c:v>
                </c:pt>
                <c:pt idx="16">
                  <c:v>86</c:v>
                </c:pt>
                <c:pt idx="17">
                  <c:v>74</c:v>
                </c:pt>
                <c:pt idx="18">
                  <c:v>52</c:v>
                </c:pt>
                <c:pt idx="19">
                  <c:v>57</c:v>
                </c:pt>
                <c:pt idx="20">
                  <c:v>57</c:v>
                </c:pt>
                <c:pt idx="21">
                  <c:v>44</c:v>
                </c:pt>
                <c:pt idx="22">
                  <c:v>52</c:v>
                </c:pt>
                <c:pt idx="23">
                  <c:v>33</c:v>
                </c:pt>
                <c:pt idx="24">
                  <c:v>20</c:v>
                </c:pt>
                <c:pt idx="25">
                  <c:v>21</c:v>
                </c:pt>
                <c:pt idx="26">
                  <c:v>11</c:v>
                </c:pt>
                <c:pt idx="27">
                  <c:v>13</c:v>
                </c:pt>
                <c:pt idx="28">
                  <c:v>5</c:v>
                </c:pt>
                <c:pt idx="29">
                  <c:v>3</c:v>
                </c:pt>
                <c:pt idx="30">
                  <c:v>4</c:v>
                </c:pt>
                <c:pt idx="3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A8-B048-A6CB-99A3F3EE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8387408"/>
        <c:axId val="1788354192"/>
      </c:barChart>
      <c:catAx>
        <c:axId val="1788387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NPV Score in CLP</a:t>
                </a:r>
              </a:p>
            </c:rich>
          </c:tx>
          <c:layout>
            <c:manualLayout>
              <c:xMode val="edge"/>
              <c:yMode val="edge"/>
              <c:x val="0.36020236060756095"/>
              <c:y val="0.8975300280261577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788354192"/>
        <c:crosses val="autoZero"/>
        <c:auto val="1"/>
        <c:lblAlgn val="ctr"/>
        <c:lblOffset val="100"/>
        <c:noMultiLvlLbl val="0"/>
      </c:catAx>
      <c:valAx>
        <c:axId val="1788354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838740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444500</xdr:colOff>
      <xdr:row>0</xdr:row>
      <xdr:rowOff>114300</xdr:rowOff>
    </xdr:from>
    <xdr:to>
      <xdr:col>6</xdr:col>
      <xdr:colOff>812800</xdr:colOff>
      <xdr:row>5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A21F7E-565F-A826-959D-3ABE937262AE}"/>
            </a:ext>
          </a:extLst>
        </xdr:cNvPr>
        <xdr:cNvSpPr txBox="1"/>
      </xdr:nvSpPr>
      <xdr:spPr>
        <a:xfrm>
          <a:off x="1270000" y="114300"/>
          <a:ext cx="4953000" cy="102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The main statistics</a:t>
          </a:r>
          <a:r>
            <a:rPr lang="en-US" sz="1400" b="1" baseline="0"/>
            <a:t> from our Monte Carlo Simulation model:</a:t>
          </a:r>
        </a:p>
        <a:p>
          <a:r>
            <a:rPr lang="en-US" sz="1400" baseline="0"/>
            <a:t>- See the different sheets for detaild calculations.</a:t>
          </a:r>
        </a:p>
        <a:p>
          <a:r>
            <a:rPr lang="en-US" sz="1400"/>
            <a:t>- In this sheet is main statistics </a:t>
          </a:r>
        </a:p>
        <a:p>
          <a:r>
            <a:rPr lang="en-US" sz="1400"/>
            <a:t>-</a:t>
          </a:r>
          <a:r>
            <a:rPr lang="en-US" sz="1400" baseline="0"/>
            <a:t> Some desciptive statistics theory</a:t>
          </a:r>
          <a:endParaRPr lang="en-US" sz="1400"/>
        </a:p>
      </xdr:txBody>
    </xdr:sp>
    <xdr:clientData/>
  </xdr:twoCellAnchor>
  <xdr:twoCellAnchor>
    <xdr:from>
      <xdr:col>2</xdr:col>
      <xdr:colOff>467895</xdr:colOff>
      <xdr:row>16</xdr:row>
      <xdr:rowOff>178247</xdr:rowOff>
    </xdr:from>
    <xdr:to>
      <xdr:col>5</xdr:col>
      <xdr:colOff>1392544</xdr:colOff>
      <xdr:row>31</xdr:row>
      <xdr:rowOff>22281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6188E3-A3FC-D667-497B-E7BE9E59AA7D}"/>
            </a:ext>
          </a:extLst>
        </xdr:cNvPr>
        <xdr:cNvSpPr txBox="1"/>
      </xdr:nvSpPr>
      <xdr:spPr>
        <a:xfrm>
          <a:off x="2116667" y="3420089"/>
          <a:ext cx="5915526" cy="287421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Descriptive</a:t>
          </a:r>
          <a:r>
            <a:rPr lang="en-US" sz="1100" b="1" baseline="0"/>
            <a:t> statistics:</a:t>
          </a:r>
          <a:br>
            <a:rPr lang="en-US" sz="1100"/>
          </a:br>
          <a:br>
            <a:rPr lang="en-US" sz="1100"/>
          </a:br>
          <a:r>
            <a:rPr lang="en-US" sz="1100"/>
            <a:t>Mean</a:t>
          </a:r>
          <a:r>
            <a:rPr lang="en-US" sz="1100" baseline="0"/>
            <a:t> NPV we compare with actual NPV. Its not a very big difference, wich means that the 1000 samples is not deviating to much. Change between actual NPV and average NPV: 181 629 371 CLP.  (if its pretty close to actual value its a good indactor for the model working well).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Standard deviation: The lower std, the less risky is this project.</a:t>
          </a:r>
        </a:p>
        <a:p>
          <a:endParaRPr lang="en-US" sz="1100" baseline="0"/>
        </a:p>
        <a:p>
          <a:r>
            <a:rPr lang="en-US" sz="1100" baseline="0"/>
            <a:t>Kurtotis: Should be in the range -2 to 2. Show the validity of the project.</a:t>
          </a:r>
        </a:p>
        <a:p>
          <a:endParaRPr lang="en-US" sz="1100" baseline="0"/>
        </a:p>
        <a:p>
          <a:r>
            <a:rPr lang="en-US" sz="1100" baseline="0"/>
            <a:t>Skweness: Should be in the range of -1 to 1. That means it is normally distributed.</a:t>
          </a:r>
        </a:p>
        <a:p>
          <a:endParaRPr lang="en-US" sz="1100" baseline="0"/>
        </a:p>
        <a:p>
          <a:r>
            <a:rPr lang="en-US" sz="1100" baseline="0"/>
            <a:t>We have a positive minimum NPV wich shows us that all our NPVs are postive! So it means that in a worst casue scenario our lowest NPV for this spesifci alterantive of chosen grapes and method is 2 521 456 634 CLP. The best possible NPV that can be reached is 3 674 383 220.</a:t>
          </a:r>
        </a:p>
        <a:p>
          <a:endParaRPr lang="en-US" sz="1100" baseline="0"/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480265</xdr:colOff>
      <xdr:row>1</xdr:row>
      <xdr:rowOff>96147</xdr:rowOff>
    </xdr:from>
    <xdr:to>
      <xdr:col>43</xdr:col>
      <xdr:colOff>713530</xdr:colOff>
      <xdr:row>7</xdr:row>
      <xdr:rowOff>140074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570C6D-9036-967F-1238-DC22151AE0ED}"/>
            </a:ext>
          </a:extLst>
        </xdr:cNvPr>
        <xdr:cNvSpPr txBox="1"/>
      </xdr:nvSpPr>
      <xdr:spPr>
        <a:xfrm>
          <a:off x="43865706" y="376294"/>
          <a:ext cx="2698559" cy="127657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Simulate annual revenue, costs, disease events, and yield over the 20-year period.</a:t>
          </a:r>
        </a:p>
        <a:p>
          <a:endParaRPr lang="en-US" sz="1100"/>
        </a:p>
      </xdr:txBody>
    </xdr:sp>
    <xdr:clientData/>
  </xdr:twoCellAnchor>
  <xdr:twoCellAnchor>
    <xdr:from>
      <xdr:col>2</xdr:col>
      <xdr:colOff>76200</xdr:colOff>
      <xdr:row>2</xdr:row>
      <xdr:rowOff>76200</xdr:rowOff>
    </xdr:from>
    <xdr:to>
      <xdr:col>5</xdr:col>
      <xdr:colOff>2209800</xdr:colOff>
      <xdr:row>5</xdr:row>
      <xdr:rowOff>63500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484B64-4D91-474F-2C37-87DEAE891F70}"/>
            </a:ext>
          </a:extLst>
        </xdr:cNvPr>
        <xdr:cNvSpPr txBox="1"/>
      </xdr:nvSpPr>
      <xdr:spPr>
        <a:xfrm>
          <a:off x="1727200" y="558800"/>
          <a:ext cx="5918200" cy="59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 have calcultated all relevant</a:t>
          </a:r>
          <a:r>
            <a:rPr lang="en-US" sz="1100" baseline="0"/>
            <a:t> information fro Folm left and towards the right -&gt; </a:t>
          </a:r>
        </a:p>
        <a:p>
          <a:r>
            <a:rPr lang="en-US" sz="1100" baseline="0"/>
            <a:t>Following the given information from our assignment. I started with the price per ton, and finished off with profit calculation for varity A. The same goes for both varity B and C.</a:t>
          </a:r>
          <a:endParaRPr lang="en-US" sz="1100"/>
        </a:p>
      </xdr:txBody>
    </xdr:sp>
    <xdr:clientData/>
  </xdr:twoCellAnchor>
  <xdr:twoCellAnchor>
    <xdr:from>
      <xdr:col>6</xdr:col>
      <xdr:colOff>765603</xdr:colOff>
      <xdr:row>1</xdr:row>
      <xdr:rowOff>261206</xdr:rowOff>
    </xdr:from>
    <xdr:to>
      <xdr:col>10</xdr:col>
      <xdr:colOff>171135</xdr:colOff>
      <xdr:row>4</xdr:row>
      <xdr:rowOff>0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DDF4EDB1-433C-CF73-B12F-02AB15F8952E}"/>
            </a:ext>
          </a:extLst>
        </xdr:cNvPr>
        <xdr:cNvSpPr/>
      </xdr:nvSpPr>
      <xdr:spPr>
        <a:xfrm>
          <a:off x="8565745" y="468369"/>
          <a:ext cx="2720142" cy="4323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133318</xdr:colOff>
      <xdr:row>1</xdr:row>
      <xdr:rowOff>118748</xdr:rowOff>
    </xdr:from>
    <xdr:to>
      <xdr:col>37</xdr:col>
      <xdr:colOff>732820</xdr:colOff>
      <xdr:row>8</xdr:row>
      <xdr:rowOff>160179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EE21F8-1F3B-7C8B-839E-C8524F295C6B}"/>
            </a:ext>
          </a:extLst>
        </xdr:cNvPr>
        <xdr:cNvSpPr txBox="1"/>
      </xdr:nvSpPr>
      <xdr:spPr>
        <a:xfrm>
          <a:off x="38210435" y="324694"/>
          <a:ext cx="2247070" cy="164323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Simulate annual revenue, costs, disease events, and yield over the 20-year period.</a:t>
          </a:r>
        </a:p>
        <a:p>
          <a:endParaRPr lang="en-US" sz="1100"/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8</xdr:col>
      <xdr:colOff>580593</xdr:colOff>
      <xdr:row>2</xdr:row>
      <xdr:rowOff>66214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878393C9-AA5A-6A4E-B1EF-A43B4775C375}"/>
            </a:ext>
          </a:extLst>
        </xdr:cNvPr>
        <xdr:cNvSpPr/>
      </xdr:nvSpPr>
      <xdr:spPr>
        <a:xfrm>
          <a:off x="5800811" y="205946"/>
          <a:ext cx="2720142" cy="4323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739987</xdr:colOff>
      <xdr:row>1</xdr:row>
      <xdr:rowOff>71120</xdr:rowOff>
    </xdr:from>
    <xdr:to>
      <xdr:col>35</xdr:col>
      <xdr:colOff>773853</xdr:colOff>
      <xdr:row>8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FEEDF2-0376-9ECD-ABD1-885286E8F269}"/>
            </a:ext>
          </a:extLst>
        </xdr:cNvPr>
        <xdr:cNvSpPr txBox="1"/>
      </xdr:nvSpPr>
      <xdr:spPr>
        <a:xfrm>
          <a:off x="34654067" y="274320"/>
          <a:ext cx="1679786" cy="16357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Simulate annual revenue, costs, disease events, and yield over the 20-year period.</a:t>
          </a:r>
        </a:p>
        <a:p>
          <a:endParaRPr lang="en-US" sz="1100"/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8</xdr:col>
      <xdr:colOff>596702</xdr:colOff>
      <xdr:row>2</xdr:row>
      <xdr:rowOff>66580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6D476AE1-42E9-1C41-B324-37DA0DF71692}"/>
            </a:ext>
          </a:extLst>
        </xdr:cNvPr>
        <xdr:cNvSpPr/>
      </xdr:nvSpPr>
      <xdr:spPr>
        <a:xfrm>
          <a:off x="5801360" y="203200"/>
          <a:ext cx="2720142" cy="4323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736600</xdr:colOff>
      <xdr:row>1</xdr:row>
      <xdr:rowOff>63500</xdr:rowOff>
    </xdr:from>
    <xdr:to>
      <xdr:col>8</xdr:col>
      <xdr:colOff>88900</xdr:colOff>
      <xdr:row>11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FFEEAE-857E-7F1A-CBED-7203F43DB0C8}"/>
            </a:ext>
          </a:extLst>
        </xdr:cNvPr>
        <xdr:cNvSpPr txBox="1"/>
      </xdr:nvSpPr>
      <xdr:spPr>
        <a:xfrm>
          <a:off x="736600" y="266700"/>
          <a:ext cx="10985500" cy="201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/>
            <a:t>Alternative 1.</a:t>
          </a:r>
          <a:r>
            <a:rPr lang="en-US" sz="1600" b="1" u="sng" baseline="0"/>
            <a:t> </a:t>
          </a:r>
          <a:br>
            <a:rPr lang="en-US" sz="1600" baseline="0"/>
          </a:br>
          <a:br>
            <a:rPr lang="en-US" sz="1600" baseline="0"/>
          </a:br>
          <a:r>
            <a:rPr lang="en-US" sz="1600"/>
            <a:t>Variety A (Carménère) with Traditional Farming: Using only Variety A with the traditional</a:t>
          </a:r>
          <a:r>
            <a:rPr lang="en-US" sz="1600" baseline="0"/>
            <a:t> </a:t>
          </a:r>
          <a:r>
            <a:rPr lang="en-US" sz="1600"/>
            <a:t>farming technique across the entire area of the vineyard.</a:t>
          </a:r>
        </a:p>
        <a:p>
          <a:endParaRPr lang="en-US" sz="1600"/>
        </a:p>
        <a:p>
          <a:r>
            <a:rPr lang="en-US" sz="1600"/>
            <a:t>I calculate the NPV based</a:t>
          </a:r>
          <a:r>
            <a:rPr lang="en-US" sz="1600" baseline="0"/>
            <a:t> on the profit from varity A for 20 years. I after generated 1000 replications based on this randomly generated profit data in order to find mean NPV and other relevant statistics.</a:t>
          </a:r>
          <a:endParaRPr lang="en-US" sz="1600"/>
        </a:p>
      </xdr:txBody>
    </xdr:sp>
    <xdr:clientData/>
  </xdr:twoCellAnchor>
  <xdr:twoCellAnchor>
    <xdr:from>
      <xdr:col>13</xdr:col>
      <xdr:colOff>812800</xdr:colOff>
      <xdr:row>16</xdr:row>
      <xdr:rowOff>101289</xdr:rowOff>
    </xdr:from>
    <xdr:to>
      <xdr:col>19</xdr:col>
      <xdr:colOff>812800</xdr:colOff>
      <xdr:row>27</xdr:row>
      <xdr:rowOff>177801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181673-F8DA-C1EA-32D9-FF49C989D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2</xdr:row>
      <xdr:rowOff>50800</xdr:rowOff>
    </xdr:from>
    <xdr:to>
      <xdr:col>7</xdr:col>
      <xdr:colOff>736600</xdr:colOff>
      <xdr:row>11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10A678-6B4A-FBBC-16EF-E89911AC3ED7}"/>
            </a:ext>
          </a:extLst>
        </xdr:cNvPr>
        <xdr:cNvSpPr txBox="1"/>
      </xdr:nvSpPr>
      <xdr:spPr>
        <a:xfrm>
          <a:off x="1244600" y="457200"/>
          <a:ext cx="5270500" cy="185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/>
            <a:t>Alternativ 2.</a:t>
          </a:r>
        </a:p>
        <a:p>
          <a:endParaRPr lang="en-US" sz="1600"/>
        </a:p>
        <a:p>
          <a:r>
            <a:rPr lang="en-US" sz="1600"/>
            <a:t>Variety C (Syrah) with Modern Farming: Using only Variety C with the modern farming</a:t>
          </a:r>
          <a:r>
            <a:rPr lang="en-US" sz="1600" baseline="0"/>
            <a:t> </a:t>
          </a:r>
          <a:r>
            <a:rPr lang="en-US" sz="1600"/>
            <a:t>technique across the entire area of the vineyard.</a:t>
          </a:r>
        </a:p>
      </xdr:txBody>
    </xdr:sp>
    <xdr:clientData/>
  </xdr:twoCellAnchor>
  <xdr:twoCellAnchor>
    <xdr:from>
      <xdr:col>15</xdr:col>
      <xdr:colOff>321733</xdr:colOff>
      <xdr:row>14</xdr:row>
      <xdr:rowOff>28864</xdr:rowOff>
    </xdr:from>
    <xdr:to>
      <xdr:col>21</xdr:col>
      <xdr:colOff>303260</xdr:colOff>
      <xdr:row>28</xdr:row>
      <xdr:rowOff>190886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767658-3FD6-A5F0-675B-42F8EB7BC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2</xdr:row>
      <xdr:rowOff>38100</xdr:rowOff>
    </xdr:from>
    <xdr:to>
      <xdr:col>7</xdr:col>
      <xdr:colOff>482600</xdr:colOff>
      <xdr:row>11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2B41C5-7171-92CC-011A-8654383B0A41}"/>
            </a:ext>
          </a:extLst>
        </xdr:cNvPr>
        <xdr:cNvSpPr txBox="1"/>
      </xdr:nvSpPr>
      <xdr:spPr>
        <a:xfrm>
          <a:off x="1511300" y="444500"/>
          <a:ext cx="4749800" cy="18923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/>
            <a:t>Alternativ 3.</a:t>
          </a:r>
        </a:p>
        <a:p>
          <a:endParaRPr lang="en-US" sz="1600"/>
        </a:p>
        <a:p>
          <a:r>
            <a:rPr lang="en-US" sz="1400"/>
            <a:t>Mix (50/50) of Varieties </a:t>
          </a:r>
          <a:r>
            <a:rPr lang="en-US" sz="1400" b="1"/>
            <a:t>A</a:t>
          </a:r>
          <a:r>
            <a:rPr lang="en-US" sz="1400"/>
            <a:t> &amp; </a:t>
          </a:r>
          <a:r>
            <a:rPr lang="en-US" sz="1400" b="1"/>
            <a:t>B</a:t>
          </a:r>
          <a:r>
            <a:rPr lang="en-US" sz="1400"/>
            <a:t> with </a:t>
          </a:r>
          <a:r>
            <a:rPr lang="en-US" sz="1400" b="1"/>
            <a:t>Traditional Farming</a:t>
          </a:r>
          <a:r>
            <a:rPr lang="en-US" sz="1400"/>
            <a:t>: The vineyard area is split 50/50 (10</a:t>
          </a:r>
          <a:r>
            <a:rPr lang="en-US" sz="1400" baseline="0"/>
            <a:t> </a:t>
          </a:r>
          <a:r>
            <a:rPr lang="en-US" sz="1400"/>
            <a:t>hectares each) between Variety A and Variety B, both using traditional farming.</a:t>
          </a:r>
        </a:p>
        <a:p>
          <a:endParaRPr lang="en-US" sz="1400"/>
        </a:p>
        <a:p>
          <a:r>
            <a:rPr lang="en-US" sz="1400"/>
            <a:t>Divide</a:t>
          </a:r>
          <a:r>
            <a:rPr lang="en-US" sz="1400" baseline="0"/>
            <a:t> the profit on 2 cause its 10 hectar not 20 hectar.</a:t>
          </a:r>
          <a:endParaRPr lang="en-US" sz="1400"/>
        </a:p>
        <a:p>
          <a:endParaRPr lang="en-US" sz="1100"/>
        </a:p>
        <a:p>
          <a:endParaRPr lang="en-US" sz="1100"/>
        </a:p>
      </xdr:txBody>
    </xdr:sp>
    <xdr:clientData/>
  </xdr:twoCellAnchor>
  <xdr:twoCellAnchor>
    <xdr:from>
      <xdr:col>20</xdr:col>
      <xdr:colOff>739140</xdr:colOff>
      <xdr:row>9</xdr:row>
      <xdr:rowOff>203200</xdr:rowOff>
    </xdr:from>
    <xdr:to>
      <xdr:col>26</xdr:col>
      <xdr:colOff>683260</xdr:colOff>
      <xdr:row>23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39E7B0-FB86-E158-9099-2772DF1C1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0</xdr:row>
      <xdr:rowOff>190500</xdr:rowOff>
    </xdr:from>
    <xdr:to>
      <xdr:col>6</xdr:col>
      <xdr:colOff>1347557</xdr:colOff>
      <xdr:row>10</xdr:row>
      <xdr:rowOff>19389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076CA9-D675-3E09-9C33-A14D2C24DC09}"/>
            </a:ext>
          </a:extLst>
        </xdr:cNvPr>
        <xdr:cNvSpPr txBox="1"/>
      </xdr:nvSpPr>
      <xdr:spPr>
        <a:xfrm>
          <a:off x="1090746" y="190500"/>
          <a:ext cx="7489025" cy="18647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/>
            <a:t>Alternativ 4:</a:t>
          </a:r>
        </a:p>
        <a:p>
          <a:endParaRPr lang="en-US" sz="1600" b="1" u="sng"/>
        </a:p>
        <a:p>
          <a:r>
            <a:rPr lang="en-US" sz="1400" b="0" u="none"/>
            <a:t>Mix (50/50) of Varieties </a:t>
          </a:r>
          <a:r>
            <a:rPr lang="en-US" sz="1400" b="1" u="none"/>
            <a:t>B </a:t>
          </a:r>
          <a:r>
            <a:rPr lang="en-US" sz="1400" b="0" u="none"/>
            <a:t>&amp; </a:t>
          </a:r>
          <a:r>
            <a:rPr lang="en-US" sz="1400" b="1" u="none"/>
            <a:t>C</a:t>
          </a:r>
          <a:r>
            <a:rPr lang="en-US" sz="1400" b="0" u="none"/>
            <a:t> with</a:t>
          </a:r>
          <a:r>
            <a:rPr lang="en-US" sz="1400" b="1" u="none"/>
            <a:t> Modern Farming</a:t>
          </a:r>
          <a:r>
            <a:rPr lang="en-US" sz="1400" b="0" u="none"/>
            <a:t>: The vineyard area is split 50/50 (10</a:t>
          </a:r>
          <a:r>
            <a:rPr lang="en-US" sz="1400" b="0" u="none" baseline="0"/>
            <a:t> </a:t>
          </a:r>
          <a:r>
            <a:rPr lang="en-US" sz="1400" b="0" u="none"/>
            <a:t>hectares each) between Variety B and Variety C, both using modern farming.</a:t>
          </a:r>
        </a:p>
        <a:p>
          <a:endParaRPr lang="en-US" sz="1400" b="0" u="none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Divide</a:t>
          </a:r>
          <a:r>
            <a:rPr lang="en-US" sz="1400" baseline="0"/>
            <a:t> the profit on 2 cause its 10 hectar not 20 hectar.</a:t>
          </a:r>
          <a:endParaRPr lang="en-US" sz="1400"/>
        </a:p>
        <a:p>
          <a:endParaRPr lang="en-US" sz="1600" b="0" u="none"/>
        </a:p>
      </xdr:txBody>
    </xdr:sp>
    <xdr:clientData/>
  </xdr:twoCellAnchor>
  <xdr:twoCellAnchor>
    <xdr:from>
      <xdr:col>22</xdr:col>
      <xdr:colOff>330200</xdr:colOff>
      <xdr:row>9</xdr:row>
      <xdr:rowOff>20320</xdr:rowOff>
    </xdr:from>
    <xdr:to>
      <xdr:col>28</xdr:col>
      <xdr:colOff>327660</xdr:colOff>
      <xdr:row>21</xdr:row>
      <xdr:rowOff>10160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4541B6-9999-1244-3C44-F8B05CD4A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241300</xdr:colOff>
      <xdr:row>0</xdr:row>
      <xdr:rowOff>96865</xdr:rowOff>
    </xdr:from>
    <xdr:to>
      <xdr:col>5</xdr:col>
      <xdr:colOff>1362029</xdr:colOff>
      <xdr:row>8</xdr:row>
      <xdr:rowOff>119639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EAFB70-57E3-C8BF-4CBE-534E93505220}"/>
            </a:ext>
          </a:extLst>
        </xdr:cNvPr>
        <xdr:cNvSpPr txBox="1"/>
      </xdr:nvSpPr>
      <xdr:spPr>
        <a:xfrm>
          <a:off x="1070029" y="96865"/>
          <a:ext cx="7061746" cy="16587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/>
            <a:t>Alternativ 5:</a:t>
          </a:r>
        </a:p>
        <a:p>
          <a:endParaRPr lang="en-US" sz="1100"/>
        </a:p>
        <a:p>
          <a:r>
            <a:rPr lang="en-US" sz="1400"/>
            <a:t>Mix (50/50) of Varieties</a:t>
          </a:r>
          <a:r>
            <a:rPr lang="en-US" sz="1400" b="1"/>
            <a:t> A </a:t>
          </a:r>
          <a:r>
            <a:rPr lang="en-US" sz="1400"/>
            <a:t>&amp;</a:t>
          </a:r>
          <a:r>
            <a:rPr lang="en-US" sz="1400" b="1"/>
            <a:t> C </a:t>
          </a:r>
          <a:r>
            <a:rPr lang="en-US" sz="1400"/>
            <a:t>with </a:t>
          </a:r>
          <a:r>
            <a:rPr lang="en-US" sz="1400" b="1"/>
            <a:t>Modern Farming</a:t>
          </a:r>
          <a:r>
            <a:rPr lang="en-US" sz="1400"/>
            <a:t>: The vineyard area is split 50/50 (10</a:t>
          </a:r>
          <a:r>
            <a:rPr lang="en-US" sz="1400" baseline="0"/>
            <a:t> </a:t>
          </a:r>
          <a:r>
            <a:rPr lang="en-US" sz="1400"/>
            <a:t>hectares each) between Variety A and Variety C, both using modern farming.</a:t>
          </a:r>
        </a:p>
        <a:p>
          <a:endParaRPr lang="en-US" sz="1400"/>
        </a:p>
        <a:p>
          <a:r>
            <a:rPr lang="en-US" sz="1400"/>
            <a:t>I</a:t>
          </a:r>
          <a:r>
            <a:rPr lang="en-US" sz="1400" baseline="0"/>
            <a:t> therefore divide the profit calculated for each of the grape varities with 2 cause the main calculations are based on 20 hectar and not 10 hectar as it asks for here.</a:t>
          </a:r>
          <a:endParaRPr lang="en-US" sz="1600"/>
        </a:p>
        <a:p>
          <a:endParaRPr lang="en-US" sz="1600"/>
        </a:p>
      </xdr:txBody>
    </xdr:sp>
    <xdr:clientData/>
  </xdr:twoCellAnchor>
  <xdr:twoCellAnchor>
    <xdr:from>
      <xdr:col>16</xdr:col>
      <xdr:colOff>647700</xdr:colOff>
      <xdr:row>14</xdr:row>
      <xdr:rowOff>76200</xdr:rowOff>
    </xdr:from>
    <xdr:to>
      <xdr:col>24</xdr:col>
      <xdr:colOff>152400</xdr:colOff>
      <xdr:row>29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D4C7ED-87BA-9333-2D5B-143C9EBED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0053D1-84C5-C349-91A1-180E976EFA80}">
  <we:reference id="wa200003696" version="1.3.0.0" store="nb-NO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9EE7-06F2-354E-A29E-51A49B4FC280}">
  <dimension ref="C7:H28"/>
  <sheetViews>
    <sheetView zoomScale="114" workbookViewId="0">
      <selection activeCell="G20" sqref="G20"/>
    </sheetView>
  </sheetViews>
  <sheetFormatPr baseColWidth="10" defaultRowHeight="16" x14ac:dyDescent="0.2"/>
  <cols>
    <col min="3" max="3" width="27.33203125" bestFit="1" customWidth="1"/>
    <col min="4" max="8" width="19.6640625" bestFit="1" customWidth="1"/>
  </cols>
  <sheetData>
    <row r="7" spans="3:8" ht="17" thickBot="1" x14ac:dyDescent="0.25"/>
    <row r="8" spans="3:8" ht="17" thickBot="1" x14ac:dyDescent="0.25">
      <c r="C8" s="88" t="s">
        <v>135</v>
      </c>
      <c r="D8" s="89" t="s">
        <v>127</v>
      </c>
      <c r="E8" s="90" t="s">
        <v>128</v>
      </c>
      <c r="F8" s="90" t="s">
        <v>129</v>
      </c>
      <c r="G8" s="90" t="s">
        <v>130</v>
      </c>
      <c r="H8" s="91" t="s">
        <v>131</v>
      </c>
    </row>
    <row r="9" spans="3:8" x14ac:dyDescent="0.2">
      <c r="C9" s="80" t="s">
        <v>132</v>
      </c>
      <c r="D9" s="92">
        <f>'NPV - Allt.1'!I20</f>
        <v>3093024911.8689685</v>
      </c>
      <c r="E9" s="92">
        <f>'NPV - Allt.2'!K21</f>
        <v>3119167886.1279817</v>
      </c>
      <c r="F9" s="92">
        <f>'NPV - Allt.3'!P13</f>
        <v>2957658048.5610018</v>
      </c>
      <c r="G9" s="92">
        <f>'NPV - Allt.4'!O11</f>
        <v>2960814212.9061594</v>
      </c>
      <c r="H9" s="93">
        <f>'NPV - Allt5.'!M13</f>
        <v>3143510833.3941784</v>
      </c>
    </row>
    <row r="10" spans="3:8" x14ac:dyDescent="0.2">
      <c r="C10" s="81" t="s">
        <v>133</v>
      </c>
      <c r="D10" s="69">
        <f>'NPV - Allt.1'!W26</f>
        <v>22467362.280589104</v>
      </c>
      <c r="E10" s="69">
        <f>'NPV - Allt.2'!X28</f>
        <v>27692376.873440742</v>
      </c>
      <c r="F10" s="69">
        <f>'NPV - Allt.3'!AD19</f>
        <v>16153996.013093948</v>
      </c>
      <c r="G10" s="69">
        <f>'NPV - Allt.4'!R17</f>
        <v>20032438.826699257</v>
      </c>
      <c r="H10" s="82">
        <f>'NPV - Allt5.'!AA19</f>
        <v>18540897.618608475</v>
      </c>
    </row>
    <row r="11" spans="3:8" x14ac:dyDescent="0.2">
      <c r="C11" s="81" t="s">
        <v>82</v>
      </c>
      <c r="D11" s="69">
        <f>'NPV - Allt.1'!I24</f>
        <v>181248324.92646453</v>
      </c>
      <c r="E11" s="69">
        <f>'NPV - Allt.2'!K25</f>
        <v>223399474.26226896</v>
      </c>
      <c r="F11" s="69">
        <f>'NPV - Allt.3'!P17</f>
        <v>130317243.37180457</v>
      </c>
      <c r="G11" s="69">
        <f>'NPV - Allt.4'!O15</f>
        <v>161605351.62901437</v>
      </c>
      <c r="H11" s="82">
        <f>'NPV - Allt5.'!M17</f>
        <v>149572815.62639216</v>
      </c>
    </row>
    <row r="12" spans="3:8" x14ac:dyDescent="0.2">
      <c r="C12" s="81" t="s">
        <v>3</v>
      </c>
      <c r="D12" s="69">
        <f>'NPV - Allt.1'!I29</f>
        <v>2521456534.094069</v>
      </c>
      <c r="E12" s="69">
        <f>'NPV - Allt.2'!K30</f>
        <v>2226369532.6397786</v>
      </c>
      <c r="F12" s="69">
        <f>'NPV - Allt.3'!P22</f>
        <v>2559314875.4283447</v>
      </c>
      <c r="G12" s="69">
        <f>'NPV - Allt.4'!O20</f>
        <v>2420457532.3720794</v>
      </c>
      <c r="H12" s="82">
        <f>'NPV - Allt5.'!M22</f>
        <v>2624939572.338182</v>
      </c>
    </row>
    <row r="13" spans="3:8" x14ac:dyDescent="0.2">
      <c r="C13" s="81" t="s">
        <v>5</v>
      </c>
      <c r="D13" s="69">
        <f>'NPV - Allt.1'!I30</f>
        <v>3674383220.753737</v>
      </c>
      <c r="E13" s="69">
        <f>'NPV - Allt.2'!K31</f>
        <v>3790039411.0672426</v>
      </c>
      <c r="F13" s="69">
        <f>'NPV - Allt.3'!P23</f>
        <v>3372670663.0720735</v>
      </c>
      <c r="G13" s="69">
        <f>'NPV - Allt.4'!O21</f>
        <v>3467021160.0576253</v>
      </c>
      <c r="H13" s="82">
        <f>'NPV - Allt5.'!M23</f>
        <v>3635279698.5462594</v>
      </c>
    </row>
    <row r="14" spans="3:8" x14ac:dyDescent="0.2">
      <c r="C14" s="96" t="s">
        <v>125</v>
      </c>
      <c r="D14" s="86">
        <f ca="1">'NPV - Allt.1'!G20</f>
        <v>0</v>
      </c>
      <c r="E14" s="86">
        <f ca="1">'NPV - Allt.2'!H21</f>
        <v>0</v>
      </c>
      <c r="F14" s="87">
        <f ca="1">'NPV - Allt.3'!M12</f>
        <v>0</v>
      </c>
      <c r="G14" s="86">
        <f ca="1">'NPV - Allt.4'!L11</f>
        <v>0</v>
      </c>
      <c r="H14" s="94">
        <f ca="1">'NPV - Allt5.'!K9</f>
        <v>0</v>
      </c>
    </row>
    <row r="15" spans="3:8" ht="17" thickBot="1" x14ac:dyDescent="0.25">
      <c r="C15" s="97" t="s">
        <v>90</v>
      </c>
      <c r="D15" s="37">
        <v>1000</v>
      </c>
      <c r="E15" s="37">
        <v>1000</v>
      </c>
      <c r="F15" s="37">
        <v>1000</v>
      </c>
      <c r="G15" s="37">
        <v>1000</v>
      </c>
      <c r="H15" s="95">
        <v>1000</v>
      </c>
    </row>
    <row r="27" spans="6:6" ht="17" thickBot="1" x14ac:dyDescent="0.25"/>
    <row r="28" spans="6:6" ht="17" thickBot="1" x14ac:dyDescent="0.25">
      <c r="F28" s="8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5433-138A-6E40-B5C5-558DA5434A5C}">
  <dimension ref="B1:BN1013"/>
  <sheetViews>
    <sheetView zoomScale="141" zoomScaleNormal="85" workbookViewId="0">
      <selection activeCell="J9" sqref="J9"/>
    </sheetView>
  </sheetViews>
  <sheetFormatPr baseColWidth="10" defaultRowHeight="16" x14ac:dyDescent="0.2"/>
  <cols>
    <col min="3" max="3" width="29.33203125" bestFit="1" customWidth="1"/>
    <col min="4" max="4" width="8.33203125" bestFit="1" customWidth="1"/>
    <col min="5" max="5" width="12" customWidth="1"/>
    <col min="6" max="6" width="30.83203125" bestFit="1" customWidth="1"/>
    <col min="13" max="13" width="15" customWidth="1"/>
    <col min="15" max="15" width="13" customWidth="1"/>
    <col min="16" max="16" width="17.83203125" bestFit="1" customWidth="1"/>
    <col min="19" max="19" width="33.1640625" bestFit="1" customWidth="1"/>
    <col min="20" max="20" width="21.83203125" bestFit="1" customWidth="1"/>
    <col min="21" max="21" width="19.5" bestFit="1" customWidth="1"/>
    <col min="22" max="22" width="13.1640625" bestFit="1" customWidth="1"/>
    <col min="23" max="23" width="15.6640625" bestFit="1" customWidth="1"/>
    <col min="24" max="24" width="18.83203125" customWidth="1"/>
    <col min="26" max="26" width="13.6640625" bestFit="1" customWidth="1"/>
    <col min="27" max="27" width="17.1640625" bestFit="1" customWidth="1"/>
    <col min="29" max="29" width="18.83203125" bestFit="1" customWidth="1"/>
    <col min="30" max="30" width="9.83203125" bestFit="1" customWidth="1"/>
    <col min="32" max="32" width="21.5" bestFit="1" customWidth="1"/>
    <col min="37" max="37" width="13.33203125" bestFit="1" customWidth="1"/>
    <col min="46" max="47" width="17.5" bestFit="1" customWidth="1"/>
    <col min="48" max="48" width="17.6640625" bestFit="1" customWidth="1"/>
    <col min="49" max="49" width="17.5" bestFit="1" customWidth="1"/>
    <col min="50" max="50" width="13.33203125" bestFit="1" customWidth="1"/>
    <col min="54" max="55" width="18.83203125" bestFit="1" customWidth="1"/>
    <col min="56" max="57" width="20.1640625" bestFit="1" customWidth="1"/>
    <col min="60" max="60" width="24.1640625" bestFit="1" customWidth="1"/>
    <col min="61" max="61" width="20.33203125" bestFit="1" customWidth="1"/>
    <col min="62" max="62" width="14.5" bestFit="1" customWidth="1"/>
    <col min="63" max="63" width="26.1640625" bestFit="1" customWidth="1"/>
    <col min="64" max="64" width="20" bestFit="1" customWidth="1"/>
    <col min="65" max="65" width="27.1640625" bestFit="1" customWidth="1"/>
    <col min="66" max="66" width="18.33203125" bestFit="1" customWidth="1"/>
    <col min="67" max="67" width="25.1640625" bestFit="1" customWidth="1"/>
  </cols>
  <sheetData>
    <row r="1" spans="2:66" x14ac:dyDescent="0.2">
      <c r="C1" s="1"/>
      <c r="AF1" s="40" t="s">
        <v>44</v>
      </c>
      <c r="AL1" s="40" t="s">
        <v>49</v>
      </c>
      <c r="AM1" s="44"/>
      <c r="AN1" s="44"/>
    </row>
    <row r="2" spans="2:66" ht="22" x14ac:dyDescent="0.3">
      <c r="C2" s="98" t="s">
        <v>136</v>
      </c>
      <c r="D2" s="63"/>
      <c r="E2" s="63"/>
      <c r="F2" s="63"/>
      <c r="M2" s="40" t="s">
        <v>28</v>
      </c>
      <c r="N2" s="44"/>
      <c r="P2" s="1"/>
      <c r="T2" s="40" t="s">
        <v>29</v>
      </c>
      <c r="W2" s="40" t="s">
        <v>72</v>
      </c>
      <c r="X2" s="44"/>
      <c r="AC2" s="40" t="s">
        <v>42</v>
      </c>
      <c r="AF2" s="6" t="s">
        <v>43</v>
      </c>
      <c r="AI2" s="7" t="s">
        <v>35</v>
      </c>
      <c r="AL2" s="6" t="s">
        <v>34</v>
      </c>
      <c r="AN2" s="7" t="s">
        <v>35</v>
      </c>
    </row>
    <row r="3" spans="2:66" x14ac:dyDescent="0.2">
      <c r="C3" s="1"/>
      <c r="M3" s="2" t="s">
        <v>1</v>
      </c>
      <c r="N3">
        <v>1.0149999999999999</v>
      </c>
      <c r="T3" s="6" t="s">
        <v>30</v>
      </c>
      <c r="U3" s="7" t="s">
        <v>31</v>
      </c>
      <c r="W3" s="6" t="s">
        <v>33</v>
      </c>
      <c r="Z3" s="7" t="s">
        <v>31</v>
      </c>
      <c r="AC3" t="s">
        <v>40</v>
      </c>
      <c r="AF3" t="s">
        <v>45</v>
      </c>
      <c r="AG3">
        <v>5</v>
      </c>
      <c r="AI3">
        <v>10</v>
      </c>
      <c r="AK3" s="1"/>
      <c r="AT3" s="10" t="s">
        <v>50</v>
      </c>
      <c r="AU3" s="10"/>
      <c r="AV3" s="10" t="s">
        <v>51</v>
      </c>
      <c r="AW3" s="10"/>
      <c r="AX3" s="10" t="s">
        <v>52</v>
      </c>
      <c r="AY3" s="10"/>
      <c r="AZ3" s="10" t="s">
        <v>53</v>
      </c>
      <c r="BA3" s="10"/>
      <c r="BB3" s="10" t="s">
        <v>56</v>
      </c>
      <c r="BC3" s="12"/>
      <c r="BD3" s="1"/>
      <c r="BH3" s="70"/>
      <c r="BI3" s="75"/>
      <c r="BJ3" s="75"/>
      <c r="BK3" s="1"/>
    </row>
    <row r="4" spans="2:66" x14ac:dyDescent="0.2">
      <c r="M4" s="2" t="s">
        <v>2</v>
      </c>
      <c r="N4">
        <v>0.05</v>
      </c>
      <c r="S4" s="26" t="s">
        <v>54</v>
      </c>
      <c r="T4" s="8">
        <v>3500000</v>
      </c>
      <c r="U4" s="8">
        <v>5500000</v>
      </c>
      <c r="W4" s="1" t="s">
        <v>1</v>
      </c>
      <c r="X4" s="8">
        <v>1300000</v>
      </c>
      <c r="Z4" s="1" t="s">
        <v>1</v>
      </c>
      <c r="AA4" s="9">
        <v>2000000</v>
      </c>
      <c r="AC4" t="s">
        <v>41</v>
      </c>
      <c r="AF4" t="s">
        <v>46</v>
      </c>
      <c r="AG4" s="5">
        <v>0.1</v>
      </c>
      <c r="AI4" s="5">
        <v>0.2</v>
      </c>
      <c r="BH4" s="75"/>
      <c r="BI4" s="75"/>
      <c r="BJ4" s="75"/>
    </row>
    <row r="5" spans="2:66" x14ac:dyDescent="0.2">
      <c r="S5" s="26" t="s">
        <v>32</v>
      </c>
      <c r="T5" s="3">
        <v>0.95</v>
      </c>
      <c r="U5" s="3">
        <v>1.1000000000000001</v>
      </c>
      <c r="W5" s="1" t="s">
        <v>2</v>
      </c>
      <c r="X5" s="8">
        <v>160000</v>
      </c>
      <c r="Z5" s="1" t="s">
        <v>2</v>
      </c>
      <c r="AA5" s="9">
        <v>130000</v>
      </c>
      <c r="BH5" s="75"/>
      <c r="BI5" s="75"/>
      <c r="BJ5" s="75"/>
    </row>
    <row r="6" spans="2:66" x14ac:dyDescent="0.2">
      <c r="J6" s="1"/>
      <c r="M6" s="1"/>
      <c r="S6" s="26" t="s">
        <v>38</v>
      </c>
      <c r="T6">
        <v>20</v>
      </c>
      <c r="U6">
        <v>20</v>
      </c>
      <c r="W6" s="1"/>
      <c r="Z6" s="1"/>
      <c r="AC6" s="1" t="s">
        <v>7</v>
      </c>
      <c r="AD6">
        <f ca="1">IF(RAND() &lt; 0.05, 1, 0)</f>
        <v>0</v>
      </c>
      <c r="AF6" s="1" t="s">
        <v>7</v>
      </c>
      <c r="AG6">
        <f ca="1">IF(AD6=1, -LN(RAND()) / 5, 0)</f>
        <v>0</v>
      </c>
      <c r="AI6">
        <f ca="1">IF(AD6=1, -LN(RAND()) / 10, 0)</f>
        <v>0</v>
      </c>
      <c r="AK6" s="1" t="s">
        <v>7</v>
      </c>
      <c r="AL6" s="3">
        <f ca="1">T10 * (1 - AG6)</f>
        <v>13.54282790635863</v>
      </c>
      <c r="AN6" s="3">
        <f ca="1">U10 * (1 - AI6)</f>
        <v>15.681169154731046</v>
      </c>
      <c r="BH6" s="75"/>
      <c r="BI6" s="75"/>
      <c r="BJ6" s="75"/>
    </row>
    <row r="7" spans="2:66" x14ac:dyDescent="0.2">
      <c r="C7" s="40" t="s">
        <v>6</v>
      </c>
      <c r="F7" s="40" t="s">
        <v>27</v>
      </c>
      <c r="G7" s="44"/>
      <c r="I7" s="1"/>
      <c r="L7" s="1" t="s">
        <v>7</v>
      </c>
      <c r="M7">
        <v>200</v>
      </c>
      <c r="O7" s="1"/>
      <c r="P7" s="4"/>
      <c r="S7" s="1"/>
      <c r="W7" s="1" t="s">
        <v>36</v>
      </c>
      <c r="X7" s="3">
        <v>14.0725</v>
      </c>
      <c r="Z7" s="1" t="s">
        <v>36</v>
      </c>
      <c r="AA7" s="3">
        <v>14.506600000000001</v>
      </c>
      <c r="AC7" s="1" t="s">
        <v>8</v>
      </c>
      <c r="AD7">
        <f t="shared" ref="AD7:AD25" ca="1" si="0">IF(RAND() &lt; 0.05, 1, 0)</f>
        <v>0</v>
      </c>
      <c r="AF7" s="1" t="s">
        <v>8</v>
      </c>
      <c r="AG7">
        <f t="shared" ref="AG7:AG25" ca="1" si="1">IF(AD7=1, -LN(RAND()) / 5, 0)</f>
        <v>0</v>
      </c>
      <c r="AI7">
        <f t="shared" ref="AI7:AI25" ca="1" si="2">IF(AD7=1, -LN(RAND()) / 10, 0)</f>
        <v>0</v>
      </c>
      <c r="AK7" s="1" t="s">
        <v>8</v>
      </c>
      <c r="AL7" s="3">
        <f t="shared" ref="AL7:AL25" ca="1" si="3">T11 * (1 - AG7)</f>
        <v>13.038874922102298</v>
      </c>
      <c r="AN7" s="3">
        <f t="shared" ref="AN7:AN25" ca="1" si="4">U11 * (1 - AI7)</f>
        <v>15.097644646644769</v>
      </c>
      <c r="BH7" s="70"/>
      <c r="BI7" s="76"/>
      <c r="BJ7" s="75"/>
    </row>
    <row r="8" spans="2:66" x14ac:dyDescent="0.2">
      <c r="C8" s="1" t="s">
        <v>1</v>
      </c>
      <c r="D8">
        <v>1500000</v>
      </c>
      <c r="F8" t="s">
        <v>3</v>
      </c>
      <c r="G8">
        <v>8</v>
      </c>
      <c r="I8" s="1"/>
      <c r="L8" s="1" t="s">
        <v>8</v>
      </c>
      <c r="M8" s="3">
        <f ca="1">M7 * _xlfn.NORM.INV(RAND(),N3,N4)</f>
        <v>202.2474877407283</v>
      </c>
      <c r="O8" s="1"/>
      <c r="P8" s="4"/>
      <c r="S8" s="40" t="s">
        <v>73</v>
      </c>
      <c r="T8" s="8">
        <f>T4*T6</f>
        <v>70000000</v>
      </c>
      <c r="U8" s="11">
        <f>U4*U6</f>
        <v>110000000</v>
      </c>
      <c r="W8" s="1" t="s">
        <v>37</v>
      </c>
      <c r="X8" s="3">
        <v>0.12257999999999999</v>
      </c>
      <c r="Z8" s="1" t="s">
        <v>37</v>
      </c>
      <c r="AA8" s="3">
        <v>6.4899999999999999E-2</v>
      </c>
      <c r="AC8" s="1" t="s">
        <v>9</v>
      </c>
      <c r="AD8">
        <f t="shared" ca="1" si="0"/>
        <v>0</v>
      </c>
      <c r="AF8" s="1" t="s">
        <v>9</v>
      </c>
      <c r="AG8">
        <f t="shared" ca="1" si="1"/>
        <v>0</v>
      </c>
      <c r="AI8">
        <f t="shared" ca="1" si="2"/>
        <v>0</v>
      </c>
      <c r="AK8" s="1" t="s">
        <v>9</v>
      </c>
      <c r="AL8" s="3">
        <f t="shared" ca="1" si="3"/>
        <v>14.876226780081387</v>
      </c>
      <c r="AN8" s="3">
        <f t="shared" ca="1" si="4"/>
        <v>17.225104692725818</v>
      </c>
      <c r="BH8" s="75"/>
      <c r="BI8" s="75"/>
      <c r="BJ8" s="75"/>
    </row>
    <row r="9" spans="2:66" x14ac:dyDescent="0.2">
      <c r="C9" s="1" t="s">
        <v>2</v>
      </c>
      <c r="D9">
        <v>110000</v>
      </c>
      <c r="F9" t="s">
        <v>4</v>
      </c>
      <c r="G9">
        <v>13</v>
      </c>
      <c r="I9" s="1"/>
      <c r="L9" s="1" t="s">
        <v>9</v>
      </c>
      <c r="M9" s="3">
        <f ca="1" xml:space="preserve"> M8 * _xlfn.NORM.INV(RAND(), N3,N4)</f>
        <v>195.88245761462753</v>
      </c>
      <c r="O9" s="1"/>
      <c r="P9" s="4"/>
      <c r="T9" s="26" t="s">
        <v>47</v>
      </c>
      <c r="U9" s="26" t="s">
        <v>48</v>
      </c>
      <c r="W9" s="1"/>
      <c r="AC9" s="1" t="s">
        <v>10</v>
      </c>
      <c r="AD9">
        <f t="shared" ca="1" si="0"/>
        <v>0</v>
      </c>
      <c r="AF9" s="1" t="s">
        <v>10</v>
      </c>
      <c r="AG9">
        <f t="shared" ca="1" si="1"/>
        <v>0</v>
      </c>
      <c r="AI9">
        <f t="shared" ca="1" si="2"/>
        <v>0</v>
      </c>
      <c r="AK9" s="1" t="s">
        <v>10</v>
      </c>
      <c r="AL9" s="3">
        <f t="shared" ca="1" si="3"/>
        <v>11.70302340258867</v>
      </c>
      <c r="AN9" s="3">
        <f t="shared" ca="1" si="4"/>
        <v>13.550869202997408</v>
      </c>
      <c r="AT9" s="6" t="s">
        <v>34</v>
      </c>
      <c r="AU9" s="7" t="s">
        <v>35</v>
      </c>
      <c r="AV9" s="6" t="s">
        <v>43</v>
      </c>
      <c r="AW9" s="7" t="s">
        <v>35</v>
      </c>
      <c r="AX9" s="6" t="s">
        <v>34</v>
      </c>
      <c r="AY9" s="7" t="s">
        <v>35</v>
      </c>
      <c r="AZ9" s="6" t="s">
        <v>34</v>
      </c>
      <c r="BA9" s="7" t="s">
        <v>35</v>
      </c>
      <c r="BB9" s="6" t="s">
        <v>55</v>
      </c>
      <c r="BC9" s="7" t="s">
        <v>35</v>
      </c>
      <c r="BD9" s="1"/>
      <c r="BE9" s="1"/>
      <c r="BH9" s="70"/>
      <c r="BI9" s="75"/>
      <c r="BJ9" s="75"/>
      <c r="BK9" s="1"/>
    </row>
    <row r="10" spans="2:66" x14ac:dyDescent="0.2">
      <c r="F10" t="s">
        <v>5</v>
      </c>
      <c r="G10">
        <v>18</v>
      </c>
      <c r="I10" s="1"/>
      <c r="L10" s="1" t="s">
        <v>10</v>
      </c>
      <c r="M10" s="3">
        <f ca="1">M9 * _xlfn.NORM.INV(RAND(),N3,N4)</f>
        <v>193.65321905114297</v>
      </c>
      <c r="O10" s="1"/>
      <c r="P10" s="4"/>
      <c r="S10" s="1" t="s">
        <v>7</v>
      </c>
      <c r="T10" s="3">
        <f ca="1">G12*$T$5</f>
        <v>13.54282790635863</v>
      </c>
      <c r="U10" s="3">
        <f ca="1">G12*$U$5</f>
        <v>15.681169154731046</v>
      </c>
      <c r="AC10" s="1" t="s">
        <v>11</v>
      </c>
      <c r="AD10">
        <f t="shared" ca="1" si="0"/>
        <v>0</v>
      </c>
      <c r="AF10" s="1" t="s">
        <v>11</v>
      </c>
      <c r="AG10">
        <f t="shared" ca="1" si="1"/>
        <v>0</v>
      </c>
      <c r="AI10">
        <f t="shared" ca="1" si="2"/>
        <v>0</v>
      </c>
      <c r="AK10" s="1" t="s">
        <v>11</v>
      </c>
      <c r="AL10" s="3">
        <f t="shared" ca="1" si="3"/>
        <v>14.693422088610848</v>
      </c>
      <c r="AN10" s="3">
        <f t="shared" ca="1" si="4"/>
        <v>17.013436102602036</v>
      </c>
      <c r="AS10" s="1" t="s">
        <v>7</v>
      </c>
      <c r="AT10" s="22">
        <f ca="1">MIN(AL6,M7) * C11 * 20</f>
        <v>413669901.43587601</v>
      </c>
      <c r="AU10" s="22">
        <f ca="1">MIN(AN6,M7) * C11 * 20</f>
        <v>478986201.66259342</v>
      </c>
      <c r="AV10" s="22">
        <f ca="1">$T$8 + X14 * 20</f>
        <v>95030227.637964249</v>
      </c>
      <c r="AW10" s="22">
        <f ca="1">$U$8+AA14 * 20</f>
        <v>147706305.71855611</v>
      </c>
      <c r="AX10">
        <f ca="1">SUM(AD6:AD25)</f>
        <v>1</v>
      </c>
      <c r="AY10">
        <f ca="1">SUM(AD6:AD25)</f>
        <v>1</v>
      </c>
      <c r="AZ10" s="23">
        <f ca="1">AL6</f>
        <v>13.54282790635863</v>
      </c>
      <c r="BA10" s="23">
        <f ca="1">AN6</f>
        <v>15.681169154731046</v>
      </c>
      <c r="BB10" s="36">
        <f ca="1">AT10-AV10</f>
        <v>318639673.79791176</v>
      </c>
      <c r="BC10" s="25">
        <f ca="1">AU10-AW10</f>
        <v>331279895.94403732</v>
      </c>
      <c r="BD10" s="45"/>
      <c r="BE10" s="45"/>
      <c r="BH10" s="77"/>
      <c r="BI10" s="75"/>
      <c r="BJ10" s="75"/>
    </row>
    <row r="11" spans="2:66" x14ac:dyDescent="0.2">
      <c r="B11" s="1" t="s">
        <v>7</v>
      </c>
      <c r="C11" s="8">
        <f ca="1">_xlfn.NORM.INV(RAND(),1500000,110000)</f>
        <v>1527265.5914118562</v>
      </c>
      <c r="I11" s="1"/>
      <c r="L11" s="1" t="s">
        <v>11</v>
      </c>
      <c r="M11" s="3">
        <f ca="1">M10 * _xlfn.NORM.INV(RAND(),N3,N4)</f>
        <v>214.22803575851452</v>
      </c>
      <c r="O11" s="1"/>
      <c r="P11" s="4"/>
      <c r="S11" s="1" t="s">
        <v>8</v>
      </c>
      <c r="T11" s="3">
        <f t="shared" ref="T11:T29" ca="1" si="5">G13*$T$5</f>
        <v>13.038874922102298</v>
      </c>
      <c r="U11" s="3">
        <f t="shared" ref="U11:U29" ca="1" si="6">G13*$U$5</f>
        <v>15.097644646644769</v>
      </c>
      <c r="AC11" s="1" t="s">
        <v>12</v>
      </c>
      <c r="AD11">
        <f t="shared" ca="1" si="0"/>
        <v>0</v>
      </c>
      <c r="AF11" s="1" t="s">
        <v>12</v>
      </c>
      <c r="AG11">
        <f t="shared" ca="1" si="1"/>
        <v>0</v>
      </c>
      <c r="AI11">
        <f t="shared" ca="1" si="2"/>
        <v>0</v>
      </c>
      <c r="AK11" s="1" t="s">
        <v>12</v>
      </c>
      <c r="AL11" s="3">
        <f t="shared" ca="1" si="3"/>
        <v>10.676203054967104</v>
      </c>
      <c r="AN11" s="3">
        <f t="shared" ca="1" si="4"/>
        <v>12.361919326804015</v>
      </c>
      <c r="AS11" s="1" t="s">
        <v>8</v>
      </c>
      <c r="AT11" s="22">
        <f t="shared" ref="AT11:AT29" ca="1" si="7">MIN(AL7,M8) * C12 * 20</f>
        <v>417471803.46074945</v>
      </c>
      <c r="AU11" s="22">
        <f t="shared" ref="AU11:AU29" ca="1" si="8">MIN(AN7,M8) * C12 * 20</f>
        <v>483388404.00718361</v>
      </c>
      <c r="AV11" s="22">
        <f t="shared" ref="AV11:AV29" ca="1" si="9">$T$8 + X15 * 20</f>
        <v>100482321.55934863</v>
      </c>
      <c r="AW11" s="22">
        <f t="shared" ref="AW11:AW29" ca="1" si="10">$U$8+AA15 * 20</f>
        <v>149546465.37426445</v>
      </c>
      <c r="AZ11" s="23">
        <f t="shared" ref="AZ11:AZ29" ca="1" si="11">AL7</f>
        <v>13.038874922102298</v>
      </c>
      <c r="BA11" s="23">
        <f t="shared" ref="BA11:BA29" ca="1" si="12">AN7</f>
        <v>15.097644646644769</v>
      </c>
      <c r="BB11" s="36">
        <f t="shared" ref="BB11:BB29" ca="1" si="13">AT11-AV11</f>
        <v>316989481.9014008</v>
      </c>
      <c r="BC11" s="25">
        <f t="shared" ref="BC11:BC29" ca="1" si="14">AU11-AW11</f>
        <v>333841938.63291919</v>
      </c>
      <c r="BD11" s="11"/>
      <c r="BE11" s="11"/>
      <c r="BH11" s="75"/>
      <c r="BI11" s="75"/>
      <c r="BJ11" s="78"/>
    </row>
    <row r="12" spans="2:66" x14ac:dyDescent="0.2">
      <c r="B12" s="1" t="s">
        <v>8</v>
      </c>
      <c r="C12" s="8">
        <f t="shared" ref="C12:C30" ca="1" si="15">_xlfn.NORM.INV(RAND(),1500000,110000)</f>
        <v>1600873.5644556638</v>
      </c>
      <c r="F12" s="1" t="s">
        <v>7</v>
      </c>
      <c r="G12" s="3">
        <f ca="1">IF(RAND() &lt; (13 - 8) / (18 - 8), 8 + SQRT(RAND()) * (13 - 8), 18 - SQRT(RAND()) * (18 - 13))</f>
        <v>14.255608322482768</v>
      </c>
      <c r="I12" s="1"/>
      <c r="L12" s="1" t="s">
        <v>12</v>
      </c>
      <c r="M12" s="3">
        <f ca="1">M11 * _xlfn.NORM.INV(RAND(), N3,N4)</f>
        <v>203.65983200920985</v>
      </c>
      <c r="O12" s="1"/>
      <c r="P12" s="4"/>
      <c r="S12" s="1" t="s">
        <v>9</v>
      </c>
      <c r="T12" s="3">
        <f t="shared" ca="1" si="5"/>
        <v>14.876226780081387</v>
      </c>
      <c r="U12" s="3">
        <f t="shared" ca="1" si="6"/>
        <v>17.225104692725818</v>
      </c>
      <c r="W12" s="1" t="s">
        <v>34</v>
      </c>
      <c r="Z12" s="1" t="s">
        <v>35</v>
      </c>
      <c r="AC12" s="1" t="s">
        <v>13</v>
      </c>
      <c r="AD12">
        <f t="shared" ca="1" si="0"/>
        <v>0</v>
      </c>
      <c r="AF12" s="1" t="s">
        <v>13</v>
      </c>
      <c r="AG12">
        <f t="shared" ca="1" si="1"/>
        <v>0</v>
      </c>
      <c r="AI12">
        <f t="shared" ca="1" si="2"/>
        <v>0</v>
      </c>
      <c r="AK12" s="1" t="s">
        <v>13</v>
      </c>
      <c r="AL12" s="3">
        <f t="shared" ca="1" si="3"/>
        <v>10.448539273848214</v>
      </c>
      <c r="AN12" s="3">
        <f t="shared" ca="1" si="4"/>
        <v>12.098308632876881</v>
      </c>
      <c r="AS12" s="1" t="s">
        <v>9</v>
      </c>
      <c r="AT12" s="22">
        <f t="shared" ca="1" si="7"/>
        <v>461059588.18516767</v>
      </c>
      <c r="AU12" s="22">
        <f t="shared" ca="1" si="8"/>
        <v>533858470.53019416</v>
      </c>
      <c r="AV12" s="22">
        <f t="shared" ca="1" si="9"/>
        <v>92736903.792973116</v>
      </c>
      <c r="AW12" s="22">
        <f t="shared" ca="1" si="10"/>
        <v>147807209.35265496</v>
      </c>
      <c r="AZ12" s="23">
        <f t="shared" ca="1" si="11"/>
        <v>14.876226780081387</v>
      </c>
      <c r="BA12" s="23">
        <f t="shared" ca="1" si="12"/>
        <v>17.225104692725818</v>
      </c>
      <c r="BB12" s="36">
        <f t="shared" ca="1" si="13"/>
        <v>368322684.39219457</v>
      </c>
      <c r="BC12" s="25">
        <f t="shared" ca="1" si="14"/>
        <v>386051261.17753923</v>
      </c>
      <c r="BD12" s="11"/>
      <c r="BE12" s="11"/>
      <c r="BH12" s="79"/>
      <c r="BI12" s="75"/>
      <c r="BJ12" s="75"/>
    </row>
    <row r="13" spans="2:66" x14ac:dyDescent="0.2">
      <c r="B13" s="1" t="s">
        <v>9</v>
      </c>
      <c r="C13" s="8">
        <f t="shared" ca="1" si="15"/>
        <v>1549652.3244809166</v>
      </c>
      <c r="F13" s="1" t="s">
        <v>8</v>
      </c>
      <c r="G13" s="3">
        <f t="shared" ref="G13:G31" ca="1" si="16">IF(RAND() &lt; (13 - 8) / (18 - 8), 8 + SQRT(RAND()) * (13 - 8), 18 - SQRT(RAND()) * (18 - 13))</f>
        <v>13.725131496949789</v>
      </c>
      <c r="I13" s="1"/>
      <c r="L13" s="1" t="s">
        <v>13</v>
      </c>
      <c r="M13" s="3">
        <f ca="1">M12 * _xlfn.NORM.INV(RAND(), N3, N4)</f>
        <v>234.12540191834617</v>
      </c>
      <c r="O13" s="1"/>
      <c r="P13" s="4"/>
      <c r="S13" s="1" t="s">
        <v>10</v>
      </c>
      <c r="T13" s="3">
        <f t="shared" ca="1" si="5"/>
        <v>11.70302340258867</v>
      </c>
      <c r="U13" s="3">
        <f t="shared" ca="1" si="6"/>
        <v>13.550869202997408</v>
      </c>
      <c r="AC13" s="1" t="s">
        <v>14</v>
      </c>
      <c r="AD13">
        <f t="shared" ca="1" si="0"/>
        <v>0</v>
      </c>
      <c r="AF13" s="1" t="s">
        <v>14</v>
      </c>
      <c r="AG13">
        <f t="shared" ca="1" si="1"/>
        <v>0</v>
      </c>
      <c r="AI13">
        <f t="shared" ca="1" si="2"/>
        <v>0</v>
      </c>
      <c r="AK13" s="1" t="s">
        <v>14</v>
      </c>
      <c r="AL13" s="3">
        <f t="shared" ca="1" si="3"/>
        <v>15.13946464586579</v>
      </c>
      <c r="AN13" s="3">
        <f t="shared" ca="1" si="4"/>
        <v>17.529906432055128</v>
      </c>
      <c r="AS13" s="1" t="s">
        <v>10</v>
      </c>
      <c r="AT13" s="22">
        <f t="shared" ca="1" si="7"/>
        <v>328164126.6347819</v>
      </c>
      <c r="AU13" s="22">
        <f t="shared" ca="1" si="8"/>
        <v>379979515.05080014</v>
      </c>
      <c r="AV13" s="22">
        <f t="shared" ca="1" si="9"/>
        <v>101653283.39621127</v>
      </c>
      <c r="AW13" s="22">
        <f t="shared" ca="1" si="10"/>
        <v>152221697.85773474</v>
      </c>
      <c r="AZ13" s="23">
        <f t="shared" ca="1" si="11"/>
        <v>11.70302340258867</v>
      </c>
      <c r="BA13" s="23">
        <f t="shared" ca="1" si="12"/>
        <v>13.550869202997408</v>
      </c>
      <c r="BB13" s="36">
        <f t="shared" ca="1" si="13"/>
        <v>226510843.23857063</v>
      </c>
      <c r="BC13" s="25">
        <f t="shared" ca="1" si="14"/>
        <v>227757817.1930654</v>
      </c>
      <c r="BD13" s="11"/>
      <c r="BE13" s="11"/>
      <c r="BH13" s="1"/>
      <c r="BI13" s="1"/>
      <c r="BJ13" s="46"/>
      <c r="BK13" s="46"/>
    </row>
    <row r="14" spans="2:66" x14ac:dyDescent="0.2">
      <c r="B14" s="1" t="s">
        <v>10</v>
      </c>
      <c r="C14" s="8">
        <f t="shared" ca="1" si="15"/>
        <v>1402048.493563608</v>
      </c>
      <c r="F14" s="1" t="s">
        <v>9</v>
      </c>
      <c r="G14" s="3">
        <f t="shared" ca="1" si="16"/>
        <v>15.659186084296197</v>
      </c>
      <c r="I14" s="1"/>
      <c r="L14" s="1" t="s">
        <v>14</v>
      </c>
      <c r="M14" s="3">
        <f ca="1" xml:space="preserve"> M13 * _xlfn.NORM.INV(RAND(), N3, N4)</f>
        <v>239.84243182162049</v>
      </c>
      <c r="O14" s="1"/>
      <c r="P14" s="4"/>
      <c r="S14" s="1" t="s">
        <v>11</v>
      </c>
      <c r="T14" s="3">
        <f t="shared" ca="1" si="5"/>
        <v>14.693422088610848</v>
      </c>
      <c r="U14" s="3">
        <f t="shared" ca="1" si="6"/>
        <v>17.013436102602036</v>
      </c>
      <c r="W14" s="1" t="s">
        <v>7</v>
      </c>
      <c r="X14" s="4">
        <f ca="1">_xlfn.LOGNORM.INV(RAND(),$X$7,$X$8)</f>
        <v>1251511.381898212</v>
      </c>
      <c r="Z14" s="1" t="s">
        <v>7</v>
      </c>
      <c r="AA14" s="8">
        <f ca="1">_xlfn.LOGNORM.INV(RAND(),$AA$7,$AA$8)</f>
        <v>1885315.2859278049</v>
      </c>
      <c r="AC14" s="1" t="s">
        <v>15</v>
      </c>
      <c r="AD14">
        <f t="shared" ca="1" si="0"/>
        <v>0</v>
      </c>
      <c r="AF14" s="1" t="s">
        <v>15</v>
      </c>
      <c r="AG14">
        <f t="shared" ca="1" si="1"/>
        <v>0</v>
      </c>
      <c r="AI14">
        <f t="shared" ca="1" si="2"/>
        <v>0</v>
      </c>
      <c r="AK14" s="1" t="s">
        <v>15</v>
      </c>
      <c r="AL14" s="3">
        <f t="shared" ca="1" si="3"/>
        <v>13.055746894990289</v>
      </c>
      <c r="AN14" s="3">
        <f t="shared" ca="1" si="4"/>
        <v>15.117180615251915</v>
      </c>
      <c r="AS14" s="1" t="s">
        <v>11</v>
      </c>
      <c r="AT14" s="22">
        <f t="shared" ca="1" si="7"/>
        <v>457644255.75359058</v>
      </c>
      <c r="AU14" s="22">
        <f t="shared" ca="1" si="8"/>
        <v>529903875.08310491</v>
      </c>
      <c r="AV14" s="22">
        <f t="shared" ca="1" si="9"/>
        <v>92768170.027437389</v>
      </c>
      <c r="AW14" s="22">
        <f t="shared" ca="1" si="10"/>
        <v>152695217.44230771</v>
      </c>
      <c r="AZ14" s="23">
        <f t="shared" ca="1" si="11"/>
        <v>14.693422088610848</v>
      </c>
      <c r="BA14" s="23">
        <f t="shared" ca="1" si="12"/>
        <v>17.013436102602036</v>
      </c>
      <c r="BB14" s="36">
        <f t="shared" ca="1" si="13"/>
        <v>364876085.72615319</v>
      </c>
      <c r="BC14" s="25">
        <f t="shared" ca="1" si="14"/>
        <v>377208657.6407972</v>
      </c>
      <c r="BD14" s="11"/>
      <c r="BE14" s="11"/>
      <c r="BH14" s="34"/>
      <c r="BI14" s="36"/>
      <c r="BK14" s="35"/>
      <c r="BL14" s="66"/>
      <c r="BM14" s="66"/>
      <c r="BN14" s="67"/>
    </row>
    <row r="15" spans="2:66" x14ac:dyDescent="0.2">
      <c r="B15" s="1" t="s">
        <v>11</v>
      </c>
      <c r="C15" s="8">
        <f t="shared" ca="1" si="15"/>
        <v>1557309.9751497624</v>
      </c>
      <c r="F15" s="1" t="s">
        <v>10</v>
      </c>
      <c r="G15" s="3">
        <f t="shared" ca="1" si="16"/>
        <v>12.318972002724916</v>
      </c>
      <c r="I15" s="1"/>
      <c r="L15" s="1" t="s">
        <v>15</v>
      </c>
      <c r="M15" s="3">
        <f ca="1">M14 * _xlfn.NORM.INV(RAND(), N3, N4)</f>
        <v>246.30272860375862</v>
      </c>
      <c r="O15" s="1"/>
      <c r="P15" s="4"/>
      <c r="S15" s="1" t="s">
        <v>12</v>
      </c>
      <c r="T15" s="3">
        <f t="shared" ca="1" si="5"/>
        <v>10.676203054967104</v>
      </c>
      <c r="U15" s="3">
        <f t="shared" ca="1" si="6"/>
        <v>12.361919326804015</v>
      </c>
      <c r="W15" s="1" t="s">
        <v>8</v>
      </c>
      <c r="X15" s="4">
        <f t="shared" ref="X15:X33" ca="1" si="17">_xlfn.LOGNORM.INV(RAND(),$X$7,$X$8)</f>
        <v>1524116.0779674314</v>
      </c>
      <c r="Z15" s="1" t="s">
        <v>8</v>
      </c>
      <c r="AA15" s="8">
        <f t="shared" ref="AA15:AA33" ca="1" si="18">_xlfn.LOGNORM.INV(RAND(),$AA$7,$AA$8)</f>
        <v>1977323.2687132228</v>
      </c>
      <c r="AC15" s="1" t="s">
        <v>16</v>
      </c>
      <c r="AD15">
        <f t="shared" ca="1" si="0"/>
        <v>1</v>
      </c>
      <c r="AF15" s="1" t="s">
        <v>16</v>
      </c>
      <c r="AG15">
        <f t="shared" ca="1" si="1"/>
        <v>0.10182145747811307</v>
      </c>
      <c r="AI15">
        <f t="shared" ca="1" si="2"/>
        <v>0.11627212413739388</v>
      </c>
      <c r="AK15" s="1" t="s">
        <v>16</v>
      </c>
      <c r="AL15" s="3">
        <f t="shared" ca="1" si="3"/>
        <v>10.427166748263634</v>
      </c>
      <c r="AN15" s="3">
        <f t="shared" ca="1" si="4"/>
        <v>11.879311686467707</v>
      </c>
      <c r="AS15" s="1" t="s">
        <v>12</v>
      </c>
      <c r="AT15" s="22">
        <f t="shared" ca="1" si="7"/>
        <v>271623917.38681591</v>
      </c>
      <c r="AU15" s="22">
        <f t="shared" ca="1" si="8"/>
        <v>314511904.34262896</v>
      </c>
      <c r="AV15" s="22">
        <f t="shared" ca="1" si="9"/>
        <v>96455902.507208541</v>
      </c>
      <c r="AW15" s="22">
        <f t="shared" ca="1" si="10"/>
        <v>151314023.86383104</v>
      </c>
      <c r="AZ15" s="23">
        <f t="shared" ca="1" si="11"/>
        <v>10.676203054967104</v>
      </c>
      <c r="BA15" s="23">
        <f t="shared" ca="1" si="12"/>
        <v>12.361919326804015</v>
      </c>
      <c r="BB15" s="36">
        <f t="shared" ca="1" si="13"/>
        <v>175168014.87960738</v>
      </c>
      <c r="BC15" s="25">
        <f t="shared" ca="1" si="14"/>
        <v>163197880.47879791</v>
      </c>
      <c r="BD15" s="11"/>
      <c r="BE15" s="11"/>
      <c r="BH15" s="34"/>
      <c r="BI15" s="36"/>
      <c r="BL15" s="67"/>
      <c r="BM15" s="68"/>
      <c r="BN15" s="69"/>
    </row>
    <row r="16" spans="2:66" x14ac:dyDescent="0.2">
      <c r="B16" s="1" t="s">
        <v>12</v>
      </c>
      <c r="C16" s="8">
        <f t="shared" ca="1" si="15"/>
        <v>1272099.8092128029</v>
      </c>
      <c r="F16" s="1" t="s">
        <v>11</v>
      </c>
      <c r="G16" s="3">
        <f t="shared" ca="1" si="16"/>
        <v>15.466760093274578</v>
      </c>
      <c r="I16" s="1"/>
      <c r="L16" s="1" t="s">
        <v>16</v>
      </c>
      <c r="M16" s="3">
        <f ca="1">M15 * _xlfn.NORM.INV(RAND(),N3,N4)</f>
        <v>240.83043869710582</v>
      </c>
      <c r="O16" s="1"/>
      <c r="P16" s="4"/>
      <c r="S16" s="1" t="s">
        <v>13</v>
      </c>
      <c r="T16" s="3">
        <f t="shared" ca="1" si="5"/>
        <v>10.448539273848214</v>
      </c>
      <c r="U16" s="3">
        <f t="shared" ca="1" si="6"/>
        <v>12.098308632876881</v>
      </c>
      <c r="W16" s="1" t="s">
        <v>9</v>
      </c>
      <c r="X16" s="4">
        <f t="shared" ca="1" si="17"/>
        <v>1136845.1896486557</v>
      </c>
      <c r="Z16" s="1" t="s">
        <v>9</v>
      </c>
      <c r="AA16" s="8">
        <f t="shared" ca="1" si="18"/>
        <v>1890360.4676327482</v>
      </c>
      <c r="AC16" s="1" t="s">
        <v>17</v>
      </c>
      <c r="AD16">
        <f t="shared" ca="1" si="0"/>
        <v>0</v>
      </c>
      <c r="AF16" s="1" t="s">
        <v>17</v>
      </c>
      <c r="AG16">
        <f t="shared" ca="1" si="1"/>
        <v>0</v>
      </c>
      <c r="AI16">
        <f t="shared" ca="1" si="2"/>
        <v>0</v>
      </c>
      <c r="AK16" s="1" t="s">
        <v>17</v>
      </c>
      <c r="AL16" s="3">
        <f t="shared" ca="1" si="3"/>
        <v>15.136537681986404</v>
      </c>
      <c r="AN16" s="3">
        <f ca="1">U20 * (1 - AI16)</f>
        <v>17.526517315984261</v>
      </c>
      <c r="AS16" s="1" t="s">
        <v>13</v>
      </c>
      <c r="AT16" s="22">
        <f t="shared" ca="1" si="7"/>
        <v>290725618.60221004</v>
      </c>
      <c r="AU16" s="22">
        <f t="shared" ca="1" si="8"/>
        <v>336629663.64466435</v>
      </c>
      <c r="AV16" s="22">
        <f t="shared" ca="1" si="9"/>
        <v>97367781.490783185</v>
      </c>
      <c r="AW16" s="22">
        <f t="shared" ca="1" si="10"/>
        <v>153648295.25773638</v>
      </c>
      <c r="AZ16" s="23">
        <f t="shared" ca="1" si="11"/>
        <v>10.448539273848214</v>
      </c>
      <c r="BA16" s="23">
        <f t="shared" ca="1" si="12"/>
        <v>12.098308632876881</v>
      </c>
      <c r="BB16" s="36">
        <f t="shared" ca="1" si="13"/>
        <v>193357837.11142686</v>
      </c>
      <c r="BC16" s="25">
        <f t="shared" ca="1" si="14"/>
        <v>182981368.38692796</v>
      </c>
      <c r="BD16" s="11"/>
      <c r="BE16" s="11"/>
      <c r="BH16" s="34"/>
      <c r="BI16" s="36"/>
      <c r="BL16" s="54"/>
      <c r="BM16" s="54"/>
      <c r="BN16" s="54"/>
    </row>
    <row r="17" spans="2:66" x14ac:dyDescent="0.2">
      <c r="B17" s="1" t="s">
        <v>13</v>
      </c>
      <c r="C17" s="8">
        <f t="shared" ca="1" si="15"/>
        <v>1391226.1368910726</v>
      </c>
      <c r="F17" s="1" t="s">
        <v>12</v>
      </c>
      <c r="G17" s="3">
        <f t="shared" ca="1" si="16"/>
        <v>11.238108478912741</v>
      </c>
      <c r="I17" s="1"/>
      <c r="L17" s="1" t="s">
        <v>17</v>
      </c>
      <c r="M17" s="3">
        <f ca="1">M16 * _xlfn.NORM.INV(RAND(),N3,N4)</f>
        <v>239.4941159743768</v>
      </c>
      <c r="O17" s="1"/>
      <c r="P17" s="4"/>
      <c r="S17" s="1" t="s">
        <v>14</v>
      </c>
      <c r="T17" s="3">
        <f t="shared" ca="1" si="5"/>
        <v>15.13946464586579</v>
      </c>
      <c r="U17" s="3">
        <f t="shared" ca="1" si="6"/>
        <v>17.529906432055128</v>
      </c>
      <c r="W17" s="1" t="s">
        <v>10</v>
      </c>
      <c r="X17" s="4">
        <f t="shared" ca="1" si="17"/>
        <v>1582664.1698105633</v>
      </c>
      <c r="Z17" s="1" t="s">
        <v>10</v>
      </c>
      <c r="AA17" s="8">
        <f t="shared" ca="1" si="18"/>
        <v>2111084.8928867378</v>
      </c>
      <c r="AC17" s="1" t="s">
        <v>18</v>
      </c>
      <c r="AD17">
        <f t="shared" ca="1" si="0"/>
        <v>0</v>
      </c>
      <c r="AF17" s="1" t="s">
        <v>18</v>
      </c>
      <c r="AG17">
        <f t="shared" ca="1" si="1"/>
        <v>0</v>
      </c>
      <c r="AI17">
        <f t="shared" ca="1" si="2"/>
        <v>0</v>
      </c>
      <c r="AK17" s="1" t="s">
        <v>18</v>
      </c>
      <c r="AL17" s="3">
        <f t="shared" ca="1" si="3"/>
        <v>9.9041003255185753</v>
      </c>
      <c r="AN17" s="3">
        <f t="shared" ca="1" si="4"/>
        <v>11.467905640074141</v>
      </c>
      <c r="AS17" s="1" t="s">
        <v>14</v>
      </c>
      <c r="AT17" s="22">
        <f t="shared" ca="1" si="7"/>
        <v>392289659.79577887</v>
      </c>
      <c r="AU17" s="22">
        <f t="shared" ca="1" si="8"/>
        <v>454230132.39511245</v>
      </c>
      <c r="AV17" s="22">
        <f t="shared" ca="1" si="9"/>
        <v>96366407.546935365</v>
      </c>
      <c r="AW17" s="22">
        <f t="shared" ca="1" si="10"/>
        <v>147491910.3495785</v>
      </c>
      <c r="AZ17" s="23">
        <f t="shared" ca="1" si="11"/>
        <v>15.13946464586579</v>
      </c>
      <c r="BA17" s="23">
        <f t="shared" ca="1" si="12"/>
        <v>17.529906432055128</v>
      </c>
      <c r="BB17" s="36">
        <f t="shared" ca="1" si="13"/>
        <v>295923252.24884349</v>
      </c>
      <c r="BC17" s="25">
        <f t="shared" ca="1" si="14"/>
        <v>306738222.04553396</v>
      </c>
      <c r="BD17" s="11"/>
      <c r="BE17" s="11"/>
      <c r="BH17" s="34"/>
      <c r="BI17" s="36"/>
      <c r="BL17" s="54"/>
      <c r="BM17" s="54"/>
      <c r="BN17" s="54"/>
    </row>
    <row r="18" spans="2:66" x14ac:dyDescent="0.2">
      <c r="B18" s="1" t="s">
        <v>14</v>
      </c>
      <c r="C18" s="8">
        <f t="shared" ca="1" si="15"/>
        <v>1295586.3003481545</v>
      </c>
      <c r="F18" s="1" t="s">
        <v>13</v>
      </c>
      <c r="G18" s="3">
        <f t="shared" ca="1" si="16"/>
        <v>10.998462393524436</v>
      </c>
      <c r="I18" s="1"/>
      <c r="L18" s="1" t="s">
        <v>18</v>
      </c>
      <c r="M18" s="3">
        <f ca="1">M17 * _xlfn.NORM.INV(RAND(),N3,N4)</f>
        <v>262.48667214084219</v>
      </c>
      <c r="O18" s="1"/>
      <c r="P18" s="4"/>
      <c r="S18" s="1" t="s">
        <v>15</v>
      </c>
      <c r="T18" s="3">
        <f t="shared" ca="1" si="5"/>
        <v>13.055746894990289</v>
      </c>
      <c r="U18" s="3">
        <f t="shared" ca="1" si="6"/>
        <v>15.117180615251915</v>
      </c>
      <c r="W18" s="1" t="s">
        <v>11</v>
      </c>
      <c r="X18" s="4">
        <f t="shared" ca="1" si="17"/>
        <v>1138408.5013718694</v>
      </c>
      <c r="Z18" s="1" t="s">
        <v>11</v>
      </c>
      <c r="AA18" s="8">
        <f t="shared" ca="1" si="18"/>
        <v>2134760.8721153848</v>
      </c>
      <c r="AC18" s="1" t="s">
        <v>19</v>
      </c>
      <c r="AD18">
        <f t="shared" ca="1" si="0"/>
        <v>0</v>
      </c>
      <c r="AF18" s="1" t="s">
        <v>19</v>
      </c>
      <c r="AG18">
        <f t="shared" ca="1" si="1"/>
        <v>0</v>
      </c>
      <c r="AI18">
        <f ca="1">IF(AD18=1, -LN(RAND()) / 10, 0)</f>
        <v>0</v>
      </c>
      <c r="AK18" s="1" t="s">
        <v>19</v>
      </c>
      <c r="AL18" s="3">
        <f ca="1">T22 * (1 - AG18)</f>
        <v>8.0149548359160541</v>
      </c>
      <c r="AN18" s="3">
        <f t="shared" ca="1" si="4"/>
        <v>9.2804740205343794</v>
      </c>
      <c r="AS18" s="1" t="s">
        <v>15</v>
      </c>
      <c r="AT18" s="22">
        <f t="shared" ca="1" si="7"/>
        <v>398735925.48179501</v>
      </c>
      <c r="AU18" s="22">
        <f t="shared" ca="1" si="8"/>
        <v>461694229.50523639</v>
      </c>
      <c r="AV18" s="22">
        <f t="shared" ca="1" si="9"/>
        <v>93613401.181647614</v>
      </c>
      <c r="AW18" s="22">
        <f t="shared" ca="1" si="10"/>
        <v>146003294.49201894</v>
      </c>
      <c r="AZ18" s="23">
        <f t="shared" ca="1" si="11"/>
        <v>13.055746894990289</v>
      </c>
      <c r="BA18" s="23">
        <f t="shared" ca="1" si="12"/>
        <v>15.117180615251915</v>
      </c>
      <c r="BB18" s="36">
        <f t="shared" ca="1" si="13"/>
        <v>305122524.30014741</v>
      </c>
      <c r="BC18" s="25">
        <f t="shared" ca="1" si="14"/>
        <v>315690935.01321745</v>
      </c>
      <c r="BD18" s="11"/>
      <c r="BE18" s="11"/>
      <c r="BH18" s="34"/>
      <c r="BI18" s="36"/>
      <c r="BL18" s="54"/>
      <c r="BM18" s="54"/>
      <c r="BN18" s="54"/>
    </row>
    <row r="19" spans="2:66" x14ac:dyDescent="0.2">
      <c r="B19" s="1" t="s">
        <v>15</v>
      </c>
      <c r="C19" s="8">
        <f t="shared" ca="1" si="15"/>
        <v>1527051.37702538</v>
      </c>
      <c r="F19" s="1" t="s">
        <v>14</v>
      </c>
      <c r="G19" s="3">
        <f t="shared" ca="1" si="16"/>
        <v>15.936278574595569</v>
      </c>
      <c r="I19" s="1"/>
      <c r="L19" s="1" t="s">
        <v>19</v>
      </c>
      <c r="M19" s="3">
        <f ca="1">M18*_xlfn.NORM.INV(RAND(), N3,N4)</f>
        <v>253.79627423436617</v>
      </c>
      <c r="O19" s="1"/>
      <c r="P19" s="4"/>
      <c r="S19" s="1" t="s">
        <v>16</v>
      </c>
      <c r="T19" s="3">
        <f t="shared" ca="1" si="5"/>
        <v>11.609236086832418</v>
      </c>
      <c r="U19" s="3">
        <f t="shared" ca="1" si="6"/>
        <v>13.442273363700696</v>
      </c>
      <c r="W19" s="1" t="s">
        <v>12</v>
      </c>
      <c r="X19" s="4">
        <f t="shared" ca="1" si="17"/>
        <v>1322795.125360427</v>
      </c>
      <c r="Z19" s="1" t="s">
        <v>12</v>
      </c>
      <c r="AA19" s="8">
        <f t="shared" ca="1" si="18"/>
        <v>2065701.1931915514</v>
      </c>
      <c r="AC19" s="1" t="s">
        <v>20</v>
      </c>
      <c r="AD19">
        <f t="shared" ca="1" si="0"/>
        <v>0</v>
      </c>
      <c r="AF19" s="1" t="s">
        <v>20</v>
      </c>
      <c r="AG19">
        <f t="shared" ca="1" si="1"/>
        <v>0</v>
      </c>
      <c r="AI19">
        <f t="shared" ca="1" si="2"/>
        <v>0</v>
      </c>
      <c r="AK19" s="1" t="s">
        <v>20</v>
      </c>
      <c r="AL19" s="3">
        <f t="shared" ca="1" si="3"/>
        <v>14.446589179593152</v>
      </c>
      <c r="AN19" s="3">
        <f t="shared" ca="1" si="4"/>
        <v>16.727629576371022</v>
      </c>
      <c r="AS19" s="1" t="s">
        <v>16</v>
      </c>
      <c r="AT19" s="22">
        <f t="shared" ca="1" si="7"/>
        <v>323205426.13232684</v>
      </c>
      <c r="AU19" s="22">
        <f t="shared" ca="1" si="8"/>
        <v>368216802.17427087</v>
      </c>
      <c r="AV19" s="22">
        <f t="shared" ca="1" si="9"/>
        <v>90879640.170218766</v>
      </c>
      <c r="AW19" s="22">
        <f t="shared" ca="1" si="10"/>
        <v>147359296.56130436</v>
      </c>
      <c r="AZ19" s="23">
        <f t="shared" ca="1" si="11"/>
        <v>10.427166748263634</v>
      </c>
      <c r="BA19" s="23">
        <f t="shared" ca="1" si="12"/>
        <v>11.879311686467707</v>
      </c>
      <c r="BB19" s="36">
        <f t="shared" ca="1" si="13"/>
        <v>232325785.96210808</v>
      </c>
      <c r="BC19" s="25">
        <f t="shared" ca="1" si="14"/>
        <v>220857505.61296651</v>
      </c>
      <c r="BD19" s="11"/>
      <c r="BE19" s="11"/>
      <c r="BH19" s="34"/>
      <c r="BI19" s="36"/>
      <c r="BL19" s="67"/>
      <c r="BM19" s="67"/>
      <c r="BN19" s="54"/>
    </row>
    <row r="20" spans="2:66" x14ac:dyDescent="0.2">
      <c r="B20" s="1" t="s">
        <v>16</v>
      </c>
      <c r="C20" s="8">
        <f t="shared" ca="1" si="15"/>
        <v>1549823.8108935398</v>
      </c>
      <c r="F20" s="1" t="s">
        <v>15</v>
      </c>
      <c r="G20" s="3">
        <f t="shared" ca="1" si="16"/>
        <v>13.74289146841083</v>
      </c>
      <c r="I20" s="1"/>
      <c r="L20" s="1" t="s">
        <v>20</v>
      </c>
      <c r="M20" s="3">
        <f ca="1" xml:space="preserve"> M19 * _xlfn.NORM.INV(RAND(),N3,N4)</f>
        <v>261.39819533795742</v>
      </c>
      <c r="O20" s="1"/>
      <c r="P20" s="4"/>
      <c r="S20" s="1" t="s">
        <v>17</v>
      </c>
      <c r="T20" s="3">
        <f t="shared" ca="1" si="5"/>
        <v>15.136537681986404</v>
      </c>
      <c r="U20" s="3">
        <f t="shared" ca="1" si="6"/>
        <v>17.526517315984261</v>
      </c>
      <c r="W20" s="1" t="s">
        <v>13</v>
      </c>
      <c r="X20" s="4">
        <f t="shared" ca="1" si="17"/>
        <v>1368389.074539159</v>
      </c>
      <c r="Z20" s="1" t="s">
        <v>13</v>
      </c>
      <c r="AA20" s="8">
        <f t="shared" ca="1" si="18"/>
        <v>2182414.7628868199</v>
      </c>
      <c r="AC20" s="1" t="s">
        <v>21</v>
      </c>
      <c r="AD20">
        <f t="shared" ca="1" si="0"/>
        <v>0</v>
      </c>
      <c r="AF20" s="1" t="s">
        <v>21</v>
      </c>
      <c r="AG20">
        <f t="shared" ca="1" si="1"/>
        <v>0</v>
      </c>
      <c r="AI20">
        <f t="shared" ca="1" si="2"/>
        <v>0</v>
      </c>
      <c r="AK20" s="1" t="s">
        <v>21</v>
      </c>
      <c r="AL20" s="3">
        <f t="shared" ca="1" si="3"/>
        <v>13.786375761047378</v>
      </c>
      <c r="AN20" s="3">
        <f t="shared" ca="1" si="4"/>
        <v>15.963171933844334</v>
      </c>
      <c r="AS20" s="1" t="s">
        <v>17</v>
      </c>
      <c r="AT20" s="22">
        <f t="shared" ca="1" si="7"/>
        <v>431526175.75191569</v>
      </c>
      <c r="AU20" s="22">
        <f t="shared" ca="1" si="8"/>
        <v>499661887.71274459</v>
      </c>
      <c r="AV20" s="22">
        <f t="shared" ca="1" si="9"/>
        <v>91496749.473515853</v>
      </c>
      <c r="AW20" s="22">
        <f t="shared" ca="1" si="10"/>
        <v>154969436.5202139</v>
      </c>
      <c r="AZ20" s="23">
        <f t="shared" ca="1" si="11"/>
        <v>15.136537681986404</v>
      </c>
      <c r="BA20" s="23">
        <f t="shared" ca="1" si="12"/>
        <v>17.526517315984261</v>
      </c>
      <c r="BB20" s="36">
        <f t="shared" ca="1" si="13"/>
        <v>340029426.27839983</v>
      </c>
      <c r="BC20" s="25">
        <f t="shared" ca="1" si="14"/>
        <v>344692451.19253069</v>
      </c>
      <c r="BD20" s="11"/>
      <c r="BE20" s="11"/>
      <c r="BH20" s="34"/>
      <c r="BI20" s="36"/>
      <c r="BL20" s="54"/>
      <c r="BM20" s="54"/>
      <c r="BN20" s="54"/>
    </row>
    <row r="21" spans="2:66" x14ac:dyDescent="0.2">
      <c r="B21" s="1" t="s">
        <v>17</v>
      </c>
      <c r="C21" s="8">
        <f t="shared" ca="1" si="15"/>
        <v>1425445.4513249211</v>
      </c>
      <c r="F21" s="1" t="s">
        <v>16</v>
      </c>
      <c r="G21" s="3">
        <f t="shared" ca="1" si="16"/>
        <v>12.220248512455177</v>
      </c>
      <c r="I21" s="1"/>
      <c r="L21" s="1" t="s">
        <v>21</v>
      </c>
      <c r="M21" s="3">
        <f ca="1">M20 * _xlfn.NORM.INV(RAND(),N3,N4)</f>
        <v>250.22928547463377</v>
      </c>
      <c r="O21" s="1"/>
      <c r="P21" s="4"/>
      <c r="S21" s="1" t="s">
        <v>18</v>
      </c>
      <c r="T21" s="3">
        <f t="shared" ca="1" si="5"/>
        <v>9.9041003255185753</v>
      </c>
      <c r="U21" s="3">
        <f t="shared" ca="1" si="6"/>
        <v>11.467905640074141</v>
      </c>
      <c r="W21" s="1" t="s">
        <v>14</v>
      </c>
      <c r="X21" s="4">
        <f t="shared" ca="1" si="17"/>
        <v>1318320.3773467683</v>
      </c>
      <c r="Z21" s="1" t="s">
        <v>14</v>
      </c>
      <c r="AA21" s="8">
        <f t="shared" ca="1" si="18"/>
        <v>1874595.5174789247</v>
      </c>
      <c r="AC21" s="1" t="s">
        <v>22</v>
      </c>
      <c r="AD21">
        <f t="shared" ca="1" si="0"/>
        <v>0</v>
      </c>
      <c r="AF21" s="1" t="s">
        <v>22</v>
      </c>
      <c r="AG21">
        <f t="shared" ca="1" si="1"/>
        <v>0</v>
      </c>
      <c r="AI21">
        <f t="shared" ca="1" si="2"/>
        <v>0</v>
      </c>
      <c r="AK21" s="1" t="s">
        <v>22</v>
      </c>
      <c r="AL21" s="3">
        <f t="shared" ca="1" si="3"/>
        <v>13.295829091911585</v>
      </c>
      <c r="AN21" s="3">
        <f t="shared" ca="1" si="4"/>
        <v>15.395170527476575</v>
      </c>
      <c r="AS21" s="1" t="s">
        <v>18</v>
      </c>
      <c r="AT21" s="22">
        <f t="shared" ca="1" si="7"/>
        <v>289194651.8545664</v>
      </c>
      <c r="AU21" s="22">
        <f t="shared" ca="1" si="8"/>
        <v>334856965.30528748</v>
      </c>
      <c r="AV21" s="22">
        <f t="shared" ca="1" si="9"/>
        <v>97807152.23146069</v>
      </c>
      <c r="AW21" s="22">
        <f t="shared" ca="1" si="10"/>
        <v>146807427.79366705</v>
      </c>
      <c r="AZ21" s="23">
        <f t="shared" ca="1" si="11"/>
        <v>9.9041003255185753</v>
      </c>
      <c r="BA21" s="23">
        <f t="shared" ca="1" si="12"/>
        <v>11.467905640074141</v>
      </c>
      <c r="BB21" s="36">
        <f t="shared" ca="1" si="13"/>
        <v>191387499.6231057</v>
      </c>
      <c r="BC21" s="25">
        <f t="shared" ca="1" si="14"/>
        <v>188049537.51162043</v>
      </c>
      <c r="BD21" s="11"/>
      <c r="BE21" s="11"/>
      <c r="BH21" s="34"/>
      <c r="BI21" s="36"/>
      <c r="BL21" s="67"/>
      <c r="BM21" s="67"/>
      <c r="BN21" s="54"/>
    </row>
    <row r="22" spans="2:66" x14ac:dyDescent="0.2">
      <c r="B22" s="1" t="s">
        <v>18</v>
      </c>
      <c r="C22" s="8">
        <f t="shared" ca="1" si="15"/>
        <v>1459974.3659170994</v>
      </c>
      <c r="F22" s="1" t="s">
        <v>17</v>
      </c>
      <c r="G22" s="3">
        <f t="shared" ca="1" si="16"/>
        <v>15.93319755998569</v>
      </c>
      <c r="I22" s="1"/>
      <c r="L22" s="1" t="s">
        <v>22</v>
      </c>
      <c r="M22" s="3">
        <f ca="1">M21 * _xlfn.NORM.INV(RAND(), N3,N4)</f>
        <v>243.22499596278675</v>
      </c>
      <c r="O22" s="1"/>
      <c r="P22" s="4"/>
      <c r="S22" s="1" t="s">
        <v>19</v>
      </c>
      <c r="T22" s="3">
        <f ca="1">G24*$T$5</f>
        <v>8.0149548359160541</v>
      </c>
      <c r="U22" s="3">
        <f ca="1">G24*$U$5</f>
        <v>9.2804740205343794</v>
      </c>
      <c r="W22" s="1" t="s">
        <v>15</v>
      </c>
      <c r="X22" s="4">
        <f t="shared" ca="1" si="17"/>
        <v>1180670.0590823807</v>
      </c>
      <c r="Z22" s="1" t="s">
        <v>15</v>
      </c>
      <c r="AA22" s="8">
        <f t="shared" ca="1" si="18"/>
        <v>1800164.7246009472</v>
      </c>
      <c r="AC22" s="1" t="s">
        <v>23</v>
      </c>
      <c r="AD22">
        <f t="shared" ca="1" si="0"/>
        <v>0</v>
      </c>
      <c r="AF22" s="1" t="s">
        <v>23</v>
      </c>
      <c r="AG22">
        <f t="shared" ca="1" si="1"/>
        <v>0</v>
      </c>
      <c r="AI22">
        <f t="shared" ca="1" si="2"/>
        <v>0</v>
      </c>
      <c r="AK22" s="1" t="s">
        <v>23</v>
      </c>
      <c r="AL22" s="3">
        <f t="shared" ca="1" si="3"/>
        <v>13.056610402229968</v>
      </c>
      <c r="AN22" s="3">
        <f t="shared" ca="1" si="4"/>
        <v>15.118180465739965</v>
      </c>
      <c r="AS22" s="1" t="s">
        <v>19</v>
      </c>
      <c r="AT22" s="22">
        <f ca="1">MIN(AL18,M19) * C23 * 20</f>
        <v>303296590.01222974</v>
      </c>
      <c r="AU22" s="22">
        <f t="shared" ca="1" si="8"/>
        <v>351185525.27731866</v>
      </c>
      <c r="AV22" s="22">
        <f t="shared" ca="1" si="9"/>
        <v>95407710.474849716</v>
      </c>
      <c r="AW22" s="22">
        <f t="shared" ca="1" si="10"/>
        <v>149700741.95525348</v>
      </c>
      <c r="AZ22" s="23">
        <f t="shared" ca="1" si="11"/>
        <v>8.0149548359160541</v>
      </c>
      <c r="BA22" s="23">
        <f t="shared" ca="1" si="12"/>
        <v>9.2804740205343794</v>
      </c>
      <c r="BB22" s="36">
        <f t="shared" ca="1" si="13"/>
        <v>207888879.53738004</v>
      </c>
      <c r="BC22" s="25">
        <f t="shared" ca="1" si="14"/>
        <v>201484783.32206517</v>
      </c>
      <c r="BD22" s="11"/>
      <c r="BE22" s="11"/>
      <c r="BH22" s="34"/>
      <c r="BI22" s="36"/>
      <c r="BL22" s="67"/>
      <c r="BM22" s="67"/>
      <c r="BN22" s="54"/>
    </row>
    <row r="23" spans="2:66" x14ac:dyDescent="0.2">
      <c r="B23" s="1" t="s">
        <v>19</v>
      </c>
      <c r="C23" s="8">
        <f t="shared" ca="1" si="15"/>
        <v>1892066.74411388</v>
      </c>
      <c r="F23" s="1" t="s">
        <v>18</v>
      </c>
      <c r="G23" s="3">
        <f t="shared" ca="1" si="16"/>
        <v>10.425368763703764</v>
      </c>
      <c r="I23" s="1"/>
      <c r="L23" s="1" t="s">
        <v>23</v>
      </c>
      <c r="M23" s="3">
        <f ca="1" xml:space="preserve"> M22 * _xlfn.NORM.INV(RAND(),N3,N4)</f>
        <v>249.31481980290152</v>
      </c>
      <c r="O23" s="1"/>
      <c r="P23" s="4"/>
      <c r="S23" s="1" t="s">
        <v>20</v>
      </c>
      <c r="T23" s="3">
        <f t="shared" ca="1" si="5"/>
        <v>14.446589179593152</v>
      </c>
      <c r="U23" s="3">
        <f t="shared" ca="1" si="6"/>
        <v>16.727629576371022</v>
      </c>
      <c r="W23" s="1" t="s">
        <v>16</v>
      </c>
      <c r="X23" s="4">
        <f t="shared" ca="1" si="17"/>
        <v>1043982.008510938</v>
      </c>
      <c r="Z23" s="1" t="s">
        <v>16</v>
      </c>
      <c r="AA23" s="8">
        <f t="shared" ca="1" si="18"/>
        <v>1867964.8280652184</v>
      </c>
      <c r="AC23" s="1" t="s">
        <v>24</v>
      </c>
      <c r="AD23">
        <f t="shared" ca="1" si="0"/>
        <v>0</v>
      </c>
      <c r="AF23" s="1" t="s">
        <v>24</v>
      </c>
      <c r="AG23">
        <f t="shared" ca="1" si="1"/>
        <v>0</v>
      </c>
      <c r="AI23">
        <f t="shared" ca="1" si="2"/>
        <v>0</v>
      </c>
      <c r="AK23" s="1" t="s">
        <v>24</v>
      </c>
      <c r="AL23" s="3">
        <f t="shared" ca="1" si="3"/>
        <v>10.646649537230799</v>
      </c>
      <c r="AN23" s="3">
        <f t="shared" ca="1" si="4"/>
        <v>12.327699464161979</v>
      </c>
      <c r="AS23" s="1" t="s">
        <v>20</v>
      </c>
      <c r="AT23" s="22">
        <f t="shared" ca="1" si="7"/>
        <v>472870732.0716601</v>
      </c>
      <c r="AU23" s="22">
        <f ca="1">MIN(AN19,M20) * C24 * 20</f>
        <v>547534531.87244868</v>
      </c>
      <c r="AV23" s="22">
        <f t="shared" ca="1" si="9"/>
        <v>95101476.081042349</v>
      </c>
      <c r="AW23" s="22">
        <f t="shared" ca="1" si="10"/>
        <v>149769516.80494794</v>
      </c>
      <c r="AZ23" s="23">
        <f t="shared" ca="1" si="11"/>
        <v>14.446589179593152</v>
      </c>
      <c r="BA23" s="23">
        <f t="shared" ca="1" si="12"/>
        <v>16.727629576371022</v>
      </c>
      <c r="BB23" s="36">
        <f t="shared" ca="1" si="13"/>
        <v>377769255.99061775</v>
      </c>
      <c r="BC23" s="25">
        <f t="shared" ca="1" si="14"/>
        <v>397765015.06750071</v>
      </c>
      <c r="BD23" s="11"/>
      <c r="BE23" s="11"/>
      <c r="BH23" s="34"/>
      <c r="BI23" s="36"/>
      <c r="BL23" s="67"/>
      <c r="BM23" s="68"/>
      <c r="BN23" s="54"/>
    </row>
    <row r="24" spans="2:66" x14ac:dyDescent="0.2">
      <c r="B24" s="1" t="s">
        <v>20</v>
      </c>
      <c r="C24" s="8">
        <f t="shared" ca="1" si="15"/>
        <v>1636617.2187536974</v>
      </c>
      <c r="F24" s="1" t="s">
        <v>19</v>
      </c>
      <c r="G24" s="3">
        <f t="shared" ca="1" si="16"/>
        <v>8.4367945641221631</v>
      </c>
      <c r="I24" s="1"/>
      <c r="L24" s="1" t="s">
        <v>24</v>
      </c>
      <c r="M24" s="3">
        <f ca="1">M23 * _xlfn.NORM.INV(RAND(),N3,N4)</f>
        <v>252.59139425470218</v>
      </c>
      <c r="O24" s="1"/>
      <c r="P24" s="4"/>
      <c r="S24" s="1" t="s">
        <v>21</v>
      </c>
      <c r="T24" s="3">
        <f t="shared" ca="1" si="5"/>
        <v>13.786375761047378</v>
      </c>
      <c r="U24" s="3">
        <f t="shared" ca="1" si="6"/>
        <v>15.963171933844334</v>
      </c>
      <c r="W24" s="1" t="s">
        <v>17</v>
      </c>
      <c r="X24" s="4">
        <f t="shared" ca="1" si="17"/>
        <v>1074837.4736757926</v>
      </c>
      <c r="Z24" s="1" t="s">
        <v>17</v>
      </c>
      <c r="AA24" s="8">
        <f t="shared" ca="1" si="18"/>
        <v>2248471.8260106952</v>
      </c>
      <c r="AC24" s="1" t="s">
        <v>25</v>
      </c>
      <c r="AD24">
        <f ca="1">IF(RAND() &lt; 0.05, 1, 0)</f>
        <v>0</v>
      </c>
      <c r="AF24" s="1" t="s">
        <v>25</v>
      </c>
      <c r="AG24">
        <f t="shared" ca="1" si="1"/>
        <v>0</v>
      </c>
      <c r="AI24">
        <f t="shared" ca="1" si="2"/>
        <v>0</v>
      </c>
      <c r="AK24" s="1" t="s">
        <v>25</v>
      </c>
      <c r="AL24" s="3">
        <f t="shared" ca="1" si="3"/>
        <v>16.397948337349948</v>
      </c>
      <c r="AN24" s="3">
        <f t="shared" ca="1" si="4"/>
        <v>18.98709807482626</v>
      </c>
      <c r="AS24" s="1" t="s">
        <v>21</v>
      </c>
      <c r="AT24" s="22">
        <f t="shared" ca="1" si="7"/>
        <v>468080686.16172189</v>
      </c>
      <c r="AU24" s="22">
        <f t="shared" ca="1" si="8"/>
        <v>541988162.92409909</v>
      </c>
      <c r="AV24" s="22">
        <f t="shared" ca="1" si="9"/>
        <v>95373959.434398025</v>
      </c>
      <c r="AW24" s="22">
        <f t="shared" ca="1" si="10"/>
        <v>148849172.46751061</v>
      </c>
      <c r="AZ24" s="23">
        <f t="shared" ca="1" si="11"/>
        <v>13.786375761047378</v>
      </c>
      <c r="BA24" s="23">
        <f t="shared" ca="1" si="12"/>
        <v>15.963171933844334</v>
      </c>
      <c r="BB24" s="36">
        <f ca="1">AT24-AV24</f>
        <v>372706726.72732389</v>
      </c>
      <c r="BC24" s="25">
        <f ca="1">AU24-AW24</f>
        <v>393138990.45658851</v>
      </c>
      <c r="BD24" s="11"/>
      <c r="BE24" s="11"/>
      <c r="BH24" s="34"/>
      <c r="BI24" s="36"/>
      <c r="BL24" s="67"/>
      <c r="BM24" s="68"/>
      <c r="BN24" s="54"/>
    </row>
    <row r="25" spans="2:66" x14ac:dyDescent="0.2">
      <c r="B25" s="1" t="s">
        <v>21</v>
      </c>
      <c r="C25" s="8">
        <f t="shared" ca="1" si="15"/>
        <v>1697620.514175514</v>
      </c>
      <c r="F25" s="1" t="s">
        <v>20</v>
      </c>
      <c r="G25" s="3">
        <f t="shared" ca="1" si="16"/>
        <v>15.206935978519109</v>
      </c>
      <c r="I25" s="1"/>
      <c r="L25" s="1" t="s">
        <v>25</v>
      </c>
      <c r="M25" s="3">
        <f ca="1">M24 * _xlfn.NORM.INV(RAND(),N3,N4)</f>
        <v>240.51203927312704</v>
      </c>
      <c r="O25" s="1"/>
      <c r="P25" s="4"/>
      <c r="S25" s="1" t="s">
        <v>22</v>
      </c>
      <c r="T25" s="3">
        <f t="shared" ca="1" si="5"/>
        <v>13.295829091911585</v>
      </c>
      <c r="U25" s="3">
        <f t="shared" ca="1" si="6"/>
        <v>15.395170527476575</v>
      </c>
      <c r="W25" s="1" t="s">
        <v>18</v>
      </c>
      <c r="X25" s="4">
        <f t="shared" ca="1" si="17"/>
        <v>1390357.6115730344</v>
      </c>
      <c r="Z25" s="1" t="s">
        <v>18</v>
      </c>
      <c r="AA25" s="8">
        <f t="shared" ca="1" si="18"/>
        <v>1840371.3896833523</v>
      </c>
      <c r="AC25" s="1" t="s">
        <v>26</v>
      </c>
      <c r="AD25">
        <f t="shared" ca="1" si="0"/>
        <v>0</v>
      </c>
      <c r="AF25" s="1" t="s">
        <v>26</v>
      </c>
      <c r="AG25">
        <f t="shared" ca="1" si="1"/>
        <v>0</v>
      </c>
      <c r="AI25">
        <f t="shared" ca="1" si="2"/>
        <v>0</v>
      </c>
      <c r="AK25" s="1" t="s">
        <v>26</v>
      </c>
      <c r="AL25" s="3">
        <f t="shared" ca="1" si="3"/>
        <v>9.8049695593600497</v>
      </c>
      <c r="AN25" s="3">
        <f t="shared" ca="1" si="4"/>
        <v>11.35312264768006</v>
      </c>
      <c r="AS25" s="1" t="s">
        <v>22</v>
      </c>
      <c r="AT25" s="22">
        <f t="shared" ca="1" si="7"/>
        <v>408877386.28732193</v>
      </c>
      <c r="AU25" s="22">
        <f t="shared" ca="1" si="8"/>
        <v>473436973.59584653</v>
      </c>
      <c r="AV25" s="22">
        <f t="shared" ca="1" si="9"/>
        <v>99427531.841835007</v>
      </c>
      <c r="AW25" s="22">
        <f t="shared" ca="1" si="10"/>
        <v>150952008.95221108</v>
      </c>
      <c r="AZ25" s="23">
        <f t="shared" ca="1" si="11"/>
        <v>13.295829091911585</v>
      </c>
      <c r="BA25" s="23">
        <f t="shared" ca="1" si="12"/>
        <v>15.395170527476575</v>
      </c>
      <c r="BB25" s="36">
        <f t="shared" ca="1" si="13"/>
        <v>309449854.4454869</v>
      </c>
      <c r="BC25" s="25">
        <f t="shared" ca="1" si="14"/>
        <v>322484964.64363545</v>
      </c>
      <c r="BD25" s="11"/>
      <c r="BE25" s="11"/>
      <c r="BH25" s="34"/>
      <c r="BI25" s="36"/>
      <c r="BL25" s="67"/>
      <c r="BM25" s="68"/>
      <c r="BN25" s="54"/>
    </row>
    <row r="26" spans="2:66" x14ac:dyDescent="0.2">
      <c r="B26" s="1" t="s">
        <v>22</v>
      </c>
      <c r="C26" s="8">
        <f t="shared" ca="1" si="15"/>
        <v>1537615.2305389489</v>
      </c>
      <c r="F26" s="1" t="s">
        <v>21</v>
      </c>
      <c r="G26" s="3">
        <f t="shared" ca="1" si="16"/>
        <v>14.511974485313029</v>
      </c>
      <c r="I26" s="1"/>
      <c r="L26" s="1" t="s">
        <v>26</v>
      </c>
      <c r="M26" s="3">
        <f ca="1">M25 * _xlfn.NORM.INV(RAND(),N3,N4)</f>
        <v>255.85264583136777</v>
      </c>
      <c r="O26" s="1"/>
      <c r="P26" s="4"/>
      <c r="S26" s="1" t="s">
        <v>23</v>
      </c>
      <c r="T26" s="3">
        <f t="shared" ca="1" si="5"/>
        <v>13.056610402229968</v>
      </c>
      <c r="U26" s="3">
        <f t="shared" ca="1" si="6"/>
        <v>15.118180465739965</v>
      </c>
      <c r="W26" s="1" t="s">
        <v>19</v>
      </c>
      <c r="X26" s="4">
        <f t="shared" ca="1" si="17"/>
        <v>1270385.5237424858</v>
      </c>
      <c r="Z26" s="1" t="s">
        <v>19</v>
      </c>
      <c r="AA26" s="8">
        <f t="shared" ca="1" si="18"/>
        <v>1985037.0977626743</v>
      </c>
      <c r="AC26" s="1"/>
      <c r="AS26" s="1" t="s">
        <v>23</v>
      </c>
      <c r="AT26" s="22">
        <f t="shared" ca="1" si="7"/>
        <v>392693109.43292528</v>
      </c>
      <c r="AU26" s="22">
        <f t="shared" ca="1" si="8"/>
        <v>454697284.60654509</v>
      </c>
      <c r="AV26" s="22">
        <f t="shared" ca="1" si="9"/>
        <v>92802735.518948838</v>
      </c>
      <c r="AW26" s="22">
        <f t="shared" ca="1" si="10"/>
        <v>146739194.80553108</v>
      </c>
      <c r="AZ26" s="23">
        <f t="shared" ca="1" si="11"/>
        <v>13.056610402229968</v>
      </c>
      <c r="BA26" s="23">
        <f t="shared" ca="1" si="12"/>
        <v>15.118180465739965</v>
      </c>
      <c r="BB26" s="36">
        <f t="shared" ca="1" si="13"/>
        <v>299890373.91397643</v>
      </c>
      <c r="BC26" s="25">
        <f t="shared" ca="1" si="14"/>
        <v>307958089.80101401</v>
      </c>
      <c r="BD26" s="11"/>
      <c r="BE26" s="11"/>
      <c r="BH26" s="34"/>
      <c r="BI26" s="36"/>
      <c r="BL26" s="54"/>
      <c r="BM26" s="54"/>
      <c r="BN26" s="54"/>
    </row>
    <row r="27" spans="2:66" x14ac:dyDescent="0.2">
      <c r="B27" s="1" t="s">
        <v>23</v>
      </c>
      <c r="C27" s="8">
        <f t="shared" ca="1" si="15"/>
        <v>1503809.5544531846</v>
      </c>
      <c r="F27" s="1" t="s">
        <v>22</v>
      </c>
      <c r="G27" s="3">
        <f t="shared" ca="1" si="16"/>
        <v>13.995609570433249</v>
      </c>
      <c r="S27" s="1" t="s">
        <v>24</v>
      </c>
      <c r="T27" s="3">
        <f t="shared" ca="1" si="5"/>
        <v>10.646649537230799</v>
      </c>
      <c r="U27" s="3">
        <f t="shared" ca="1" si="6"/>
        <v>12.327699464161979</v>
      </c>
      <c r="W27" s="1" t="s">
        <v>20</v>
      </c>
      <c r="X27" s="4">
        <f t="shared" ca="1" si="17"/>
        <v>1255073.804052117</v>
      </c>
      <c r="Z27" s="1" t="s">
        <v>20</v>
      </c>
      <c r="AA27" s="8">
        <f t="shared" ca="1" si="18"/>
        <v>1988475.8402473968</v>
      </c>
      <c r="AC27" s="1"/>
      <c r="AS27" s="1" t="s">
        <v>24</v>
      </c>
      <c r="AT27" s="22">
        <f t="shared" ca="1" si="7"/>
        <v>310739239.89161861</v>
      </c>
      <c r="AU27" s="22">
        <f t="shared" ca="1" si="8"/>
        <v>359803330.40082163</v>
      </c>
      <c r="AV27" s="22">
        <f t="shared" ca="1" si="9"/>
        <v>93326392.291202083</v>
      </c>
      <c r="AW27" s="22">
        <f t="shared" ca="1" si="10"/>
        <v>148987978.04070902</v>
      </c>
      <c r="AZ27" s="23">
        <f t="shared" ca="1" si="11"/>
        <v>10.646649537230799</v>
      </c>
      <c r="BA27" s="23">
        <f t="shared" ca="1" si="12"/>
        <v>12.327699464161979</v>
      </c>
      <c r="BB27" s="36">
        <f t="shared" ca="1" si="13"/>
        <v>217412847.60041654</v>
      </c>
      <c r="BC27" s="25">
        <f t="shared" ca="1" si="14"/>
        <v>210815352.36011261</v>
      </c>
      <c r="BD27" s="11"/>
      <c r="BE27" s="11"/>
      <c r="BH27" s="34"/>
      <c r="BI27" s="36"/>
      <c r="BL27" s="54"/>
      <c r="BM27" s="54"/>
      <c r="BN27" s="54"/>
    </row>
    <row r="28" spans="2:66" x14ac:dyDescent="0.2">
      <c r="B28" s="1" t="s">
        <v>24</v>
      </c>
      <c r="C28" s="8">
        <f t="shared" ca="1" si="15"/>
        <v>1459328.7719529939</v>
      </c>
      <c r="F28" s="1" t="s">
        <v>23</v>
      </c>
      <c r="G28" s="3">
        <f t="shared" ca="1" si="16"/>
        <v>13.743800423399966</v>
      </c>
      <c r="S28" s="1" t="s">
        <v>25</v>
      </c>
      <c r="T28" s="3">
        <f t="shared" ca="1" si="5"/>
        <v>16.397948337349948</v>
      </c>
      <c r="U28" s="3">
        <f t="shared" ca="1" si="6"/>
        <v>18.98709807482626</v>
      </c>
      <c r="W28" s="1" t="s">
        <v>21</v>
      </c>
      <c r="X28" s="4">
        <f t="shared" ca="1" si="17"/>
        <v>1268697.9717199013</v>
      </c>
      <c r="Z28" s="1" t="s">
        <v>21</v>
      </c>
      <c r="AA28" s="8">
        <f t="shared" ca="1" si="18"/>
        <v>1942458.6233755311</v>
      </c>
      <c r="AC28" s="1"/>
      <c r="AS28" s="1" t="s">
        <v>25</v>
      </c>
      <c r="AT28" s="22">
        <f t="shared" ca="1" si="7"/>
        <v>479801648.73174858</v>
      </c>
      <c r="AU28" s="22">
        <f t="shared" ca="1" si="8"/>
        <v>555559803.79465652</v>
      </c>
      <c r="AV28" s="22">
        <f t="shared" ca="1" si="9"/>
        <v>92781865.592315391</v>
      </c>
      <c r="AW28" s="22">
        <f t="shared" ca="1" si="10"/>
        <v>146802352.34683856</v>
      </c>
      <c r="AZ28" s="23">
        <f t="shared" ca="1" si="11"/>
        <v>16.397948337349948</v>
      </c>
      <c r="BA28" s="23">
        <f t="shared" ca="1" si="12"/>
        <v>18.98709807482626</v>
      </c>
      <c r="BB28" s="36">
        <f t="shared" ca="1" si="13"/>
        <v>387019783.13943321</v>
      </c>
      <c r="BC28" s="25">
        <f t="shared" ca="1" si="14"/>
        <v>408757451.44781792</v>
      </c>
      <c r="BD28" s="11"/>
      <c r="BE28" s="11"/>
      <c r="BH28" s="34"/>
      <c r="BI28" s="36"/>
      <c r="BL28" s="54"/>
      <c r="BM28" s="54"/>
      <c r="BN28" s="54"/>
    </row>
    <row r="29" spans="2:66" x14ac:dyDescent="0.2">
      <c r="B29" s="1" t="s">
        <v>25</v>
      </c>
      <c r="C29" s="8">
        <f t="shared" ca="1" si="15"/>
        <v>1462992.9271056869</v>
      </c>
      <c r="F29" s="1" t="s">
        <v>24</v>
      </c>
      <c r="G29" s="3">
        <f t="shared" ca="1" si="16"/>
        <v>11.206999512874525</v>
      </c>
      <c r="S29" s="1" t="s">
        <v>26</v>
      </c>
      <c r="T29" s="3">
        <f t="shared" ca="1" si="5"/>
        <v>9.8049695593600497</v>
      </c>
      <c r="U29" s="3">
        <f t="shared" ca="1" si="6"/>
        <v>11.35312264768006</v>
      </c>
      <c r="W29" s="1" t="s">
        <v>22</v>
      </c>
      <c r="X29" s="4">
        <f t="shared" ca="1" si="17"/>
        <v>1471376.5920917506</v>
      </c>
      <c r="Z29" s="1" t="s">
        <v>22</v>
      </c>
      <c r="AA29" s="8">
        <f t="shared" ca="1" si="18"/>
        <v>2047600.4476105548</v>
      </c>
      <c r="AC29" s="1"/>
      <c r="AS29" s="1" t="s">
        <v>26</v>
      </c>
      <c r="AT29" s="22">
        <f t="shared" ca="1" si="7"/>
        <v>304808933.41487443</v>
      </c>
      <c r="AU29" s="22">
        <f t="shared" ca="1" si="8"/>
        <v>352936659.74353886</v>
      </c>
      <c r="AV29" s="22">
        <f t="shared" ca="1" si="9"/>
        <v>98548775.487060457</v>
      </c>
      <c r="AW29" s="22">
        <f t="shared" ca="1" si="10"/>
        <v>152174472.61880147</v>
      </c>
      <c r="AZ29" s="23">
        <f t="shared" ca="1" si="11"/>
        <v>9.8049695593600497</v>
      </c>
      <c r="BA29" s="23">
        <f t="shared" ca="1" si="12"/>
        <v>11.35312264768006</v>
      </c>
      <c r="BB29" s="36">
        <f t="shared" ca="1" si="13"/>
        <v>206260157.92781398</v>
      </c>
      <c r="BC29" s="25">
        <f t="shared" ca="1" si="14"/>
        <v>200762187.12473738</v>
      </c>
      <c r="BD29" s="11"/>
      <c r="BE29" s="11"/>
      <c r="BH29" s="34"/>
      <c r="BI29" s="36"/>
      <c r="BL29" s="54"/>
      <c r="BM29" s="54"/>
      <c r="BN29" s="54"/>
    </row>
    <row r="30" spans="2:66" x14ac:dyDescent="0.2">
      <c r="B30" s="1" t="s">
        <v>26</v>
      </c>
      <c r="C30" s="8">
        <f t="shared" ca="1" si="15"/>
        <v>1554359.407081977</v>
      </c>
      <c r="F30" s="1" t="s">
        <v>25</v>
      </c>
      <c r="G30" s="3">
        <f t="shared" ca="1" si="16"/>
        <v>17.260998249842054</v>
      </c>
      <c r="T30" s="1"/>
      <c r="U30" s="3"/>
      <c r="W30" s="1" t="s">
        <v>23</v>
      </c>
      <c r="X30" s="4">
        <f t="shared" ca="1" si="17"/>
        <v>1140136.7759474418</v>
      </c>
      <c r="Z30" s="1" t="s">
        <v>23</v>
      </c>
      <c r="AA30" s="8">
        <f t="shared" ca="1" si="18"/>
        <v>1836959.7402765546</v>
      </c>
      <c r="AC30" s="1"/>
      <c r="BH30" s="34"/>
      <c r="BI30" s="36"/>
    </row>
    <row r="31" spans="2:66" x14ac:dyDescent="0.2">
      <c r="F31" s="1" t="s">
        <v>26</v>
      </c>
      <c r="G31" s="3">
        <f t="shared" ca="1" si="16"/>
        <v>10.321020588800053</v>
      </c>
      <c r="T31" s="1"/>
      <c r="U31" s="3"/>
      <c r="W31" s="1" t="s">
        <v>24</v>
      </c>
      <c r="X31" s="4">
        <f t="shared" ca="1" si="17"/>
        <v>1166319.614560104</v>
      </c>
      <c r="Z31" s="1" t="s">
        <v>24</v>
      </c>
      <c r="AA31" s="8">
        <f t="shared" ca="1" si="18"/>
        <v>1949398.902035451</v>
      </c>
      <c r="AC31" s="1"/>
      <c r="BH31" s="34"/>
      <c r="BI31" s="36"/>
    </row>
    <row r="32" spans="2:66" x14ac:dyDescent="0.2">
      <c r="T32" s="1"/>
      <c r="U32" s="3"/>
      <c r="W32" s="1" t="s">
        <v>25</v>
      </c>
      <c r="X32" s="4">
        <f t="shared" ca="1" si="17"/>
        <v>1139093.2796157696</v>
      </c>
      <c r="Z32" s="1" t="s">
        <v>25</v>
      </c>
      <c r="AA32" s="8">
        <f t="shared" ca="1" si="18"/>
        <v>1840117.6173419282</v>
      </c>
      <c r="AC32" s="1"/>
      <c r="BH32" s="34"/>
      <c r="BI32" s="36"/>
    </row>
    <row r="33" spans="2:61" x14ac:dyDescent="0.2">
      <c r="B33" s="1"/>
      <c r="T33" s="1"/>
      <c r="U33" s="3"/>
      <c r="W33" s="1" t="s">
        <v>26</v>
      </c>
      <c r="X33" s="4">
        <f t="shared" ca="1" si="17"/>
        <v>1427438.7743530227</v>
      </c>
      <c r="Z33" s="1" t="s">
        <v>26</v>
      </c>
      <c r="AA33" s="8">
        <f t="shared" ca="1" si="18"/>
        <v>2108723.6309400746</v>
      </c>
      <c r="AC33" s="1"/>
      <c r="BH33" s="34"/>
      <c r="BI33" s="36"/>
    </row>
    <row r="34" spans="2:61" x14ac:dyDescent="0.2">
      <c r="BH34" s="34"/>
      <c r="BI34" s="36"/>
    </row>
    <row r="35" spans="2:61" x14ac:dyDescent="0.2">
      <c r="BH35" s="34"/>
      <c r="BI35" s="36"/>
    </row>
    <row r="36" spans="2:61" x14ac:dyDescent="0.2">
      <c r="BH36" s="34"/>
      <c r="BI36" s="36"/>
    </row>
    <row r="37" spans="2:61" x14ac:dyDescent="0.2">
      <c r="BH37" s="34"/>
      <c r="BI37" s="36"/>
    </row>
    <row r="38" spans="2:61" x14ac:dyDescent="0.2">
      <c r="BH38" s="34"/>
      <c r="BI38" s="36"/>
    </row>
    <row r="39" spans="2:61" x14ac:dyDescent="0.2">
      <c r="BH39" s="34"/>
      <c r="BI39" s="36"/>
    </row>
    <row r="40" spans="2:61" x14ac:dyDescent="0.2">
      <c r="BH40" s="34"/>
      <c r="BI40" s="36"/>
    </row>
    <row r="41" spans="2:61" x14ac:dyDescent="0.2">
      <c r="BH41" s="34"/>
      <c r="BI41" s="36"/>
    </row>
    <row r="42" spans="2:61" x14ac:dyDescent="0.2">
      <c r="BH42" s="34"/>
      <c r="BI42" s="36"/>
    </row>
    <row r="43" spans="2:61" x14ac:dyDescent="0.2">
      <c r="BH43" s="34"/>
      <c r="BI43" s="36"/>
    </row>
    <row r="44" spans="2:61" x14ac:dyDescent="0.2">
      <c r="BH44" s="34"/>
      <c r="BI44" s="36"/>
    </row>
    <row r="45" spans="2:61" x14ac:dyDescent="0.2">
      <c r="BH45" s="34"/>
      <c r="BI45" s="36"/>
    </row>
    <row r="46" spans="2:61" x14ac:dyDescent="0.2">
      <c r="BH46" s="34"/>
      <c r="BI46" s="36"/>
    </row>
    <row r="47" spans="2:61" x14ac:dyDescent="0.2">
      <c r="BH47" s="34"/>
      <c r="BI47" s="36"/>
    </row>
    <row r="48" spans="2:61" x14ac:dyDescent="0.2">
      <c r="BH48" s="34"/>
      <c r="BI48" s="36"/>
    </row>
    <row r="49" spans="60:61" x14ac:dyDescent="0.2">
      <c r="BH49" s="34"/>
      <c r="BI49" s="36"/>
    </row>
    <row r="50" spans="60:61" x14ac:dyDescent="0.2">
      <c r="BH50" s="34"/>
      <c r="BI50" s="36"/>
    </row>
    <row r="51" spans="60:61" x14ac:dyDescent="0.2">
      <c r="BH51" s="34"/>
      <c r="BI51" s="36"/>
    </row>
    <row r="52" spans="60:61" x14ac:dyDescent="0.2">
      <c r="BH52" s="34"/>
      <c r="BI52" s="36"/>
    </row>
    <row r="53" spans="60:61" x14ac:dyDescent="0.2">
      <c r="BH53" s="34"/>
      <c r="BI53" s="36"/>
    </row>
    <row r="54" spans="60:61" x14ac:dyDescent="0.2">
      <c r="BH54" s="34"/>
      <c r="BI54" s="36"/>
    </row>
    <row r="55" spans="60:61" x14ac:dyDescent="0.2">
      <c r="BH55" s="34"/>
      <c r="BI55" s="36"/>
    </row>
    <row r="56" spans="60:61" x14ac:dyDescent="0.2">
      <c r="BH56" s="34"/>
      <c r="BI56" s="36"/>
    </row>
    <row r="57" spans="60:61" x14ac:dyDescent="0.2">
      <c r="BH57" s="34"/>
      <c r="BI57" s="36"/>
    </row>
    <row r="58" spans="60:61" x14ac:dyDescent="0.2">
      <c r="BH58" s="34"/>
      <c r="BI58" s="36"/>
    </row>
    <row r="59" spans="60:61" x14ac:dyDescent="0.2">
      <c r="BH59" s="34"/>
      <c r="BI59" s="36"/>
    </row>
    <row r="60" spans="60:61" x14ac:dyDescent="0.2">
      <c r="BH60" s="34"/>
      <c r="BI60" s="36"/>
    </row>
    <row r="61" spans="60:61" x14ac:dyDescent="0.2">
      <c r="BH61" s="34"/>
      <c r="BI61" s="36"/>
    </row>
    <row r="62" spans="60:61" x14ac:dyDescent="0.2">
      <c r="BH62" s="34"/>
      <c r="BI62" s="36"/>
    </row>
    <row r="63" spans="60:61" x14ac:dyDescent="0.2">
      <c r="BH63" s="34"/>
      <c r="BI63" s="36"/>
    </row>
    <row r="64" spans="60:61" x14ac:dyDescent="0.2">
      <c r="BH64" s="34"/>
      <c r="BI64" s="36"/>
    </row>
    <row r="65" spans="60:61" x14ac:dyDescent="0.2">
      <c r="BH65" s="34"/>
      <c r="BI65" s="36"/>
    </row>
    <row r="66" spans="60:61" x14ac:dyDescent="0.2">
      <c r="BH66" s="34"/>
      <c r="BI66" s="36"/>
    </row>
    <row r="67" spans="60:61" x14ac:dyDescent="0.2">
      <c r="BH67" s="34"/>
      <c r="BI67" s="36"/>
    </row>
    <row r="68" spans="60:61" x14ac:dyDescent="0.2">
      <c r="BH68" s="34"/>
      <c r="BI68" s="36"/>
    </row>
    <row r="69" spans="60:61" x14ac:dyDescent="0.2">
      <c r="BH69" s="34"/>
      <c r="BI69" s="36"/>
    </row>
    <row r="70" spans="60:61" x14ac:dyDescent="0.2">
      <c r="BH70" s="34"/>
      <c r="BI70" s="36"/>
    </row>
    <row r="71" spans="60:61" x14ac:dyDescent="0.2">
      <c r="BH71" s="34"/>
      <c r="BI71" s="36"/>
    </row>
    <row r="72" spans="60:61" x14ac:dyDescent="0.2">
      <c r="BH72" s="34"/>
      <c r="BI72" s="36"/>
    </row>
    <row r="73" spans="60:61" x14ac:dyDescent="0.2">
      <c r="BH73" s="34"/>
      <c r="BI73" s="36"/>
    </row>
    <row r="74" spans="60:61" x14ac:dyDescent="0.2">
      <c r="BH74" s="34"/>
      <c r="BI74" s="36"/>
    </row>
    <row r="75" spans="60:61" x14ac:dyDescent="0.2">
      <c r="BH75" s="34"/>
      <c r="BI75" s="36"/>
    </row>
    <row r="76" spans="60:61" x14ac:dyDescent="0.2">
      <c r="BH76" s="34"/>
      <c r="BI76" s="36"/>
    </row>
    <row r="77" spans="60:61" x14ac:dyDescent="0.2">
      <c r="BH77" s="34"/>
      <c r="BI77" s="36"/>
    </row>
    <row r="78" spans="60:61" x14ac:dyDescent="0.2">
      <c r="BH78" s="34"/>
      <c r="BI78" s="36"/>
    </row>
    <row r="79" spans="60:61" x14ac:dyDescent="0.2">
      <c r="BH79" s="34"/>
      <c r="BI79" s="36"/>
    </row>
    <row r="80" spans="60:61" x14ac:dyDescent="0.2">
      <c r="BH80" s="34"/>
      <c r="BI80" s="36"/>
    </row>
    <row r="81" spans="60:61" x14ac:dyDescent="0.2">
      <c r="BH81" s="34"/>
      <c r="BI81" s="36"/>
    </row>
    <row r="82" spans="60:61" x14ac:dyDescent="0.2">
      <c r="BH82" s="34"/>
      <c r="BI82" s="36"/>
    </row>
    <row r="83" spans="60:61" x14ac:dyDescent="0.2">
      <c r="BH83" s="34"/>
      <c r="BI83" s="36"/>
    </row>
    <row r="84" spans="60:61" x14ac:dyDescent="0.2">
      <c r="BH84" s="34"/>
      <c r="BI84" s="36"/>
    </row>
    <row r="85" spans="60:61" x14ac:dyDescent="0.2">
      <c r="BH85" s="34"/>
      <c r="BI85" s="36"/>
    </row>
    <row r="86" spans="60:61" x14ac:dyDescent="0.2">
      <c r="BH86" s="34"/>
      <c r="BI86" s="36"/>
    </row>
    <row r="87" spans="60:61" x14ac:dyDescent="0.2">
      <c r="BH87" s="34"/>
      <c r="BI87" s="36"/>
    </row>
    <row r="88" spans="60:61" x14ac:dyDescent="0.2">
      <c r="BH88" s="34"/>
      <c r="BI88" s="36"/>
    </row>
    <row r="89" spans="60:61" x14ac:dyDescent="0.2">
      <c r="BH89" s="34"/>
      <c r="BI89" s="36"/>
    </row>
    <row r="90" spans="60:61" x14ac:dyDescent="0.2">
      <c r="BH90" s="34"/>
      <c r="BI90" s="36"/>
    </row>
    <row r="91" spans="60:61" x14ac:dyDescent="0.2">
      <c r="BH91" s="34"/>
      <c r="BI91" s="36"/>
    </row>
    <row r="92" spans="60:61" x14ac:dyDescent="0.2">
      <c r="BH92" s="34"/>
      <c r="BI92" s="36"/>
    </row>
    <row r="93" spans="60:61" x14ac:dyDescent="0.2">
      <c r="BH93" s="34"/>
      <c r="BI93" s="36"/>
    </row>
    <row r="94" spans="60:61" x14ac:dyDescent="0.2">
      <c r="BH94" s="34"/>
      <c r="BI94" s="36"/>
    </row>
    <row r="95" spans="60:61" x14ac:dyDescent="0.2">
      <c r="BH95" s="34"/>
      <c r="BI95" s="36"/>
    </row>
    <row r="96" spans="60:61" x14ac:dyDescent="0.2">
      <c r="BH96" s="34"/>
      <c r="BI96" s="36"/>
    </row>
    <row r="97" spans="60:61" x14ac:dyDescent="0.2">
      <c r="BH97" s="34"/>
      <c r="BI97" s="36"/>
    </row>
    <row r="98" spans="60:61" x14ac:dyDescent="0.2">
      <c r="BH98" s="34"/>
      <c r="BI98" s="36"/>
    </row>
    <row r="99" spans="60:61" x14ac:dyDescent="0.2">
      <c r="BH99" s="34"/>
      <c r="BI99" s="36"/>
    </row>
    <row r="100" spans="60:61" x14ac:dyDescent="0.2">
      <c r="BH100" s="34"/>
      <c r="BI100" s="36"/>
    </row>
    <row r="101" spans="60:61" x14ac:dyDescent="0.2">
      <c r="BH101" s="34"/>
      <c r="BI101" s="36"/>
    </row>
    <row r="102" spans="60:61" x14ac:dyDescent="0.2">
      <c r="BH102" s="34"/>
      <c r="BI102" s="36"/>
    </row>
    <row r="103" spans="60:61" x14ac:dyDescent="0.2">
      <c r="BH103" s="34"/>
      <c r="BI103" s="36"/>
    </row>
    <row r="104" spans="60:61" x14ac:dyDescent="0.2">
      <c r="BH104" s="34"/>
      <c r="BI104" s="36"/>
    </row>
    <row r="105" spans="60:61" x14ac:dyDescent="0.2">
      <c r="BH105" s="34"/>
      <c r="BI105" s="36"/>
    </row>
    <row r="106" spans="60:61" x14ac:dyDescent="0.2">
      <c r="BH106" s="34"/>
      <c r="BI106" s="36"/>
    </row>
    <row r="107" spans="60:61" x14ac:dyDescent="0.2">
      <c r="BH107" s="34"/>
      <c r="BI107" s="36"/>
    </row>
    <row r="108" spans="60:61" x14ac:dyDescent="0.2">
      <c r="BH108" s="34"/>
      <c r="BI108" s="36"/>
    </row>
    <row r="109" spans="60:61" x14ac:dyDescent="0.2">
      <c r="BH109" s="34"/>
      <c r="BI109" s="36"/>
    </row>
    <row r="110" spans="60:61" x14ac:dyDescent="0.2">
      <c r="BH110" s="34"/>
      <c r="BI110" s="36"/>
    </row>
    <row r="111" spans="60:61" x14ac:dyDescent="0.2">
      <c r="BH111" s="34"/>
      <c r="BI111" s="36"/>
    </row>
    <row r="112" spans="60:61" x14ac:dyDescent="0.2">
      <c r="BH112" s="34"/>
      <c r="BI112" s="36"/>
    </row>
    <row r="113" spans="60:61" x14ac:dyDescent="0.2">
      <c r="BH113" s="34"/>
      <c r="BI113" s="36"/>
    </row>
    <row r="114" spans="60:61" x14ac:dyDescent="0.2">
      <c r="BH114" s="34"/>
      <c r="BI114" s="36"/>
    </row>
    <row r="115" spans="60:61" x14ac:dyDescent="0.2">
      <c r="BH115" s="34"/>
      <c r="BI115" s="36"/>
    </row>
    <row r="116" spans="60:61" x14ac:dyDescent="0.2">
      <c r="BH116" s="34"/>
      <c r="BI116" s="36"/>
    </row>
    <row r="117" spans="60:61" x14ac:dyDescent="0.2">
      <c r="BH117" s="34"/>
      <c r="BI117" s="36"/>
    </row>
    <row r="118" spans="60:61" x14ac:dyDescent="0.2">
      <c r="BH118" s="34"/>
      <c r="BI118" s="36"/>
    </row>
    <row r="119" spans="60:61" x14ac:dyDescent="0.2">
      <c r="BH119" s="34"/>
      <c r="BI119" s="36"/>
    </row>
    <row r="120" spans="60:61" x14ac:dyDescent="0.2">
      <c r="BH120" s="34"/>
      <c r="BI120" s="36"/>
    </row>
    <row r="121" spans="60:61" x14ac:dyDescent="0.2">
      <c r="BH121" s="34"/>
      <c r="BI121" s="36"/>
    </row>
    <row r="122" spans="60:61" x14ac:dyDescent="0.2">
      <c r="BH122" s="34"/>
      <c r="BI122" s="36"/>
    </row>
    <row r="123" spans="60:61" x14ac:dyDescent="0.2">
      <c r="BH123" s="34"/>
      <c r="BI123" s="36"/>
    </row>
    <row r="124" spans="60:61" x14ac:dyDescent="0.2">
      <c r="BH124" s="34"/>
      <c r="BI124" s="36"/>
    </row>
    <row r="125" spans="60:61" x14ac:dyDescent="0.2">
      <c r="BH125" s="34"/>
      <c r="BI125" s="36"/>
    </row>
    <row r="126" spans="60:61" x14ac:dyDescent="0.2">
      <c r="BH126" s="34"/>
      <c r="BI126" s="36"/>
    </row>
    <row r="127" spans="60:61" x14ac:dyDescent="0.2">
      <c r="BH127" s="34"/>
      <c r="BI127" s="36"/>
    </row>
    <row r="128" spans="60:61" x14ac:dyDescent="0.2">
      <c r="BH128" s="34"/>
      <c r="BI128" s="36"/>
    </row>
    <row r="129" spans="60:61" x14ac:dyDescent="0.2">
      <c r="BH129" s="34"/>
      <c r="BI129" s="36"/>
    </row>
    <row r="130" spans="60:61" x14ac:dyDescent="0.2">
      <c r="BH130" s="34"/>
      <c r="BI130" s="36"/>
    </row>
    <row r="131" spans="60:61" x14ac:dyDescent="0.2">
      <c r="BH131" s="34"/>
      <c r="BI131" s="36"/>
    </row>
    <row r="132" spans="60:61" x14ac:dyDescent="0.2">
      <c r="BH132" s="34"/>
      <c r="BI132" s="36"/>
    </row>
    <row r="133" spans="60:61" x14ac:dyDescent="0.2">
      <c r="BH133" s="34"/>
      <c r="BI133" s="36"/>
    </row>
    <row r="134" spans="60:61" x14ac:dyDescent="0.2">
      <c r="BH134" s="34"/>
      <c r="BI134" s="36"/>
    </row>
    <row r="135" spans="60:61" x14ac:dyDescent="0.2">
      <c r="BH135" s="34"/>
      <c r="BI135" s="36"/>
    </row>
    <row r="136" spans="60:61" x14ac:dyDescent="0.2">
      <c r="BH136" s="34"/>
      <c r="BI136" s="36"/>
    </row>
    <row r="137" spans="60:61" x14ac:dyDescent="0.2">
      <c r="BH137" s="34"/>
      <c r="BI137" s="36"/>
    </row>
    <row r="138" spans="60:61" x14ac:dyDescent="0.2">
      <c r="BH138" s="34"/>
      <c r="BI138" s="36"/>
    </row>
    <row r="139" spans="60:61" x14ac:dyDescent="0.2">
      <c r="BH139" s="34"/>
      <c r="BI139" s="36"/>
    </row>
    <row r="140" spans="60:61" x14ac:dyDescent="0.2">
      <c r="BH140" s="34"/>
      <c r="BI140" s="36"/>
    </row>
    <row r="141" spans="60:61" x14ac:dyDescent="0.2">
      <c r="BH141" s="34"/>
      <c r="BI141" s="36"/>
    </row>
    <row r="142" spans="60:61" x14ac:dyDescent="0.2">
      <c r="BH142" s="34"/>
      <c r="BI142" s="36"/>
    </row>
    <row r="143" spans="60:61" x14ac:dyDescent="0.2">
      <c r="BH143" s="34"/>
      <c r="BI143" s="36"/>
    </row>
    <row r="144" spans="60:61" x14ac:dyDescent="0.2">
      <c r="BH144" s="34"/>
      <c r="BI144" s="36"/>
    </row>
    <row r="145" spans="60:61" x14ac:dyDescent="0.2">
      <c r="BH145" s="34"/>
      <c r="BI145" s="36"/>
    </row>
    <row r="146" spans="60:61" x14ac:dyDescent="0.2">
      <c r="BH146" s="34"/>
      <c r="BI146" s="36"/>
    </row>
    <row r="147" spans="60:61" x14ac:dyDescent="0.2">
      <c r="BH147" s="34"/>
      <c r="BI147" s="36"/>
    </row>
    <row r="148" spans="60:61" x14ac:dyDescent="0.2">
      <c r="BH148" s="34"/>
      <c r="BI148" s="36"/>
    </row>
    <row r="149" spans="60:61" x14ac:dyDescent="0.2">
      <c r="BH149" s="34"/>
      <c r="BI149" s="36"/>
    </row>
    <row r="150" spans="60:61" x14ac:dyDescent="0.2">
      <c r="BH150" s="34"/>
      <c r="BI150" s="36"/>
    </row>
    <row r="151" spans="60:61" x14ac:dyDescent="0.2">
      <c r="BH151" s="34"/>
      <c r="BI151" s="36"/>
    </row>
    <row r="152" spans="60:61" x14ac:dyDescent="0.2">
      <c r="BH152" s="34"/>
      <c r="BI152" s="36"/>
    </row>
    <row r="153" spans="60:61" x14ac:dyDescent="0.2">
      <c r="BH153" s="34"/>
      <c r="BI153" s="36"/>
    </row>
    <row r="154" spans="60:61" x14ac:dyDescent="0.2">
      <c r="BH154" s="34"/>
      <c r="BI154" s="36"/>
    </row>
    <row r="155" spans="60:61" x14ac:dyDescent="0.2">
      <c r="BH155" s="34"/>
      <c r="BI155" s="36"/>
    </row>
    <row r="156" spans="60:61" x14ac:dyDescent="0.2">
      <c r="BH156" s="34"/>
      <c r="BI156" s="36"/>
    </row>
    <row r="157" spans="60:61" x14ac:dyDescent="0.2">
      <c r="BH157" s="34"/>
      <c r="BI157" s="36"/>
    </row>
    <row r="158" spans="60:61" x14ac:dyDescent="0.2">
      <c r="BH158" s="34"/>
      <c r="BI158" s="36"/>
    </row>
    <row r="159" spans="60:61" x14ac:dyDescent="0.2">
      <c r="BH159" s="34"/>
      <c r="BI159" s="36"/>
    </row>
    <row r="160" spans="60:61" x14ac:dyDescent="0.2">
      <c r="BH160" s="34"/>
      <c r="BI160" s="36"/>
    </row>
    <row r="161" spans="60:61" x14ac:dyDescent="0.2">
      <c r="BH161" s="34"/>
      <c r="BI161" s="36"/>
    </row>
    <row r="162" spans="60:61" x14ac:dyDescent="0.2">
      <c r="BH162" s="34"/>
      <c r="BI162" s="36"/>
    </row>
    <row r="163" spans="60:61" x14ac:dyDescent="0.2">
      <c r="BH163" s="34"/>
      <c r="BI163" s="36"/>
    </row>
    <row r="164" spans="60:61" x14ac:dyDescent="0.2">
      <c r="BH164" s="34"/>
      <c r="BI164" s="36"/>
    </row>
    <row r="165" spans="60:61" x14ac:dyDescent="0.2">
      <c r="BH165" s="34"/>
      <c r="BI165" s="36"/>
    </row>
    <row r="166" spans="60:61" x14ac:dyDescent="0.2">
      <c r="BH166" s="34"/>
      <c r="BI166" s="36"/>
    </row>
    <row r="167" spans="60:61" x14ac:dyDescent="0.2">
      <c r="BH167" s="34"/>
      <c r="BI167" s="36"/>
    </row>
    <row r="168" spans="60:61" x14ac:dyDescent="0.2">
      <c r="BH168" s="34"/>
      <c r="BI168" s="36"/>
    </row>
    <row r="169" spans="60:61" x14ac:dyDescent="0.2">
      <c r="BH169" s="34"/>
      <c r="BI169" s="36"/>
    </row>
    <row r="170" spans="60:61" x14ac:dyDescent="0.2">
      <c r="BH170" s="34"/>
      <c r="BI170" s="36"/>
    </row>
    <row r="171" spans="60:61" x14ac:dyDescent="0.2">
      <c r="BH171" s="34"/>
      <c r="BI171" s="36"/>
    </row>
    <row r="172" spans="60:61" x14ac:dyDescent="0.2">
      <c r="BH172" s="34"/>
      <c r="BI172" s="36"/>
    </row>
    <row r="173" spans="60:61" x14ac:dyDescent="0.2">
      <c r="BH173" s="34"/>
      <c r="BI173" s="36"/>
    </row>
    <row r="174" spans="60:61" x14ac:dyDescent="0.2">
      <c r="BH174" s="34"/>
      <c r="BI174" s="36"/>
    </row>
    <row r="175" spans="60:61" x14ac:dyDescent="0.2">
      <c r="BH175" s="34"/>
      <c r="BI175" s="36"/>
    </row>
    <row r="176" spans="60:61" x14ac:dyDescent="0.2">
      <c r="BH176" s="34"/>
      <c r="BI176" s="36"/>
    </row>
    <row r="177" spans="60:61" x14ac:dyDescent="0.2">
      <c r="BH177" s="34"/>
      <c r="BI177" s="36"/>
    </row>
    <row r="178" spans="60:61" x14ac:dyDescent="0.2">
      <c r="BH178" s="34"/>
      <c r="BI178" s="36"/>
    </row>
    <row r="179" spans="60:61" x14ac:dyDescent="0.2">
      <c r="BH179" s="34"/>
      <c r="BI179" s="36"/>
    </row>
    <row r="180" spans="60:61" x14ac:dyDescent="0.2">
      <c r="BH180" s="34"/>
      <c r="BI180" s="36"/>
    </row>
    <row r="181" spans="60:61" x14ac:dyDescent="0.2">
      <c r="BH181" s="34"/>
      <c r="BI181" s="36"/>
    </row>
    <row r="182" spans="60:61" x14ac:dyDescent="0.2">
      <c r="BH182" s="34"/>
      <c r="BI182" s="36"/>
    </row>
    <row r="183" spans="60:61" x14ac:dyDescent="0.2">
      <c r="BH183" s="34"/>
      <c r="BI183" s="36"/>
    </row>
    <row r="184" spans="60:61" x14ac:dyDescent="0.2">
      <c r="BH184" s="34"/>
      <c r="BI184" s="36"/>
    </row>
    <row r="185" spans="60:61" x14ac:dyDescent="0.2">
      <c r="BH185" s="34"/>
      <c r="BI185" s="36"/>
    </row>
    <row r="186" spans="60:61" x14ac:dyDescent="0.2">
      <c r="BH186" s="34"/>
      <c r="BI186" s="36"/>
    </row>
    <row r="187" spans="60:61" x14ac:dyDescent="0.2">
      <c r="BH187" s="34"/>
      <c r="BI187" s="36"/>
    </row>
    <row r="188" spans="60:61" x14ac:dyDescent="0.2">
      <c r="BH188" s="34"/>
      <c r="BI188" s="36"/>
    </row>
    <row r="189" spans="60:61" x14ac:dyDescent="0.2">
      <c r="BH189" s="34"/>
      <c r="BI189" s="36"/>
    </row>
    <row r="190" spans="60:61" x14ac:dyDescent="0.2">
      <c r="BH190" s="34"/>
      <c r="BI190" s="36"/>
    </row>
    <row r="191" spans="60:61" x14ac:dyDescent="0.2">
      <c r="BH191" s="34"/>
      <c r="BI191" s="36"/>
    </row>
    <row r="192" spans="60:61" x14ac:dyDescent="0.2">
      <c r="BH192" s="34"/>
      <c r="BI192" s="36"/>
    </row>
    <row r="193" spans="60:61" x14ac:dyDescent="0.2">
      <c r="BH193" s="34"/>
      <c r="BI193" s="36"/>
    </row>
    <row r="194" spans="60:61" x14ac:dyDescent="0.2">
      <c r="BH194" s="34"/>
      <c r="BI194" s="36"/>
    </row>
    <row r="195" spans="60:61" x14ac:dyDescent="0.2">
      <c r="BH195" s="34"/>
      <c r="BI195" s="36"/>
    </row>
    <row r="196" spans="60:61" x14ac:dyDescent="0.2">
      <c r="BH196" s="34"/>
      <c r="BI196" s="36"/>
    </row>
    <row r="197" spans="60:61" x14ac:dyDescent="0.2">
      <c r="BH197" s="34"/>
      <c r="BI197" s="36"/>
    </row>
    <row r="198" spans="60:61" x14ac:dyDescent="0.2">
      <c r="BH198" s="34"/>
      <c r="BI198" s="36"/>
    </row>
    <row r="199" spans="60:61" x14ac:dyDescent="0.2">
      <c r="BH199" s="34"/>
      <c r="BI199" s="36"/>
    </row>
    <row r="200" spans="60:61" x14ac:dyDescent="0.2">
      <c r="BH200" s="34"/>
      <c r="BI200" s="36"/>
    </row>
    <row r="201" spans="60:61" x14ac:dyDescent="0.2">
      <c r="BH201" s="34"/>
      <c r="BI201" s="36"/>
    </row>
    <row r="202" spans="60:61" x14ac:dyDescent="0.2">
      <c r="BH202" s="34"/>
      <c r="BI202" s="36"/>
    </row>
    <row r="203" spans="60:61" x14ac:dyDescent="0.2">
      <c r="BH203" s="34"/>
      <c r="BI203" s="36"/>
    </row>
    <row r="204" spans="60:61" x14ac:dyDescent="0.2">
      <c r="BH204" s="34"/>
      <c r="BI204" s="36"/>
    </row>
    <row r="205" spans="60:61" x14ac:dyDescent="0.2">
      <c r="BH205" s="34"/>
      <c r="BI205" s="36"/>
    </row>
    <row r="206" spans="60:61" x14ac:dyDescent="0.2">
      <c r="BH206" s="34"/>
      <c r="BI206" s="36"/>
    </row>
    <row r="207" spans="60:61" x14ac:dyDescent="0.2">
      <c r="BH207" s="34"/>
      <c r="BI207" s="36"/>
    </row>
    <row r="208" spans="60:61" x14ac:dyDescent="0.2">
      <c r="BH208" s="34"/>
      <c r="BI208" s="36"/>
    </row>
    <row r="209" spans="60:61" x14ac:dyDescent="0.2">
      <c r="BH209" s="34"/>
      <c r="BI209" s="36"/>
    </row>
    <row r="210" spans="60:61" x14ac:dyDescent="0.2">
      <c r="BH210" s="34"/>
      <c r="BI210" s="36"/>
    </row>
    <row r="211" spans="60:61" x14ac:dyDescent="0.2">
      <c r="BH211" s="34"/>
      <c r="BI211" s="36"/>
    </row>
    <row r="212" spans="60:61" x14ac:dyDescent="0.2">
      <c r="BH212" s="34"/>
      <c r="BI212" s="36"/>
    </row>
    <row r="213" spans="60:61" x14ac:dyDescent="0.2">
      <c r="BH213" s="34"/>
      <c r="BI213" s="36"/>
    </row>
    <row r="214" spans="60:61" x14ac:dyDescent="0.2">
      <c r="BH214" s="34"/>
      <c r="BI214" s="36"/>
    </row>
    <row r="215" spans="60:61" x14ac:dyDescent="0.2">
      <c r="BH215" s="34"/>
      <c r="BI215" s="36"/>
    </row>
    <row r="216" spans="60:61" x14ac:dyDescent="0.2">
      <c r="BH216" s="34"/>
      <c r="BI216" s="36"/>
    </row>
    <row r="217" spans="60:61" x14ac:dyDescent="0.2">
      <c r="BH217" s="34"/>
      <c r="BI217" s="36"/>
    </row>
    <row r="218" spans="60:61" x14ac:dyDescent="0.2">
      <c r="BH218" s="34"/>
      <c r="BI218" s="36"/>
    </row>
    <row r="219" spans="60:61" x14ac:dyDescent="0.2">
      <c r="BH219" s="34"/>
      <c r="BI219" s="36"/>
    </row>
    <row r="220" spans="60:61" x14ac:dyDescent="0.2">
      <c r="BH220" s="34"/>
      <c r="BI220" s="36"/>
    </row>
    <row r="221" spans="60:61" x14ac:dyDescent="0.2">
      <c r="BH221" s="34"/>
      <c r="BI221" s="36"/>
    </row>
    <row r="222" spans="60:61" x14ac:dyDescent="0.2">
      <c r="BH222" s="34"/>
      <c r="BI222" s="36"/>
    </row>
    <row r="223" spans="60:61" x14ac:dyDescent="0.2">
      <c r="BH223" s="34"/>
      <c r="BI223" s="36"/>
    </row>
    <row r="224" spans="60:61" x14ac:dyDescent="0.2">
      <c r="BH224" s="34"/>
      <c r="BI224" s="36"/>
    </row>
    <row r="225" spans="60:61" x14ac:dyDescent="0.2">
      <c r="BH225" s="34"/>
      <c r="BI225" s="36"/>
    </row>
    <row r="226" spans="60:61" x14ac:dyDescent="0.2">
      <c r="BH226" s="34"/>
      <c r="BI226" s="36"/>
    </row>
    <row r="227" spans="60:61" x14ac:dyDescent="0.2">
      <c r="BH227" s="34"/>
      <c r="BI227" s="36"/>
    </row>
    <row r="228" spans="60:61" x14ac:dyDescent="0.2">
      <c r="BH228" s="34"/>
      <c r="BI228" s="36"/>
    </row>
    <row r="229" spans="60:61" x14ac:dyDescent="0.2">
      <c r="BH229" s="34"/>
      <c r="BI229" s="36"/>
    </row>
    <row r="230" spans="60:61" x14ac:dyDescent="0.2">
      <c r="BH230" s="34"/>
      <c r="BI230" s="36"/>
    </row>
    <row r="231" spans="60:61" x14ac:dyDescent="0.2">
      <c r="BH231" s="34"/>
      <c r="BI231" s="36"/>
    </row>
    <row r="232" spans="60:61" x14ac:dyDescent="0.2">
      <c r="BH232" s="34"/>
      <c r="BI232" s="36"/>
    </row>
    <row r="233" spans="60:61" x14ac:dyDescent="0.2">
      <c r="BH233" s="34"/>
      <c r="BI233" s="36"/>
    </row>
    <row r="234" spans="60:61" x14ac:dyDescent="0.2">
      <c r="BH234" s="34"/>
      <c r="BI234" s="36"/>
    </row>
    <row r="235" spans="60:61" x14ac:dyDescent="0.2">
      <c r="BH235" s="34"/>
      <c r="BI235" s="36"/>
    </row>
    <row r="236" spans="60:61" x14ac:dyDescent="0.2">
      <c r="BH236" s="34"/>
      <c r="BI236" s="36"/>
    </row>
    <row r="237" spans="60:61" x14ac:dyDescent="0.2">
      <c r="BH237" s="34"/>
      <c r="BI237" s="36"/>
    </row>
    <row r="238" spans="60:61" x14ac:dyDescent="0.2">
      <c r="BH238" s="34"/>
      <c r="BI238" s="36"/>
    </row>
    <row r="239" spans="60:61" x14ac:dyDescent="0.2">
      <c r="BH239" s="34"/>
      <c r="BI239" s="36"/>
    </row>
    <row r="240" spans="60:61" x14ac:dyDescent="0.2">
      <c r="BH240" s="34"/>
      <c r="BI240" s="36"/>
    </row>
    <row r="241" spans="60:61" x14ac:dyDescent="0.2">
      <c r="BH241" s="34"/>
      <c r="BI241" s="36"/>
    </row>
    <row r="242" spans="60:61" x14ac:dyDescent="0.2">
      <c r="BH242" s="34"/>
      <c r="BI242" s="36"/>
    </row>
    <row r="243" spans="60:61" x14ac:dyDescent="0.2">
      <c r="BH243" s="34"/>
      <c r="BI243" s="36"/>
    </row>
    <row r="244" spans="60:61" x14ac:dyDescent="0.2">
      <c r="BH244" s="34"/>
      <c r="BI244" s="36"/>
    </row>
    <row r="245" spans="60:61" x14ac:dyDescent="0.2">
      <c r="BH245" s="34"/>
      <c r="BI245" s="36"/>
    </row>
    <row r="246" spans="60:61" x14ac:dyDescent="0.2">
      <c r="BH246" s="34"/>
      <c r="BI246" s="36"/>
    </row>
    <row r="247" spans="60:61" x14ac:dyDescent="0.2">
      <c r="BH247" s="34"/>
      <c r="BI247" s="36"/>
    </row>
    <row r="248" spans="60:61" x14ac:dyDescent="0.2">
      <c r="BH248" s="34"/>
      <c r="BI248" s="36"/>
    </row>
    <row r="249" spans="60:61" x14ac:dyDescent="0.2">
      <c r="BH249" s="34"/>
      <c r="BI249" s="36"/>
    </row>
    <row r="250" spans="60:61" x14ac:dyDescent="0.2">
      <c r="BH250" s="34"/>
      <c r="BI250" s="36"/>
    </row>
    <row r="251" spans="60:61" x14ac:dyDescent="0.2">
      <c r="BH251" s="34"/>
      <c r="BI251" s="36"/>
    </row>
    <row r="252" spans="60:61" x14ac:dyDescent="0.2">
      <c r="BH252" s="34"/>
      <c r="BI252" s="36"/>
    </row>
    <row r="253" spans="60:61" x14ac:dyDescent="0.2">
      <c r="BH253" s="34"/>
      <c r="BI253" s="36"/>
    </row>
    <row r="254" spans="60:61" x14ac:dyDescent="0.2">
      <c r="BH254" s="34"/>
      <c r="BI254" s="36"/>
    </row>
    <row r="255" spans="60:61" x14ac:dyDescent="0.2">
      <c r="BH255" s="34"/>
      <c r="BI255" s="36"/>
    </row>
    <row r="256" spans="60:61" x14ac:dyDescent="0.2">
      <c r="BH256" s="34"/>
      <c r="BI256" s="36"/>
    </row>
    <row r="257" spans="60:61" x14ac:dyDescent="0.2">
      <c r="BH257" s="34"/>
      <c r="BI257" s="36"/>
    </row>
    <row r="258" spans="60:61" x14ac:dyDescent="0.2">
      <c r="BH258" s="34"/>
      <c r="BI258" s="36"/>
    </row>
    <row r="259" spans="60:61" x14ac:dyDescent="0.2">
      <c r="BH259" s="34"/>
      <c r="BI259" s="36"/>
    </row>
    <row r="260" spans="60:61" x14ac:dyDescent="0.2">
      <c r="BH260" s="34"/>
      <c r="BI260" s="36"/>
    </row>
    <row r="261" spans="60:61" x14ac:dyDescent="0.2">
      <c r="BH261" s="34"/>
      <c r="BI261" s="36"/>
    </row>
    <row r="262" spans="60:61" x14ac:dyDescent="0.2">
      <c r="BH262" s="34"/>
      <c r="BI262" s="36"/>
    </row>
    <row r="263" spans="60:61" x14ac:dyDescent="0.2">
      <c r="BH263" s="34"/>
      <c r="BI263" s="36"/>
    </row>
    <row r="264" spans="60:61" x14ac:dyDescent="0.2">
      <c r="BH264" s="34"/>
      <c r="BI264" s="36"/>
    </row>
    <row r="265" spans="60:61" x14ac:dyDescent="0.2">
      <c r="BH265" s="34"/>
      <c r="BI265" s="36"/>
    </row>
    <row r="266" spans="60:61" x14ac:dyDescent="0.2">
      <c r="BH266" s="34"/>
      <c r="BI266" s="36"/>
    </row>
    <row r="267" spans="60:61" x14ac:dyDescent="0.2">
      <c r="BH267" s="34"/>
      <c r="BI267" s="36"/>
    </row>
    <row r="268" spans="60:61" x14ac:dyDescent="0.2">
      <c r="BH268" s="34"/>
      <c r="BI268" s="36"/>
    </row>
    <row r="269" spans="60:61" x14ac:dyDescent="0.2">
      <c r="BH269" s="34"/>
      <c r="BI269" s="36"/>
    </row>
    <row r="270" spans="60:61" x14ac:dyDescent="0.2">
      <c r="BH270" s="34"/>
      <c r="BI270" s="36"/>
    </row>
    <row r="271" spans="60:61" x14ac:dyDescent="0.2">
      <c r="BH271" s="34"/>
      <c r="BI271" s="36"/>
    </row>
    <row r="272" spans="60:61" x14ac:dyDescent="0.2">
      <c r="BH272" s="34"/>
      <c r="BI272" s="36"/>
    </row>
    <row r="273" spans="60:61" x14ac:dyDescent="0.2">
      <c r="BH273" s="34"/>
      <c r="BI273" s="36"/>
    </row>
    <row r="274" spans="60:61" x14ac:dyDescent="0.2">
      <c r="BH274" s="34"/>
      <c r="BI274" s="36"/>
    </row>
    <row r="275" spans="60:61" x14ac:dyDescent="0.2">
      <c r="BH275" s="34"/>
      <c r="BI275" s="36"/>
    </row>
    <row r="276" spans="60:61" x14ac:dyDescent="0.2">
      <c r="BH276" s="34"/>
      <c r="BI276" s="36"/>
    </row>
    <row r="277" spans="60:61" x14ac:dyDescent="0.2">
      <c r="BH277" s="34"/>
      <c r="BI277" s="36"/>
    </row>
    <row r="278" spans="60:61" x14ac:dyDescent="0.2">
      <c r="BH278" s="34"/>
      <c r="BI278" s="36"/>
    </row>
    <row r="279" spans="60:61" x14ac:dyDescent="0.2">
      <c r="BH279" s="34"/>
      <c r="BI279" s="36"/>
    </row>
    <row r="280" spans="60:61" x14ac:dyDescent="0.2">
      <c r="BH280" s="34"/>
      <c r="BI280" s="36"/>
    </row>
    <row r="281" spans="60:61" x14ac:dyDescent="0.2">
      <c r="BH281" s="34"/>
      <c r="BI281" s="36"/>
    </row>
    <row r="282" spans="60:61" x14ac:dyDescent="0.2">
      <c r="BH282" s="34"/>
      <c r="BI282" s="36"/>
    </row>
    <row r="283" spans="60:61" x14ac:dyDescent="0.2">
      <c r="BH283" s="34"/>
      <c r="BI283" s="36"/>
    </row>
    <row r="284" spans="60:61" x14ac:dyDescent="0.2">
      <c r="BH284" s="34"/>
      <c r="BI284" s="36"/>
    </row>
    <row r="285" spans="60:61" x14ac:dyDescent="0.2">
      <c r="BH285" s="34"/>
      <c r="BI285" s="36"/>
    </row>
    <row r="286" spans="60:61" x14ac:dyDescent="0.2">
      <c r="BH286" s="34"/>
      <c r="BI286" s="36"/>
    </row>
    <row r="287" spans="60:61" x14ac:dyDescent="0.2">
      <c r="BH287" s="34"/>
      <c r="BI287" s="36"/>
    </row>
    <row r="288" spans="60:61" x14ac:dyDescent="0.2">
      <c r="BH288" s="34"/>
      <c r="BI288" s="36"/>
    </row>
    <row r="289" spans="60:61" x14ac:dyDescent="0.2">
      <c r="BH289" s="34"/>
      <c r="BI289" s="36"/>
    </row>
    <row r="290" spans="60:61" x14ac:dyDescent="0.2">
      <c r="BH290" s="34"/>
      <c r="BI290" s="36"/>
    </row>
    <row r="291" spans="60:61" x14ac:dyDescent="0.2">
      <c r="BH291" s="34"/>
      <c r="BI291" s="36"/>
    </row>
    <row r="292" spans="60:61" x14ac:dyDescent="0.2">
      <c r="BH292" s="34"/>
      <c r="BI292" s="36"/>
    </row>
    <row r="293" spans="60:61" x14ac:dyDescent="0.2">
      <c r="BH293" s="34"/>
      <c r="BI293" s="36"/>
    </row>
    <row r="294" spans="60:61" x14ac:dyDescent="0.2">
      <c r="BH294" s="34"/>
      <c r="BI294" s="36"/>
    </row>
    <row r="295" spans="60:61" x14ac:dyDescent="0.2">
      <c r="BH295" s="34"/>
      <c r="BI295" s="36"/>
    </row>
    <row r="296" spans="60:61" x14ac:dyDescent="0.2">
      <c r="BH296" s="34"/>
      <c r="BI296" s="36"/>
    </row>
    <row r="297" spans="60:61" x14ac:dyDescent="0.2">
      <c r="BH297" s="34"/>
      <c r="BI297" s="36"/>
    </row>
    <row r="298" spans="60:61" x14ac:dyDescent="0.2">
      <c r="BH298" s="34"/>
      <c r="BI298" s="36"/>
    </row>
    <row r="299" spans="60:61" x14ac:dyDescent="0.2">
      <c r="BH299" s="34"/>
      <c r="BI299" s="36"/>
    </row>
    <row r="300" spans="60:61" x14ac:dyDescent="0.2">
      <c r="BH300" s="34"/>
      <c r="BI300" s="36"/>
    </row>
    <row r="301" spans="60:61" x14ac:dyDescent="0.2">
      <c r="BH301" s="34"/>
      <c r="BI301" s="36"/>
    </row>
    <row r="302" spans="60:61" x14ac:dyDescent="0.2">
      <c r="BH302" s="34"/>
      <c r="BI302" s="36"/>
    </row>
    <row r="303" spans="60:61" x14ac:dyDescent="0.2">
      <c r="BH303" s="34"/>
      <c r="BI303" s="36"/>
    </row>
    <row r="304" spans="60:61" x14ac:dyDescent="0.2">
      <c r="BH304" s="34"/>
      <c r="BI304" s="36"/>
    </row>
    <row r="305" spans="60:61" x14ac:dyDescent="0.2">
      <c r="BH305" s="34"/>
      <c r="BI305" s="36"/>
    </row>
    <row r="306" spans="60:61" x14ac:dyDescent="0.2">
      <c r="BH306" s="34"/>
      <c r="BI306" s="36"/>
    </row>
    <row r="307" spans="60:61" x14ac:dyDescent="0.2">
      <c r="BH307" s="34"/>
      <c r="BI307" s="36"/>
    </row>
    <row r="308" spans="60:61" x14ac:dyDescent="0.2">
      <c r="BH308" s="34"/>
      <c r="BI308" s="36"/>
    </row>
    <row r="309" spans="60:61" x14ac:dyDescent="0.2">
      <c r="BH309" s="34"/>
      <c r="BI309" s="36"/>
    </row>
    <row r="310" spans="60:61" x14ac:dyDescent="0.2">
      <c r="BH310" s="34"/>
      <c r="BI310" s="36"/>
    </row>
    <row r="311" spans="60:61" x14ac:dyDescent="0.2">
      <c r="BH311" s="34"/>
      <c r="BI311" s="36"/>
    </row>
    <row r="312" spans="60:61" x14ac:dyDescent="0.2">
      <c r="BH312" s="34"/>
      <c r="BI312" s="36"/>
    </row>
    <row r="313" spans="60:61" x14ac:dyDescent="0.2">
      <c r="BH313" s="34"/>
      <c r="BI313" s="36"/>
    </row>
    <row r="314" spans="60:61" x14ac:dyDescent="0.2">
      <c r="BH314" s="34"/>
      <c r="BI314" s="36"/>
    </row>
    <row r="315" spans="60:61" x14ac:dyDescent="0.2">
      <c r="BH315" s="34"/>
      <c r="BI315" s="36"/>
    </row>
    <row r="316" spans="60:61" x14ac:dyDescent="0.2">
      <c r="BH316" s="34"/>
      <c r="BI316" s="36"/>
    </row>
    <row r="317" spans="60:61" x14ac:dyDescent="0.2">
      <c r="BH317" s="34"/>
      <c r="BI317" s="36"/>
    </row>
    <row r="318" spans="60:61" x14ac:dyDescent="0.2">
      <c r="BH318" s="34"/>
      <c r="BI318" s="36"/>
    </row>
    <row r="319" spans="60:61" x14ac:dyDescent="0.2">
      <c r="BH319" s="34"/>
      <c r="BI319" s="36"/>
    </row>
    <row r="320" spans="60:61" x14ac:dyDescent="0.2">
      <c r="BH320" s="34"/>
      <c r="BI320" s="36"/>
    </row>
    <row r="321" spans="60:61" x14ac:dyDescent="0.2">
      <c r="BH321" s="34"/>
      <c r="BI321" s="36"/>
    </row>
    <row r="322" spans="60:61" x14ac:dyDescent="0.2">
      <c r="BH322" s="34"/>
      <c r="BI322" s="36"/>
    </row>
    <row r="323" spans="60:61" x14ac:dyDescent="0.2">
      <c r="BH323" s="34"/>
      <c r="BI323" s="36"/>
    </row>
    <row r="324" spans="60:61" x14ac:dyDescent="0.2">
      <c r="BH324" s="34"/>
      <c r="BI324" s="36"/>
    </row>
    <row r="325" spans="60:61" x14ac:dyDescent="0.2">
      <c r="BH325" s="34"/>
      <c r="BI325" s="36"/>
    </row>
    <row r="326" spans="60:61" x14ac:dyDescent="0.2">
      <c r="BH326" s="34"/>
      <c r="BI326" s="36"/>
    </row>
    <row r="327" spans="60:61" x14ac:dyDescent="0.2">
      <c r="BH327" s="34"/>
      <c r="BI327" s="36"/>
    </row>
    <row r="328" spans="60:61" x14ac:dyDescent="0.2">
      <c r="BH328" s="34"/>
      <c r="BI328" s="36"/>
    </row>
    <row r="329" spans="60:61" x14ac:dyDescent="0.2">
      <c r="BH329" s="34"/>
      <c r="BI329" s="36"/>
    </row>
    <row r="330" spans="60:61" x14ac:dyDescent="0.2">
      <c r="BH330" s="34"/>
      <c r="BI330" s="36"/>
    </row>
    <row r="331" spans="60:61" x14ac:dyDescent="0.2">
      <c r="BH331" s="34"/>
      <c r="BI331" s="36"/>
    </row>
    <row r="332" spans="60:61" x14ac:dyDescent="0.2">
      <c r="BH332" s="34"/>
      <c r="BI332" s="36"/>
    </row>
    <row r="333" spans="60:61" x14ac:dyDescent="0.2">
      <c r="BH333" s="34"/>
      <c r="BI333" s="36"/>
    </row>
    <row r="334" spans="60:61" x14ac:dyDescent="0.2">
      <c r="BH334" s="34"/>
      <c r="BI334" s="36"/>
    </row>
    <row r="335" spans="60:61" x14ac:dyDescent="0.2">
      <c r="BH335" s="34"/>
      <c r="BI335" s="36"/>
    </row>
    <row r="336" spans="60:61" x14ac:dyDescent="0.2">
      <c r="BH336" s="34"/>
      <c r="BI336" s="36"/>
    </row>
    <row r="337" spans="60:61" x14ac:dyDescent="0.2">
      <c r="BH337" s="34"/>
      <c r="BI337" s="36"/>
    </row>
    <row r="338" spans="60:61" x14ac:dyDescent="0.2">
      <c r="BH338" s="34"/>
      <c r="BI338" s="36"/>
    </row>
    <row r="339" spans="60:61" x14ac:dyDescent="0.2">
      <c r="BH339" s="34"/>
      <c r="BI339" s="36"/>
    </row>
    <row r="340" spans="60:61" x14ac:dyDescent="0.2">
      <c r="BH340" s="34"/>
      <c r="BI340" s="36"/>
    </row>
    <row r="341" spans="60:61" x14ac:dyDescent="0.2">
      <c r="BH341" s="34"/>
      <c r="BI341" s="36"/>
    </row>
    <row r="342" spans="60:61" x14ac:dyDescent="0.2">
      <c r="BH342" s="34"/>
      <c r="BI342" s="36"/>
    </row>
    <row r="343" spans="60:61" x14ac:dyDescent="0.2">
      <c r="BH343" s="34"/>
      <c r="BI343" s="36"/>
    </row>
    <row r="344" spans="60:61" x14ac:dyDescent="0.2">
      <c r="BH344" s="34"/>
      <c r="BI344" s="36"/>
    </row>
    <row r="345" spans="60:61" x14ac:dyDescent="0.2">
      <c r="BH345" s="34"/>
      <c r="BI345" s="36"/>
    </row>
    <row r="346" spans="60:61" x14ac:dyDescent="0.2">
      <c r="BH346" s="34"/>
      <c r="BI346" s="36"/>
    </row>
    <row r="347" spans="60:61" x14ac:dyDescent="0.2">
      <c r="BH347" s="34"/>
      <c r="BI347" s="36"/>
    </row>
    <row r="348" spans="60:61" x14ac:dyDescent="0.2">
      <c r="BH348" s="34"/>
      <c r="BI348" s="36"/>
    </row>
    <row r="349" spans="60:61" x14ac:dyDescent="0.2">
      <c r="BH349" s="34"/>
      <c r="BI349" s="36"/>
    </row>
    <row r="350" spans="60:61" x14ac:dyDescent="0.2">
      <c r="BH350" s="34"/>
      <c r="BI350" s="36"/>
    </row>
    <row r="351" spans="60:61" x14ac:dyDescent="0.2">
      <c r="BH351" s="34"/>
      <c r="BI351" s="36"/>
    </row>
    <row r="352" spans="60:61" x14ac:dyDescent="0.2">
      <c r="BH352" s="34"/>
      <c r="BI352" s="36"/>
    </row>
    <row r="353" spans="60:61" x14ac:dyDescent="0.2">
      <c r="BH353" s="34"/>
      <c r="BI353" s="36"/>
    </row>
    <row r="354" spans="60:61" x14ac:dyDescent="0.2">
      <c r="BH354" s="34"/>
      <c r="BI354" s="36"/>
    </row>
    <row r="355" spans="60:61" x14ac:dyDescent="0.2">
      <c r="BH355" s="34"/>
      <c r="BI355" s="36"/>
    </row>
    <row r="356" spans="60:61" x14ac:dyDescent="0.2">
      <c r="BH356" s="34"/>
      <c r="BI356" s="36"/>
    </row>
    <row r="357" spans="60:61" x14ac:dyDescent="0.2">
      <c r="BH357" s="34"/>
      <c r="BI357" s="36"/>
    </row>
    <row r="358" spans="60:61" x14ac:dyDescent="0.2">
      <c r="BH358" s="34"/>
      <c r="BI358" s="36"/>
    </row>
    <row r="359" spans="60:61" x14ac:dyDescent="0.2">
      <c r="BH359" s="34"/>
      <c r="BI359" s="36"/>
    </row>
    <row r="360" spans="60:61" x14ac:dyDescent="0.2">
      <c r="BH360" s="34"/>
      <c r="BI360" s="36"/>
    </row>
    <row r="361" spans="60:61" x14ac:dyDescent="0.2">
      <c r="BH361" s="34"/>
      <c r="BI361" s="36"/>
    </row>
    <row r="362" spans="60:61" x14ac:dyDescent="0.2">
      <c r="BH362" s="34"/>
      <c r="BI362" s="36"/>
    </row>
    <row r="363" spans="60:61" x14ac:dyDescent="0.2">
      <c r="BH363" s="34"/>
      <c r="BI363" s="36"/>
    </row>
    <row r="364" spans="60:61" x14ac:dyDescent="0.2">
      <c r="BH364" s="34"/>
      <c r="BI364" s="36"/>
    </row>
    <row r="365" spans="60:61" x14ac:dyDescent="0.2">
      <c r="BH365" s="34"/>
      <c r="BI365" s="36"/>
    </row>
    <row r="366" spans="60:61" x14ac:dyDescent="0.2">
      <c r="BH366" s="34"/>
      <c r="BI366" s="36"/>
    </row>
    <row r="367" spans="60:61" x14ac:dyDescent="0.2">
      <c r="BH367" s="34"/>
      <c r="BI367" s="36"/>
    </row>
    <row r="368" spans="60:61" x14ac:dyDescent="0.2">
      <c r="BH368" s="34"/>
      <c r="BI368" s="36"/>
    </row>
    <row r="369" spans="60:61" x14ac:dyDescent="0.2">
      <c r="BH369" s="34"/>
      <c r="BI369" s="36"/>
    </row>
    <row r="370" spans="60:61" x14ac:dyDescent="0.2">
      <c r="BH370" s="34"/>
      <c r="BI370" s="36"/>
    </row>
    <row r="371" spans="60:61" x14ac:dyDescent="0.2">
      <c r="BH371" s="34"/>
      <c r="BI371" s="36"/>
    </row>
    <row r="372" spans="60:61" x14ac:dyDescent="0.2">
      <c r="BH372" s="34"/>
      <c r="BI372" s="36"/>
    </row>
    <row r="373" spans="60:61" x14ac:dyDescent="0.2">
      <c r="BH373" s="34"/>
      <c r="BI373" s="36"/>
    </row>
    <row r="374" spans="60:61" x14ac:dyDescent="0.2">
      <c r="BH374" s="34"/>
      <c r="BI374" s="36"/>
    </row>
    <row r="375" spans="60:61" x14ac:dyDescent="0.2">
      <c r="BH375" s="34"/>
      <c r="BI375" s="36"/>
    </row>
    <row r="376" spans="60:61" x14ac:dyDescent="0.2">
      <c r="BH376" s="34"/>
      <c r="BI376" s="36"/>
    </row>
    <row r="377" spans="60:61" x14ac:dyDescent="0.2">
      <c r="BH377" s="34"/>
      <c r="BI377" s="36"/>
    </row>
    <row r="378" spans="60:61" x14ac:dyDescent="0.2">
      <c r="BH378" s="34"/>
      <c r="BI378" s="36"/>
    </row>
    <row r="379" spans="60:61" x14ac:dyDescent="0.2">
      <c r="BH379" s="34"/>
      <c r="BI379" s="36"/>
    </row>
    <row r="380" spans="60:61" x14ac:dyDescent="0.2">
      <c r="BH380" s="34"/>
      <c r="BI380" s="36"/>
    </row>
    <row r="381" spans="60:61" x14ac:dyDescent="0.2">
      <c r="BH381" s="34"/>
      <c r="BI381" s="36"/>
    </row>
    <row r="382" spans="60:61" x14ac:dyDescent="0.2">
      <c r="BH382" s="34"/>
      <c r="BI382" s="36"/>
    </row>
    <row r="383" spans="60:61" x14ac:dyDescent="0.2">
      <c r="BH383" s="34"/>
      <c r="BI383" s="36"/>
    </row>
    <row r="384" spans="60:61" x14ac:dyDescent="0.2">
      <c r="BH384" s="34"/>
      <c r="BI384" s="36"/>
    </row>
    <row r="385" spans="60:61" x14ac:dyDescent="0.2">
      <c r="BH385" s="34"/>
      <c r="BI385" s="36"/>
    </row>
    <row r="386" spans="60:61" x14ac:dyDescent="0.2">
      <c r="BH386" s="34"/>
      <c r="BI386" s="36"/>
    </row>
    <row r="387" spans="60:61" x14ac:dyDescent="0.2">
      <c r="BH387" s="34"/>
      <c r="BI387" s="36"/>
    </row>
    <row r="388" spans="60:61" x14ac:dyDescent="0.2">
      <c r="BH388" s="34"/>
      <c r="BI388" s="36"/>
    </row>
    <row r="389" spans="60:61" x14ac:dyDescent="0.2">
      <c r="BH389" s="34"/>
      <c r="BI389" s="36"/>
    </row>
    <row r="390" spans="60:61" x14ac:dyDescent="0.2">
      <c r="BH390" s="34"/>
      <c r="BI390" s="36"/>
    </row>
    <row r="391" spans="60:61" x14ac:dyDescent="0.2">
      <c r="BH391" s="34"/>
      <c r="BI391" s="36"/>
    </row>
    <row r="392" spans="60:61" x14ac:dyDescent="0.2">
      <c r="BH392" s="34"/>
      <c r="BI392" s="36"/>
    </row>
    <row r="393" spans="60:61" x14ac:dyDescent="0.2">
      <c r="BH393" s="34"/>
      <c r="BI393" s="36"/>
    </row>
    <row r="394" spans="60:61" x14ac:dyDescent="0.2">
      <c r="BH394" s="34"/>
      <c r="BI394" s="36"/>
    </row>
    <row r="395" spans="60:61" x14ac:dyDescent="0.2">
      <c r="BH395" s="34"/>
      <c r="BI395" s="36"/>
    </row>
    <row r="396" spans="60:61" x14ac:dyDescent="0.2">
      <c r="BH396" s="34"/>
      <c r="BI396" s="36"/>
    </row>
    <row r="397" spans="60:61" x14ac:dyDescent="0.2">
      <c r="BH397" s="34"/>
      <c r="BI397" s="36"/>
    </row>
    <row r="398" spans="60:61" x14ac:dyDescent="0.2">
      <c r="BH398" s="34"/>
      <c r="BI398" s="36"/>
    </row>
    <row r="399" spans="60:61" x14ac:dyDescent="0.2">
      <c r="BH399" s="34"/>
      <c r="BI399" s="36"/>
    </row>
    <row r="400" spans="60:61" x14ac:dyDescent="0.2">
      <c r="BH400" s="34"/>
      <c r="BI400" s="36"/>
    </row>
    <row r="401" spans="60:61" x14ac:dyDescent="0.2">
      <c r="BH401" s="34"/>
      <c r="BI401" s="36"/>
    </row>
    <row r="402" spans="60:61" x14ac:dyDescent="0.2">
      <c r="BH402" s="34"/>
      <c r="BI402" s="36"/>
    </row>
    <row r="403" spans="60:61" x14ac:dyDescent="0.2">
      <c r="BH403" s="34"/>
      <c r="BI403" s="36"/>
    </row>
    <row r="404" spans="60:61" x14ac:dyDescent="0.2">
      <c r="BH404" s="34"/>
      <c r="BI404" s="36"/>
    </row>
    <row r="405" spans="60:61" x14ac:dyDescent="0.2">
      <c r="BH405" s="34"/>
      <c r="BI405" s="36"/>
    </row>
    <row r="406" spans="60:61" x14ac:dyDescent="0.2">
      <c r="BH406" s="34"/>
      <c r="BI406" s="36"/>
    </row>
    <row r="407" spans="60:61" x14ac:dyDescent="0.2">
      <c r="BH407" s="34"/>
      <c r="BI407" s="36"/>
    </row>
    <row r="408" spans="60:61" x14ac:dyDescent="0.2">
      <c r="BH408" s="34"/>
      <c r="BI408" s="36"/>
    </row>
    <row r="409" spans="60:61" x14ac:dyDescent="0.2">
      <c r="BH409" s="34"/>
      <c r="BI409" s="36"/>
    </row>
    <row r="410" spans="60:61" x14ac:dyDescent="0.2">
      <c r="BH410" s="34"/>
      <c r="BI410" s="36"/>
    </row>
    <row r="411" spans="60:61" x14ac:dyDescent="0.2">
      <c r="BH411" s="34"/>
      <c r="BI411" s="36"/>
    </row>
    <row r="412" spans="60:61" x14ac:dyDescent="0.2">
      <c r="BH412" s="34"/>
      <c r="BI412" s="36"/>
    </row>
    <row r="413" spans="60:61" x14ac:dyDescent="0.2">
      <c r="BH413" s="34"/>
      <c r="BI413" s="36"/>
    </row>
    <row r="414" spans="60:61" x14ac:dyDescent="0.2">
      <c r="BH414" s="34"/>
      <c r="BI414" s="36"/>
    </row>
    <row r="415" spans="60:61" x14ac:dyDescent="0.2">
      <c r="BH415" s="34"/>
      <c r="BI415" s="36"/>
    </row>
    <row r="416" spans="60:61" x14ac:dyDescent="0.2">
      <c r="BH416" s="34"/>
      <c r="BI416" s="36"/>
    </row>
    <row r="417" spans="60:61" x14ac:dyDescent="0.2">
      <c r="BH417" s="34"/>
      <c r="BI417" s="36"/>
    </row>
    <row r="418" spans="60:61" x14ac:dyDescent="0.2">
      <c r="BH418" s="34"/>
      <c r="BI418" s="36"/>
    </row>
    <row r="419" spans="60:61" x14ac:dyDescent="0.2">
      <c r="BH419" s="34"/>
      <c r="BI419" s="36"/>
    </row>
    <row r="420" spans="60:61" x14ac:dyDescent="0.2">
      <c r="BH420" s="34"/>
      <c r="BI420" s="36"/>
    </row>
    <row r="421" spans="60:61" x14ac:dyDescent="0.2">
      <c r="BH421" s="34"/>
      <c r="BI421" s="36"/>
    </row>
    <row r="422" spans="60:61" x14ac:dyDescent="0.2">
      <c r="BH422" s="34"/>
      <c r="BI422" s="36"/>
    </row>
    <row r="423" spans="60:61" x14ac:dyDescent="0.2">
      <c r="BH423" s="34"/>
      <c r="BI423" s="36"/>
    </row>
    <row r="424" spans="60:61" x14ac:dyDescent="0.2">
      <c r="BH424" s="34"/>
      <c r="BI424" s="36"/>
    </row>
    <row r="425" spans="60:61" x14ac:dyDescent="0.2">
      <c r="BH425" s="34"/>
      <c r="BI425" s="36"/>
    </row>
    <row r="426" spans="60:61" x14ac:dyDescent="0.2">
      <c r="BH426" s="34"/>
      <c r="BI426" s="36"/>
    </row>
    <row r="427" spans="60:61" x14ac:dyDescent="0.2">
      <c r="BH427" s="34"/>
      <c r="BI427" s="36"/>
    </row>
    <row r="428" spans="60:61" x14ac:dyDescent="0.2">
      <c r="BH428" s="34"/>
      <c r="BI428" s="36"/>
    </row>
    <row r="429" spans="60:61" x14ac:dyDescent="0.2">
      <c r="BH429" s="34"/>
      <c r="BI429" s="36"/>
    </row>
    <row r="430" spans="60:61" x14ac:dyDescent="0.2">
      <c r="BH430" s="34"/>
      <c r="BI430" s="36"/>
    </row>
    <row r="431" spans="60:61" x14ac:dyDescent="0.2">
      <c r="BH431" s="34"/>
      <c r="BI431" s="36"/>
    </row>
    <row r="432" spans="60:61" x14ac:dyDescent="0.2">
      <c r="BH432" s="34"/>
      <c r="BI432" s="36"/>
    </row>
    <row r="433" spans="60:61" x14ac:dyDescent="0.2">
      <c r="BH433" s="34"/>
      <c r="BI433" s="36"/>
    </row>
    <row r="434" spans="60:61" x14ac:dyDescent="0.2">
      <c r="BH434" s="34"/>
      <c r="BI434" s="36"/>
    </row>
    <row r="435" spans="60:61" x14ac:dyDescent="0.2">
      <c r="BH435" s="34"/>
      <c r="BI435" s="36"/>
    </row>
    <row r="436" spans="60:61" x14ac:dyDescent="0.2">
      <c r="BH436" s="34"/>
      <c r="BI436" s="36"/>
    </row>
    <row r="437" spans="60:61" x14ac:dyDescent="0.2">
      <c r="BH437" s="34"/>
      <c r="BI437" s="36"/>
    </row>
    <row r="438" spans="60:61" x14ac:dyDescent="0.2">
      <c r="BH438" s="34"/>
      <c r="BI438" s="36"/>
    </row>
    <row r="439" spans="60:61" x14ac:dyDescent="0.2">
      <c r="BH439" s="34"/>
      <c r="BI439" s="36"/>
    </row>
    <row r="440" spans="60:61" x14ac:dyDescent="0.2">
      <c r="BH440" s="34"/>
      <c r="BI440" s="36"/>
    </row>
    <row r="441" spans="60:61" x14ac:dyDescent="0.2">
      <c r="BH441" s="34"/>
      <c r="BI441" s="36"/>
    </row>
    <row r="442" spans="60:61" x14ac:dyDescent="0.2">
      <c r="BH442" s="34"/>
      <c r="BI442" s="36"/>
    </row>
    <row r="443" spans="60:61" x14ac:dyDescent="0.2">
      <c r="BH443" s="34"/>
      <c r="BI443" s="36"/>
    </row>
    <row r="444" spans="60:61" x14ac:dyDescent="0.2">
      <c r="BH444" s="34"/>
      <c r="BI444" s="36"/>
    </row>
    <row r="445" spans="60:61" x14ac:dyDescent="0.2">
      <c r="BH445" s="34"/>
      <c r="BI445" s="36"/>
    </row>
    <row r="446" spans="60:61" x14ac:dyDescent="0.2">
      <c r="BH446" s="34"/>
      <c r="BI446" s="36"/>
    </row>
    <row r="447" spans="60:61" x14ac:dyDescent="0.2">
      <c r="BH447" s="34"/>
      <c r="BI447" s="36"/>
    </row>
    <row r="448" spans="60:61" x14ac:dyDescent="0.2">
      <c r="BH448" s="34"/>
      <c r="BI448" s="36"/>
    </row>
    <row r="449" spans="60:61" x14ac:dyDescent="0.2">
      <c r="BH449" s="34"/>
      <c r="BI449" s="36"/>
    </row>
    <row r="450" spans="60:61" x14ac:dyDescent="0.2">
      <c r="BH450" s="34"/>
      <c r="BI450" s="36"/>
    </row>
    <row r="451" spans="60:61" x14ac:dyDescent="0.2">
      <c r="BH451" s="34"/>
      <c r="BI451" s="36"/>
    </row>
    <row r="452" spans="60:61" x14ac:dyDescent="0.2">
      <c r="BH452" s="34"/>
      <c r="BI452" s="36"/>
    </row>
    <row r="453" spans="60:61" x14ac:dyDescent="0.2">
      <c r="BH453" s="34"/>
      <c r="BI453" s="36"/>
    </row>
    <row r="454" spans="60:61" x14ac:dyDescent="0.2">
      <c r="BH454" s="34"/>
      <c r="BI454" s="36"/>
    </row>
    <row r="455" spans="60:61" x14ac:dyDescent="0.2">
      <c r="BH455" s="34"/>
      <c r="BI455" s="36"/>
    </row>
    <row r="456" spans="60:61" x14ac:dyDescent="0.2">
      <c r="BH456" s="34"/>
      <c r="BI456" s="36"/>
    </row>
    <row r="457" spans="60:61" x14ac:dyDescent="0.2">
      <c r="BH457" s="34"/>
      <c r="BI457" s="36"/>
    </row>
    <row r="458" spans="60:61" x14ac:dyDescent="0.2">
      <c r="BH458" s="34"/>
      <c r="BI458" s="36"/>
    </row>
    <row r="459" spans="60:61" x14ac:dyDescent="0.2">
      <c r="BH459" s="34"/>
      <c r="BI459" s="36"/>
    </row>
    <row r="460" spans="60:61" x14ac:dyDescent="0.2">
      <c r="BH460" s="34"/>
      <c r="BI460" s="36"/>
    </row>
    <row r="461" spans="60:61" x14ac:dyDescent="0.2">
      <c r="BH461" s="34"/>
      <c r="BI461" s="36"/>
    </row>
    <row r="462" spans="60:61" x14ac:dyDescent="0.2">
      <c r="BH462" s="34"/>
      <c r="BI462" s="36"/>
    </row>
    <row r="463" spans="60:61" x14ac:dyDescent="0.2">
      <c r="BH463" s="34"/>
      <c r="BI463" s="36"/>
    </row>
    <row r="464" spans="60:61" x14ac:dyDescent="0.2">
      <c r="BH464" s="34"/>
      <c r="BI464" s="36"/>
    </row>
    <row r="465" spans="60:61" x14ac:dyDescent="0.2">
      <c r="BH465" s="34"/>
      <c r="BI465" s="36"/>
    </row>
    <row r="466" spans="60:61" x14ac:dyDescent="0.2">
      <c r="BH466" s="34"/>
      <c r="BI466" s="36"/>
    </row>
    <row r="467" spans="60:61" x14ac:dyDescent="0.2">
      <c r="BH467" s="34"/>
      <c r="BI467" s="36"/>
    </row>
    <row r="468" spans="60:61" x14ac:dyDescent="0.2">
      <c r="BH468" s="34"/>
      <c r="BI468" s="36"/>
    </row>
    <row r="469" spans="60:61" x14ac:dyDescent="0.2">
      <c r="BH469" s="34"/>
      <c r="BI469" s="36"/>
    </row>
    <row r="470" spans="60:61" x14ac:dyDescent="0.2">
      <c r="BH470" s="34"/>
      <c r="BI470" s="36"/>
    </row>
    <row r="471" spans="60:61" x14ac:dyDescent="0.2">
      <c r="BH471" s="34"/>
      <c r="BI471" s="36"/>
    </row>
    <row r="472" spans="60:61" x14ac:dyDescent="0.2">
      <c r="BH472" s="34"/>
      <c r="BI472" s="36"/>
    </row>
    <row r="473" spans="60:61" x14ac:dyDescent="0.2">
      <c r="BH473" s="34"/>
      <c r="BI473" s="36"/>
    </row>
    <row r="474" spans="60:61" x14ac:dyDescent="0.2">
      <c r="BH474" s="34"/>
      <c r="BI474" s="36"/>
    </row>
    <row r="475" spans="60:61" x14ac:dyDescent="0.2">
      <c r="BH475" s="34"/>
      <c r="BI475" s="36"/>
    </row>
    <row r="476" spans="60:61" x14ac:dyDescent="0.2">
      <c r="BH476" s="34"/>
      <c r="BI476" s="36"/>
    </row>
    <row r="477" spans="60:61" x14ac:dyDescent="0.2">
      <c r="BH477" s="34"/>
      <c r="BI477" s="36"/>
    </row>
    <row r="478" spans="60:61" x14ac:dyDescent="0.2">
      <c r="BH478" s="34"/>
      <c r="BI478" s="36"/>
    </row>
    <row r="479" spans="60:61" x14ac:dyDescent="0.2">
      <c r="BH479" s="34"/>
      <c r="BI479" s="36"/>
    </row>
    <row r="480" spans="60:61" x14ac:dyDescent="0.2">
      <c r="BH480" s="34"/>
      <c r="BI480" s="36"/>
    </row>
    <row r="481" spans="60:61" x14ac:dyDescent="0.2">
      <c r="BH481" s="34"/>
      <c r="BI481" s="36"/>
    </row>
    <row r="482" spans="60:61" x14ac:dyDescent="0.2">
      <c r="BH482" s="34"/>
      <c r="BI482" s="36"/>
    </row>
    <row r="483" spans="60:61" x14ac:dyDescent="0.2">
      <c r="BH483" s="34"/>
      <c r="BI483" s="36"/>
    </row>
    <row r="484" spans="60:61" x14ac:dyDescent="0.2">
      <c r="BH484" s="34"/>
      <c r="BI484" s="36"/>
    </row>
    <row r="485" spans="60:61" x14ac:dyDescent="0.2">
      <c r="BH485" s="34"/>
      <c r="BI485" s="36"/>
    </row>
    <row r="486" spans="60:61" x14ac:dyDescent="0.2">
      <c r="BH486" s="34"/>
      <c r="BI486" s="36"/>
    </row>
    <row r="487" spans="60:61" x14ac:dyDescent="0.2">
      <c r="BH487" s="34"/>
      <c r="BI487" s="36"/>
    </row>
    <row r="488" spans="60:61" x14ac:dyDescent="0.2">
      <c r="BH488" s="34"/>
      <c r="BI488" s="36"/>
    </row>
    <row r="489" spans="60:61" x14ac:dyDescent="0.2">
      <c r="BH489" s="34"/>
      <c r="BI489" s="36"/>
    </row>
    <row r="490" spans="60:61" x14ac:dyDescent="0.2">
      <c r="BH490" s="34"/>
      <c r="BI490" s="36"/>
    </row>
    <row r="491" spans="60:61" x14ac:dyDescent="0.2">
      <c r="BH491" s="34"/>
      <c r="BI491" s="36"/>
    </row>
    <row r="492" spans="60:61" x14ac:dyDescent="0.2">
      <c r="BH492" s="34"/>
      <c r="BI492" s="36"/>
    </row>
    <row r="493" spans="60:61" x14ac:dyDescent="0.2">
      <c r="BH493" s="34"/>
      <c r="BI493" s="36"/>
    </row>
    <row r="494" spans="60:61" x14ac:dyDescent="0.2">
      <c r="BH494" s="34"/>
      <c r="BI494" s="36"/>
    </row>
    <row r="495" spans="60:61" x14ac:dyDescent="0.2">
      <c r="BH495" s="34"/>
      <c r="BI495" s="36"/>
    </row>
    <row r="496" spans="60:61" x14ac:dyDescent="0.2">
      <c r="BH496" s="34"/>
      <c r="BI496" s="36"/>
    </row>
    <row r="497" spans="60:61" x14ac:dyDescent="0.2">
      <c r="BH497" s="34"/>
      <c r="BI497" s="36"/>
    </row>
    <row r="498" spans="60:61" x14ac:dyDescent="0.2">
      <c r="BH498" s="34"/>
      <c r="BI498" s="36"/>
    </row>
    <row r="499" spans="60:61" x14ac:dyDescent="0.2">
      <c r="BH499" s="34"/>
      <c r="BI499" s="36"/>
    </row>
    <row r="500" spans="60:61" x14ac:dyDescent="0.2">
      <c r="BH500" s="34"/>
      <c r="BI500" s="36"/>
    </row>
    <row r="501" spans="60:61" x14ac:dyDescent="0.2">
      <c r="BH501" s="34"/>
      <c r="BI501" s="36"/>
    </row>
    <row r="502" spans="60:61" x14ac:dyDescent="0.2">
      <c r="BH502" s="34"/>
      <c r="BI502" s="36"/>
    </row>
    <row r="503" spans="60:61" x14ac:dyDescent="0.2">
      <c r="BH503" s="34"/>
      <c r="BI503" s="36"/>
    </row>
    <row r="504" spans="60:61" x14ac:dyDescent="0.2">
      <c r="BH504" s="34"/>
      <c r="BI504" s="36"/>
    </row>
    <row r="505" spans="60:61" x14ac:dyDescent="0.2">
      <c r="BH505" s="34"/>
      <c r="BI505" s="36"/>
    </row>
    <row r="506" spans="60:61" x14ac:dyDescent="0.2">
      <c r="BH506" s="34"/>
      <c r="BI506" s="36"/>
    </row>
    <row r="507" spans="60:61" x14ac:dyDescent="0.2">
      <c r="BH507" s="34"/>
      <c r="BI507" s="36"/>
    </row>
    <row r="508" spans="60:61" x14ac:dyDescent="0.2">
      <c r="BH508" s="34"/>
      <c r="BI508" s="36"/>
    </row>
    <row r="509" spans="60:61" x14ac:dyDescent="0.2">
      <c r="BH509" s="34"/>
      <c r="BI509" s="36"/>
    </row>
    <row r="510" spans="60:61" x14ac:dyDescent="0.2">
      <c r="BH510" s="34"/>
      <c r="BI510" s="36"/>
    </row>
    <row r="511" spans="60:61" x14ac:dyDescent="0.2">
      <c r="BH511" s="34"/>
      <c r="BI511" s="36"/>
    </row>
    <row r="512" spans="60:61" x14ac:dyDescent="0.2">
      <c r="BH512" s="34"/>
      <c r="BI512" s="36"/>
    </row>
    <row r="513" spans="60:61" x14ac:dyDescent="0.2">
      <c r="BH513" s="34"/>
      <c r="BI513" s="36"/>
    </row>
    <row r="514" spans="60:61" x14ac:dyDescent="0.2">
      <c r="BH514" s="34"/>
      <c r="BI514" s="36"/>
    </row>
    <row r="515" spans="60:61" x14ac:dyDescent="0.2">
      <c r="BH515" s="34"/>
      <c r="BI515" s="36"/>
    </row>
    <row r="516" spans="60:61" x14ac:dyDescent="0.2">
      <c r="BH516" s="34"/>
      <c r="BI516" s="36"/>
    </row>
    <row r="517" spans="60:61" x14ac:dyDescent="0.2">
      <c r="BH517" s="34"/>
      <c r="BI517" s="36"/>
    </row>
    <row r="518" spans="60:61" x14ac:dyDescent="0.2">
      <c r="BH518" s="34"/>
      <c r="BI518" s="36"/>
    </row>
    <row r="519" spans="60:61" x14ac:dyDescent="0.2">
      <c r="BH519" s="34"/>
      <c r="BI519" s="36"/>
    </row>
    <row r="520" spans="60:61" x14ac:dyDescent="0.2">
      <c r="BH520" s="34"/>
      <c r="BI520" s="36"/>
    </row>
    <row r="521" spans="60:61" x14ac:dyDescent="0.2">
      <c r="BH521" s="34"/>
      <c r="BI521" s="36"/>
    </row>
    <row r="522" spans="60:61" x14ac:dyDescent="0.2">
      <c r="BH522" s="34"/>
      <c r="BI522" s="36"/>
    </row>
    <row r="523" spans="60:61" x14ac:dyDescent="0.2">
      <c r="BH523" s="34"/>
      <c r="BI523" s="36"/>
    </row>
    <row r="524" spans="60:61" x14ac:dyDescent="0.2">
      <c r="BH524" s="34"/>
      <c r="BI524" s="36"/>
    </row>
    <row r="525" spans="60:61" x14ac:dyDescent="0.2">
      <c r="BH525" s="34"/>
      <c r="BI525" s="36"/>
    </row>
    <row r="526" spans="60:61" x14ac:dyDescent="0.2">
      <c r="BH526" s="34"/>
      <c r="BI526" s="36"/>
    </row>
    <row r="527" spans="60:61" x14ac:dyDescent="0.2">
      <c r="BH527" s="34"/>
      <c r="BI527" s="36"/>
    </row>
    <row r="528" spans="60:61" x14ac:dyDescent="0.2">
      <c r="BH528" s="34"/>
      <c r="BI528" s="36"/>
    </row>
    <row r="529" spans="60:61" x14ac:dyDescent="0.2">
      <c r="BH529" s="34"/>
      <c r="BI529" s="36"/>
    </row>
    <row r="530" spans="60:61" x14ac:dyDescent="0.2">
      <c r="BH530" s="34"/>
      <c r="BI530" s="36"/>
    </row>
    <row r="531" spans="60:61" x14ac:dyDescent="0.2">
      <c r="BH531" s="34"/>
      <c r="BI531" s="36"/>
    </row>
    <row r="532" spans="60:61" x14ac:dyDescent="0.2">
      <c r="BH532" s="34"/>
      <c r="BI532" s="36"/>
    </row>
    <row r="533" spans="60:61" x14ac:dyDescent="0.2">
      <c r="BH533" s="34"/>
      <c r="BI533" s="36"/>
    </row>
    <row r="534" spans="60:61" x14ac:dyDescent="0.2">
      <c r="BH534" s="34"/>
      <c r="BI534" s="36"/>
    </row>
    <row r="535" spans="60:61" x14ac:dyDescent="0.2">
      <c r="BH535" s="34"/>
      <c r="BI535" s="36"/>
    </row>
    <row r="536" spans="60:61" x14ac:dyDescent="0.2">
      <c r="BH536" s="34"/>
      <c r="BI536" s="36"/>
    </row>
    <row r="537" spans="60:61" x14ac:dyDescent="0.2">
      <c r="BH537" s="34"/>
      <c r="BI537" s="36"/>
    </row>
    <row r="538" spans="60:61" x14ac:dyDescent="0.2">
      <c r="BH538" s="34"/>
      <c r="BI538" s="36"/>
    </row>
    <row r="539" spans="60:61" x14ac:dyDescent="0.2">
      <c r="BH539" s="34"/>
      <c r="BI539" s="36"/>
    </row>
    <row r="540" spans="60:61" x14ac:dyDescent="0.2">
      <c r="BH540" s="34"/>
      <c r="BI540" s="36"/>
    </row>
    <row r="541" spans="60:61" x14ac:dyDescent="0.2">
      <c r="BH541" s="34"/>
      <c r="BI541" s="36"/>
    </row>
    <row r="542" spans="60:61" x14ac:dyDescent="0.2">
      <c r="BH542" s="34"/>
      <c r="BI542" s="36"/>
    </row>
    <row r="543" spans="60:61" x14ac:dyDescent="0.2">
      <c r="BH543" s="34"/>
      <c r="BI543" s="36"/>
    </row>
    <row r="544" spans="60:61" x14ac:dyDescent="0.2">
      <c r="BH544" s="34"/>
      <c r="BI544" s="36"/>
    </row>
    <row r="545" spans="60:61" x14ac:dyDescent="0.2">
      <c r="BH545" s="34"/>
      <c r="BI545" s="36"/>
    </row>
    <row r="546" spans="60:61" x14ac:dyDescent="0.2">
      <c r="BH546" s="34"/>
      <c r="BI546" s="36"/>
    </row>
    <row r="547" spans="60:61" x14ac:dyDescent="0.2">
      <c r="BH547" s="34"/>
      <c r="BI547" s="36"/>
    </row>
    <row r="548" spans="60:61" x14ac:dyDescent="0.2">
      <c r="BH548" s="34"/>
      <c r="BI548" s="36"/>
    </row>
    <row r="549" spans="60:61" x14ac:dyDescent="0.2">
      <c r="BH549" s="34"/>
      <c r="BI549" s="36"/>
    </row>
    <row r="550" spans="60:61" x14ac:dyDescent="0.2">
      <c r="BH550" s="34"/>
      <c r="BI550" s="36"/>
    </row>
    <row r="551" spans="60:61" x14ac:dyDescent="0.2">
      <c r="BH551" s="34"/>
      <c r="BI551" s="36"/>
    </row>
    <row r="552" spans="60:61" x14ac:dyDescent="0.2">
      <c r="BH552" s="34"/>
      <c r="BI552" s="36"/>
    </row>
    <row r="553" spans="60:61" x14ac:dyDescent="0.2">
      <c r="BH553" s="34"/>
      <c r="BI553" s="36"/>
    </row>
    <row r="554" spans="60:61" x14ac:dyDescent="0.2">
      <c r="BH554" s="34"/>
      <c r="BI554" s="36"/>
    </row>
    <row r="555" spans="60:61" x14ac:dyDescent="0.2">
      <c r="BH555" s="34"/>
      <c r="BI555" s="36"/>
    </row>
    <row r="556" spans="60:61" x14ac:dyDescent="0.2">
      <c r="BH556" s="34"/>
      <c r="BI556" s="36"/>
    </row>
    <row r="557" spans="60:61" x14ac:dyDescent="0.2">
      <c r="BH557" s="34"/>
      <c r="BI557" s="36"/>
    </row>
    <row r="558" spans="60:61" x14ac:dyDescent="0.2">
      <c r="BH558" s="34"/>
      <c r="BI558" s="36"/>
    </row>
    <row r="559" spans="60:61" x14ac:dyDescent="0.2">
      <c r="BH559" s="34"/>
      <c r="BI559" s="36"/>
    </row>
    <row r="560" spans="60:61" x14ac:dyDescent="0.2">
      <c r="BH560" s="34"/>
      <c r="BI560" s="36"/>
    </row>
    <row r="561" spans="60:61" x14ac:dyDescent="0.2">
      <c r="BH561" s="34"/>
      <c r="BI561" s="36"/>
    </row>
    <row r="562" spans="60:61" x14ac:dyDescent="0.2">
      <c r="BH562" s="34"/>
      <c r="BI562" s="36"/>
    </row>
    <row r="563" spans="60:61" x14ac:dyDescent="0.2">
      <c r="BH563" s="34"/>
      <c r="BI563" s="36"/>
    </row>
    <row r="564" spans="60:61" x14ac:dyDescent="0.2">
      <c r="BH564" s="34"/>
      <c r="BI564" s="36"/>
    </row>
    <row r="565" spans="60:61" x14ac:dyDescent="0.2">
      <c r="BH565" s="34"/>
      <c r="BI565" s="36"/>
    </row>
    <row r="566" spans="60:61" x14ac:dyDescent="0.2">
      <c r="BH566" s="34"/>
      <c r="BI566" s="36"/>
    </row>
    <row r="567" spans="60:61" x14ac:dyDescent="0.2">
      <c r="BH567" s="34"/>
      <c r="BI567" s="36"/>
    </row>
    <row r="568" spans="60:61" x14ac:dyDescent="0.2">
      <c r="BH568" s="34"/>
      <c r="BI568" s="36"/>
    </row>
    <row r="569" spans="60:61" x14ac:dyDescent="0.2">
      <c r="BH569" s="34"/>
      <c r="BI569" s="36"/>
    </row>
    <row r="570" spans="60:61" x14ac:dyDescent="0.2">
      <c r="BH570" s="34"/>
      <c r="BI570" s="36"/>
    </row>
    <row r="571" spans="60:61" x14ac:dyDescent="0.2">
      <c r="BH571" s="34"/>
      <c r="BI571" s="36"/>
    </row>
    <row r="572" spans="60:61" x14ac:dyDescent="0.2">
      <c r="BH572" s="34"/>
      <c r="BI572" s="36"/>
    </row>
    <row r="573" spans="60:61" x14ac:dyDescent="0.2">
      <c r="BH573" s="34"/>
      <c r="BI573" s="36"/>
    </row>
    <row r="574" spans="60:61" x14ac:dyDescent="0.2">
      <c r="BH574" s="34"/>
      <c r="BI574" s="36"/>
    </row>
    <row r="575" spans="60:61" x14ac:dyDescent="0.2">
      <c r="BH575" s="34"/>
      <c r="BI575" s="36"/>
    </row>
    <row r="576" spans="60:61" x14ac:dyDescent="0.2">
      <c r="BH576" s="34"/>
      <c r="BI576" s="36"/>
    </row>
    <row r="577" spans="60:61" x14ac:dyDescent="0.2">
      <c r="BH577" s="34"/>
      <c r="BI577" s="36"/>
    </row>
    <row r="578" spans="60:61" x14ac:dyDescent="0.2">
      <c r="BH578" s="34"/>
      <c r="BI578" s="36"/>
    </row>
    <row r="579" spans="60:61" x14ac:dyDescent="0.2">
      <c r="BH579" s="34"/>
      <c r="BI579" s="36"/>
    </row>
    <row r="580" spans="60:61" x14ac:dyDescent="0.2">
      <c r="BH580" s="34"/>
      <c r="BI580" s="36"/>
    </row>
    <row r="581" spans="60:61" x14ac:dyDescent="0.2">
      <c r="BH581" s="34"/>
      <c r="BI581" s="36"/>
    </row>
    <row r="582" spans="60:61" x14ac:dyDescent="0.2">
      <c r="BH582" s="34"/>
      <c r="BI582" s="36"/>
    </row>
    <row r="583" spans="60:61" x14ac:dyDescent="0.2">
      <c r="BH583" s="34"/>
      <c r="BI583" s="36"/>
    </row>
    <row r="584" spans="60:61" x14ac:dyDescent="0.2">
      <c r="BH584" s="34"/>
      <c r="BI584" s="36"/>
    </row>
    <row r="585" spans="60:61" x14ac:dyDescent="0.2">
      <c r="BH585" s="34"/>
      <c r="BI585" s="36"/>
    </row>
    <row r="586" spans="60:61" x14ac:dyDescent="0.2">
      <c r="BH586" s="34"/>
      <c r="BI586" s="36"/>
    </row>
    <row r="587" spans="60:61" x14ac:dyDescent="0.2">
      <c r="BH587" s="34"/>
      <c r="BI587" s="36"/>
    </row>
    <row r="588" spans="60:61" x14ac:dyDescent="0.2">
      <c r="BH588" s="34"/>
      <c r="BI588" s="36"/>
    </row>
    <row r="589" spans="60:61" x14ac:dyDescent="0.2">
      <c r="BH589" s="34"/>
      <c r="BI589" s="36"/>
    </row>
    <row r="590" spans="60:61" x14ac:dyDescent="0.2">
      <c r="BH590" s="34"/>
      <c r="BI590" s="36"/>
    </row>
    <row r="591" spans="60:61" x14ac:dyDescent="0.2">
      <c r="BH591" s="34"/>
      <c r="BI591" s="36"/>
    </row>
    <row r="592" spans="60:61" x14ac:dyDescent="0.2">
      <c r="BH592" s="34"/>
      <c r="BI592" s="36"/>
    </row>
    <row r="593" spans="60:61" x14ac:dyDescent="0.2">
      <c r="BH593" s="34"/>
      <c r="BI593" s="36"/>
    </row>
    <row r="594" spans="60:61" x14ac:dyDescent="0.2">
      <c r="BH594" s="34"/>
      <c r="BI594" s="36"/>
    </row>
    <row r="595" spans="60:61" x14ac:dyDescent="0.2">
      <c r="BH595" s="34"/>
      <c r="BI595" s="36"/>
    </row>
    <row r="596" spans="60:61" x14ac:dyDescent="0.2">
      <c r="BH596" s="34"/>
      <c r="BI596" s="36"/>
    </row>
    <row r="597" spans="60:61" x14ac:dyDescent="0.2">
      <c r="BH597" s="34"/>
      <c r="BI597" s="36"/>
    </row>
    <row r="598" spans="60:61" x14ac:dyDescent="0.2">
      <c r="BH598" s="34"/>
      <c r="BI598" s="36"/>
    </row>
    <row r="599" spans="60:61" x14ac:dyDescent="0.2">
      <c r="BH599" s="34"/>
      <c r="BI599" s="36"/>
    </row>
    <row r="600" spans="60:61" x14ac:dyDescent="0.2">
      <c r="BH600" s="34"/>
      <c r="BI600" s="36"/>
    </row>
    <row r="601" spans="60:61" x14ac:dyDescent="0.2">
      <c r="BH601" s="34"/>
      <c r="BI601" s="36"/>
    </row>
    <row r="602" spans="60:61" x14ac:dyDescent="0.2">
      <c r="BH602" s="34"/>
      <c r="BI602" s="36"/>
    </row>
    <row r="603" spans="60:61" x14ac:dyDescent="0.2">
      <c r="BH603" s="34"/>
      <c r="BI603" s="36"/>
    </row>
    <row r="604" spans="60:61" x14ac:dyDescent="0.2">
      <c r="BH604" s="34"/>
      <c r="BI604" s="36"/>
    </row>
    <row r="605" spans="60:61" x14ac:dyDescent="0.2">
      <c r="BH605" s="34"/>
      <c r="BI605" s="36"/>
    </row>
    <row r="606" spans="60:61" x14ac:dyDescent="0.2">
      <c r="BH606" s="34"/>
      <c r="BI606" s="36"/>
    </row>
    <row r="607" spans="60:61" x14ac:dyDescent="0.2">
      <c r="BH607" s="34"/>
      <c r="BI607" s="36"/>
    </row>
    <row r="608" spans="60:61" x14ac:dyDescent="0.2">
      <c r="BH608" s="34"/>
      <c r="BI608" s="36"/>
    </row>
    <row r="609" spans="60:61" x14ac:dyDescent="0.2">
      <c r="BH609" s="34"/>
      <c r="BI609" s="36"/>
    </row>
    <row r="610" spans="60:61" x14ac:dyDescent="0.2">
      <c r="BH610" s="34"/>
      <c r="BI610" s="36"/>
    </row>
    <row r="611" spans="60:61" x14ac:dyDescent="0.2">
      <c r="BH611" s="34"/>
      <c r="BI611" s="36"/>
    </row>
    <row r="612" spans="60:61" x14ac:dyDescent="0.2">
      <c r="BH612" s="34"/>
      <c r="BI612" s="36"/>
    </row>
    <row r="613" spans="60:61" x14ac:dyDescent="0.2">
      <c r="BH613" s="34"/>
      <c r="BI613" s="36"/>
    </row>
    <row r="614" spans="60:61" x14ac:dyDescent="0.2">
      <c r="BH614" s="34"/>
      <c r="BI614" s="36"/>
    </row>
    <row r="615" spans="60:61" x14ac:dyDescent="0.2">
      <c r="BH615" s="34"/>
      <c r="BI615" s="36"/>
    </row>
    <row r="616" spans="60:61" x14ac:dyDescent="0.2">
      <c r="BH616" s="34"/>
      <c r="BI616" s="36"/>
    </row>
    <row r="617" spans="60:61" x14ac:dyDescent="0.2">
      <c r="BH617" s="34"/>
      <c r="BI617" s="36"/>
    </row>
    <row r="618" spans="60:61" x14ac:dyDescent="0.2">
      <c r="BH618" s="34"/>
      <c r="BI618" s="36"/>
    </row>
    <row r="619" spans="60:61" x14ac:dyDescent="0.2">
      <c r="BH619" s="34"/>
      <c r="BI619" s="36"/>
    </row>
    <row r="620" spans="60:61" x14ac:dyDescent="0.2">
      <c r="BH620" s="34"/>
      <c r="BI620" s="36"/>
    </row>
    <row r="621" spans="60:61" x14ac:dyDescent="0.2">
      <c r="BH621" s="34"/>
      <c r="BI621" s="36"/>
    </row>
    <row r="622" spans="60:61" x14ac:dyDescent="0.2">
      <c r="BH622" s="34"/>
      <c r="BI622" s="36"/>
    </row>
    <row r="623" spans="60:61" x14ac:dyDescent="0.2">
      <c r="BH623" s="34"/>
      <c r="BI623" s="36"/>
    </row>
    <row r="624" spans="60:61" x14ac:dyDescent="0.2">
      <c r="BH624" s="34"/>
      <c r="BI624" s="36"/>
    </row>
    <row r="625" spans="60:61" x14ac:dyDescent="0.2">
      <c r="BH625" s="34"/>
      <c r="BI625" s="36"/>
    </row>
    <row r="626" spans="60:61" x14ac:dyDescent="0.2">
      <c r="BH626" s="34"/>
      <c r="BI626" s="36"/>
    </row>
    <row r="627" spans="60:61" x14ac:dyDescent="0.2">
      <c r="BH627" s="34"/>
      <c r="BI627" s="36"/>
    </row>
    <row r="628" spans="60:61" x14ac:dyDescent="0.2">
      <c r="BH628" s="34"/>
      <c r="BI628" s="36"/>
    </row>
    <row r="629" spans="60:61" x14ac:dyDescent="0.2">
      <c r="BH629" s="34"/>
      <c r="BI629" s="36"/>
    </row>
    <row r="630" spans="60:61" x14ac:dyDescent="0.2">
      <c r="BH630" s="34"/>
      <c r="BI630" s="36"/>
    </row>
    <row r="631" spans="60:61" x14ac:dyDescent="0.2">
      <c r="BH631" s="34"/>
      <c r="BI631" s="36"/>
    </row>
    <row r="632" spans="60:61" x14ac:dyDescent="0.2">
      <c r="BH632" s="34"/>
      <c r="BI632" s="36"/>
    </row>
    <row r="633" spans="60:61" x14ac:dyDescent="0.2">
      <c r="BH633" s="34"/>
      <c r="BI633" s="36"/>
    </row>
    <row r="634" spans="60:61" x14ac:dyDescent="0.2">
      <c r="BH634" s="34"/>
      <c r="BI634" s="36"/>
    </row>
    <row r="635" spans="60:61" x14ac:dyDescent="0.2">
      <c r="BH635" s="34"/>
      <c r="BI635" s="36"/>
    </row>
    <row r="636" spans="60:61" x14ac:dyDescent="0.2">
      <c r="BH636" s="34"/>
      <c r="BI636" s="36"/>
    </row>
    <row r="637" spans="60:61" x14ac:dyDescent="0.2">
      <c r="BH637" s="34"/>
      <c r="BI637" s="36"/>
    </row>
    <row r="638" spans="60:61" x14ac:dyDescent="0.2">
      <c r="BH638" s="34"/>
      <c r="BI638" s="36"/>
    </row>
    <row r="639" spans="60:61" x14ac:dyDescent="0.2">
      <c r="BH639" s="34"/>
      <c r="BI639" s="36"/>
    </row>
    <row r="640" spans="60:61" x14ac:dyDescent="0.2">
      <c r="BH640" s="34"/>
      <c r="BI640" s="36"/>
    </row>
    <row r="641" spans="60:61" x14ac:dyDescent="0.2">
      <c r="BH641" s="34"/>
      <c r="BI641" s="36"/>
    </row>
    <row r="642" spans="60:61" x14ac:dyDescent="0.2">
      <c r="BH642" s="34"/>
      <c r="BI642" s="36"/>
    </row>
    <row r="643" spans="60:61" x14ac:dyDescent="0.2">
      <c r="BH643" s="34"/>
      <c r="BI643" s="36"/>
    </row>
    <row r="644" spans="60:61" x14ac:dyDescent="0.2">
      <c r="BH644" s="34"/>
      <c r="BI644" s="36"/>
    </row>
    <row r="645" spans="60:61" x14ac:dyDescent="0.2">
      <c r="BH645" s="34"/>
      <c r="BI645" s="36"/>
    </row>
    <row r="646" spans="60:61" x14ac:dyDescent="0.2">
      <c r="BH646" s="34"/>
      <c r="BI646" s="36"/>
    </row>
    <row r="647" spans="60:61" x14ac:dyDescent="0.2">
      <c r="BH647" s="34"/>
      <c r="BI647" s="36"/>
    </row>
    <row r="648" spans="60:61" x14ac:dyDescent="0.2">
      <c r="BH648" s="34"/>
      <c r="BI648" s="36"/>
    </row>
    <row r="649" spans="60:61" x14ac:dyDescent="0.2">
      <c r="BH649" s="34"/>
      <c r="BI649" s="36"/>
    </row>
    <row r="650" spans="60:61" x14ac:dyDescent="0.2">
      <c r="BH650" s="34"/>
      <c r="BI650" s="36"/>
    </row>
    <row r="651" spans="60:61" x14ac:dyDescent="0.2">
      <c r="BH651" s="34"/>
      <c r="BI651" s="36"/>
    </row>
    <row r="652" spans="60:61" x14ac:dyDescent="0.2">
      <c r="BH652" s="34"/>
      <c r="BI652" s="36"/>
    </row>
    <row r="653" spans="60:61" x14ac:dyDescent="0.2">
      <c r="BH653" s="34"/>
      <c r="BI653" s="36"/>
    </row>
    <row r="654" spans="60:61" x14ac:dyDescent="0.2">
      <c r="BH654" s="34"/>
      <c r="BI654" s="36"/>
    </row>
    <row r="655" spans="60:61" x14ac:dyDescent="0.2">
      <c r="BH655" s="34"/>
      <c r="BI655" s="36"/>
    </row>
    <row r="656" spans="60:61" x14ac:dyDescent="0.2">
      <c r="BH656" s="34"/>
      <c r="BI656" s="36"/>
    </row>
    <row r="657" spans="60:61" x14ac:dyDescent="0.2">
      <c r="BH657" s="34"/>
      <c r="BI657" s="36"/>
    </row>
    <row r="658" spans="60:61" x14ac:dyDescent="0.2">
      <c r="BH658" s="34"/>
      <c r="BI658" s="36"/>
    </row>
    <row r="659" spans="60:61" x14ac:dyDescent="0.2">
      <c r="BH659" s="34"/>
      <c r="BI659" s="36"/>
    </row>
    <row r="660" spans="60:61" x14ac:dyDescent="0.2">
      <c r="BH660" s="34"/>
      <c r="BI660" s="36"/>
    </row>
    <row r="661" spans="60:61" x14ac:dyDescent="0.2">
      <c r="BH661" s="34"/>
      <c r="BI661" s="36"/>
    </row>
    <row r="662" spans="60:61" x14ac:dyDescent="0.2">
      <c r="BH662" s="34"/>
      <c r="BI662" s="36"/>
    </row>
    <row r="663" spans="60:61" x14ac:dyDescent="0.2">
      <c r="BH663" s="34"/>
      <c r="BI663" s="36"/>
    </row>
    <row r="664" spans="60:61" x14ac:dyDescent="0.2">
      <c r="BH664" s="34"/>
      <c r="BI664" s="36"/>
    </row>
    <row r="665" spans="60:61" x14ac:dyDescent="0.2">
      <c r="BH665" s="34"/>
      <c r="BI665" s="36"/>
    </row>
    <row r="666" spans="60:61" x14ac:dyDescent="0.2">
      <c r="BH666" s="34"/>
      <c r="BI666" s="36"/>
    </row>
    <row r="667" spans="60:61" x14ac:dyDescent="0.2">
      <c r="BH667" s="34"/>
      <c r="BI667" s="36"/>
    </row>
    <row r="668" spans="60:61" x14ac:dyDescent="0.2">
      <c r="BH668" s="34"/>
      <c r="BI668" s="36"/>
    </row>
    <row r="669" spans="60:61" x14ac:dyDescent="0.2">
      <c r="BH669" s="34"/>
      <c r="BI669" s="36"/>
    </row>
    <row r="670" spans="60:61" x14ac:dyDescent="0.2">
      <c r="BH670" s="34"/>
      <c r="BI670" s="36"/>
    </row>
    <row r="671" spans="60:61" x14ac:dyDescent="0.2">
      <c r="BH671" s="34"/>
      <c r="BI671" s="36"/>
    </row>
    <row r="672" spans="60:61" x14ac:dyDescent="0.2">
      <c r="BH672" s="34"/>
      <c r="BI672" s="36"/>
    </row>
    <row r="673" spans="60:61" x14ac:dyDescent="0.2">
      <c r="BH673" s="34"/>
      <c r="BI673" s="36"/>
    </row>
    <row r="674" spans="60:61" x14ac:dyDescent="0.2">
      <c r="BH674" s="34"/>
      <c r="BI674" s="36"/>
    </row>
    <row r="675" spans="60:61" x14ac:dyDescent="0.2">
      <c r="BH675" s="34"/>
      <c r="BI675" s="36"/>
    </row>
    <row r="676" spans="60:61" x14ac:dyDescent="0.2">
      <c r="BH676" s="34"/>
      <c r="BI676" s="36"/>
    </row>
    <row r="677" spans="60:61" x14ac:dyDescent="0.2">
      <c r="BH677" s="34"/>
      <c r="BI677" s="36"/>
    </row>
    <row r="678" spans="60:61" x14ac:dyDescent="0.2">
      <c r="BH678" s="34"/>
      <c r="BI678" s="36"/>
    </row>
    <row r="679" spans="60:61" x14ac:dyDescent="0.2">
      <c r="BH679" s="34"/>
      <c r="BI679" s="36"/>
    </row>
    <row r="680" spans="60:61" x14ac:dyDescent="0.2">
      <c r="BH680" s="34"/>
      <c r="BI680" s="36"/>
    </row>
    <row r="681" spans="60:61" x14ac:dyDescent="0.2">
      <c r="BH681" s="34"/>
      <c r="BI681" s="36"/>
    </row>
    <row r="682" spans="60:61" x14ac:dyDescent="0.2">
      <c r="BH682" s="34"/>
      <c r="BI682" s="36"/>
    </row>
    <row r="683" spans="60:61" x14ac:dyDescent="0.2">
      <c r="BH683" s="34"/>
      <c r="BI683" s="36"/>
    </row>
    <row r="684" spans="60:61" x14ac:dyDescent="0.2">
      <c r="BH684" s="34"/>
      <c r="BI684" s="36"/>
    </row>
    <row r="685" spans="60:61" x14ac:dyDescent="0.2">
      <c r="BH685" s="34"/>
      <c r="BI685" s="36"/>
    </row>
    <row r="686" spans="60:61" x14ac:dyDescent="0.2">
      <c r="BH686" s="34"/>
      <c r="BI686" s="36"/>
    </row>
    <row r="687" spans="60:61" x14ac:dyDescent="0.2">
      <c r="BH687" s="34"/>
      <c r="BI687" s="36"/>
    </row>
    <row r="688" spans="60:61" x14ac:dyDescent="0.2">
      <c r="BH688" s="34"/>
      <c r="BI688" s="36"/>
    </row>
    <row r="689" spans="60:61" x14ac:dyDescent="0.2">
      <c r="BH689" s="34"/>
      <c r="BI689" s="36"/>
    </row>
    <row r="690" spans="60:61" x14ac:dyDescent="0.2">
      <c r="BH690" s="34"/>
      <c r="BI690" s="36"/>
    </row>
    <row r="691" spans="60:61" x14ac:dyDescent="0.2">
      <c r="BH691" s="34"/>
      <c r="BI691" s="36"/>
    </row>
    <row r="692" spans="60:61" x14ac:dyDescent="0.2">
      <c r="BH692" s="34"/>
      <c r="BI692" s="36"/>
    </row>
    <row r="693" spans="60:61" x14ac:dyDescent="0.2">
      <c r="BH693" s="34"/>
      <c r="BI693" s="36"/>
    </row>
    <row r="694" spans="60:61" x14ac:dyDescent="0.2">
      <c r="BH694" s="34"/>
      <c r="BI694" s="36"/>
    </row>
    <row r="695" spans="60:61" x14ac:dyDescent="0.2">
      <c r="BH695" s="34"/>
      <c r="BI695" s="36"/>
    </row>
    <row r="696" spans="60:61" x14ac:dyDescent="0.2">
      <c r="BH696" s="34"/>
      <c r="BI696" s="36"/>
    </row>
    <row r="697" spans="60:61" x14ac:dyDescent="0.2">
      <c r="BH697" s="34"/>
      <c r="BI697" s="36"/>
    </row>
    <row r="698" spans="60:61" x14ac:dyDescent="0.2">
      <c r="BH698" s="34"/>
      <c r="BI698" s="36"/>
    </row>
    <row r="699" spans="60:61" x14ac:dyDescent="0.2">
      <c r="BH699" s="34"/>
      <c r="BI699" s="36"/>
    </row>
    <row r="700" spans="60:61" x14ac:dyDescent="0.2">
      <c r="BH700" s="34"/>
      <c r="BI700" s="36"/>
    </row>
    <row r="701" spans="60:61" x14ac:dyDescent="0.2">
      <c r="BH701" s="34"/>
      <c r="BI701" s="36"/>
    </row>
    <row r="702" spans="60:61" x14ac:dyDescent="0.2">
      <c r="BH702" s="34"/>
      <c r="BI702" s="36"/>
    </row>
    <row r="703" spans="60:61" x14ac:dyDescent="0.2">
      <c r="BH703" s="34"/>
      <c r="BI703" s="36"/>
    </row>
    <row r="704" spans="60:61" x14ac:dyDescent="0.2">
      <c r="BH704" s="34"/>
      <c r="BI704" s="36"/>
    </row>
    <row r="705" spans="60:61" x14ac:dyDescent="0.2">
      <c r="BH705" s="34"/>
      <c r="BI705" s="36"/>
    </row>
    <row r="706" spans="60:61" x14ac:dyDescent="0.2">
      <c r="BH706" s="34"/>
      <c r="BI706" s="36"/>
    </row>
    <row r="707" spans="60:61" x14ac:dyDescent="0.2">
      <c r="BH707" s="34"/>
      <c r="BI707" s="36"/>
    </row>
    <row r="708" spans="60:61" x14ac:dyDescent="0.2">
      <c r="BH708" s="34"/>
      <c r="BI708" s="36"/>
    </row>
    <row r="709" spans="60:61" x14ac:dyDescent="0.2">
      <c r="BH709" s="34"/>
      <c r="BI709" s="36"/>
    </row>
    <row r="710" spans="60:61" x14ac:dyDescent="0.2">
      <c r="BH710" s="34"/>
      <c r="BI710" s="36"/>
    </row>
    <row r="711" spans="60:61" x14ac:dyDescent="0.2">
      <c r="BH711" s="34"/>
      <c r="BI711" s="36"/>
    </row>
    <row r="712" spans="60:61" x14ac:dyDescent="0.2">
      <c r="BH712" s="34"/>
      <c r="BI712" s="36"/>
    </row>
    <row r="713" spans="60:61" x14ac:dyDescent="0.2">
      <c r="BH713" s="34"/>
      <c r="BI713" s="36"/>
    </row>
    <row r="714" spans="60:61" x14ac:dyDescent="0.2">
      <c r="BH714" s="34"/>
      <c r="BI714" s="36"/>
    </row>
    <row r="715" spans="60:61" x14ac:dyDescent="0.2">
      <c r="BH715" s="34"/>
      <c r="BI715" s="36"/>
    </row>
    <row r="716" spans="60:61" x14ac:dyDescent="0.2">
      <c r="BH716" s="34"/>
      <c r="BI716" s="36"/>
    </row>
    <row r="717" spans="60:61" x14ac:dyDescent="0.2">
      <c r="BH717" s="34"/>
      <c r="BI717" s="36"/>
    </row>
    <row r="718" spans="60:61" x14ac:dyDescent="0.2">
      <c r="BH718" s="34"/>
      <c r="BI718" s="36"/>
    </row>
    <row r="719" spans="60:61" x14ac:dyDescent="0.2">
      <c r="BH719" s="34"/>
      <c r="BI719" s="36"/>
    </row>
    <row r="720" spans="60:61" x14ac:dyDescent="0.2">
      <c r="BH720" s="34"/>
      <c r="BI720" s="36"/>
    </row>
    <row r="721" spans="60:61" x14ac:dyDescent="0.2">
      <c r="BH721" s="34"/>
      <c r="BI721" s="36"/>
    </row>
    <row r="722" spans="60:61" x14ac:dyDescent="0.2">
      <c r="BH722" s="34"/>
      <c r="BI722" s="36"/>
    </row>
    <row r="723" spans="60:61" x14ac:dyDescent="0.2">
      <c r="BH723" s="34"/>
      <c r="BI723" s="36"/>
    </row>
    <row r="724" spans="60:61" x14ac:dyDescent="0.2">
      <c r="BH724" s="34"/>
      <c r="BI724" s="36"/>
    </row>
    <row r="725" spans="60:61" x14ac:dyDescent="0.2">
      <c r="BH725" s="34"/>
      <c r="BI725" s="36"/>
    </row>
    <row r="726" spans="60:61" x14ac:dyDescent="0.2">
      <c r="BH726" s="34"/>
      <c r="BI726" s="36"/>
    </row>
    <row r="727" spans="60:61" x14ac:dyDescent="0.2">
      <c r="BH727" s="34"/>
      <c r="BI727" s="36"/>
    </row>
    <row r="728" spans="60:61" x14ac:dyDescent="0.2">
      <c r="BH728" s="34"/>
      <c r="BI728" s="36"/>
    </row>
    <row r="729" spans="60:61" x14ac:dyDescent="0.2">
      <c r="BH729" s="34"/>
      <c r="BI729" s="36"/>
    </row>
    <row r="730" spans="60:61" x14ac:dyDescent="0.2">
      <c r="BH730" s="34"/>
      <c r="BI730" s="36"/>
    </row>
    <row r="731" spans="60:61" x14ac:dyDescent="0.2">
      <c r="BH731" s="34"/>
      <c r="BI731" s="36"/>
    </row>
    <row r="732" spans="60:61" x14ac:dyDescent="0.2">
      <c r="BH732" s="34"/>
      <c r="BI732" s="36"/>
    </row>
    <row r="733" spans="60:61" x14ac:dyDescent="0.2">
      <c r="BH733" s="34"/>
      <c r="BI733" s="36"/>
    </row>
    <row r="734" spans="60:61" x14ac:dyDescent="0.2">
      <c r="BH734" s="34"/>
      <c r="BI734" s="36"/>
    </row>
    <row r="735" spans="60:61" x14ac:dyDescent="0.2">
      <c r="BH735" s="34"/>
      <c r="BI735" s="36"/>
    </row>
    <row r="736" spans="60:61" x14ac:dyDescent="0.2">
      <c r="BH736" s="34"/>
      <c r="BI736" s="36"/>
    </row>
    <row r="737" spans="60:61" x14ac:dyDescent="0.2">
      <c r="BH737" s="34"/>
      <c r="BI737" s="36"/>
    </row>
    <row r="738" spans="60:61" x14ac:dyDescent="0.2">
      <c r="BH738" s="34"/>
      <c r="BI738" s="36"/>
    </row>
    <row r="739" spans="60:61" x14ac:dyDescent="0.2">
      <c r="BH739" s="34"/>
      <c r="BI739" s="36"/>
    </row>
    <row r="740" spans="60:61" x14ac:dyDescent="0.2">
      <c r="BH740" s="34"/>
      <c r="BI740" s="36"/>
    </row>
    <row r="741" spans="60:61" x14ac:dyDescent="0.2">
      <c r="BH741" s="34"/>
      <c r="BI741" s="36"/>
    </row>
    <row r="742" spans="60:61" x14ac:dyDescent="0.2">
      <c r="BH742" s="34"/>
      <c r="BI742" s="36"/>
    </row>
    <row r="743" spans="60:61" x14ac:dyDescent="0.2">
      <c r="BH743" s="34"/>
      <c r="BI743" s="36"/>
    </row>
    <row r="744" spans="60:61" x14ac:dyDescent="0.2">
      <c r="BH744" s="34"/>
      <c r="BI744" s="36"/>
    </row>
    <row r="745" spans="60:61" x14ac:dyDescent="0.2">
      <c r="BH745" s="34"/>
      <c r="BI745" s="36"/>
    </row>
    <row r="746" spans="60:61" x14ac:dyDescent="0.2">
      <c r="BH746" s="34"/>
      <c r="BI746" s="36"/>
    </row>
    <row r="747" spans="60:61" x14ac:dyDescent="0.2">
      <c r="BH747" s="34"/>
      <c r="BI747" s="36"/>
    </row>
    <row r="748" spans="60:61" x14ac:dyDescent="0.2">
      <c r="BH748" s="34"/>
      <c r="BI748" s="36"/>
    </row>
    <row r="749" spans="60:61" x14ac:dyDescent="0.2">
      <c r="BH749" s="34"/>
      <c r="BI749" s="36"/>
    </row>
    <row r="750" spans="60:61" x14ac:dyDescent="0.2">
      <c r="BH750" s="34"/>
      <c r="BI750" s="36"/>
    </row>
    <row r="751" spans="60:61" x14ac:dyDescent="0.2">
      <c r="BH751" s="34"/>
      <c r="BI751" s="36"/>
    </row>
    <row r="752" spans="60:61" x14ac:dyDescent="0.2">
      <c r="BH752" s="34"/>
      <c r="BI752" s="36"/>
    </row>
    <row r="753" spans="60:61" x14ac:dyDescent="0.2">
      <c r="BH753" s="34"/>
      <c r="BI753" s="36"/>
    </row>
    <row r="754" spans="60:61" x14ac:dyDescent="0.2">
      <c r="BH754" s="34"/>
      <c r="BI754" s="36"/>
    </row>
    <row r="755" spans="60:61" x14ac:dyDescent="0.2">
      <c r="BH755" s="34"/>
      <c r="BI755" s="36"/>
    </row>
    <row r="756" spans="60:61" x14ac:dyDescent="0.2">
      <c r="BH756" s="34"/>
      <c r="BI756" s="36"/>
    </row>
    <row r="757" spans="60:61" x14ac:dyDescent="0.2">
      <c r="BH757" s="34"/>
      <c r="BI757" s="36"/>
    </row>
    <row r="758" spans="60:61" x14ac:dyDescent="0.2">
      <c r="BH758" s="34"/>
      <c r="BI758" s="36"/>
    </row>
    <row r="759" spans="60:61" x14ac:dyDescent="0.2">
      <c r="BH759" s="34"/>
      <c r="BI759" s="36"/>
    </row>
    <row r="760" spans="60:61" x14ac:dyDescent="0.2">
      <c r="BH760" s="34"/>
      <c r="BI760" s="36"/>
    </row>
    <row r="761" spans="60:61" x14ac:dyDescent="0.2">
      <c r="BH761" s="34"/>
      <c r="BI761" s="36"/>
    </row>
    <row r="762" spans="60:61" x14ac:dyDescent="0.2">
      <c r="BH762" s="34"/>
      <c r="BI762" s="36"/>
    </row>
    <row r="763" spans="60:61" x14ac:dyDescent="0.2">
      <c r="BH763" s="34"/>
      <c r="BI763" s="36"/>
    </row>
    <row r="764" spans="60:61" x14ac:dyDescent="0.2">
      <c r="BH764" s="34"/>
      <c r="BI764" s="36"/>
    </row>
    <row r="765" spans="60:61" x14ac:dyDescent="0.2">
      <c r="BH765" s="34"/>
      <c r="BI765" s="36"/>
    </row>
    <row r="766" spans="60:61" x14ac:dyDescent="0.2">
      <c r="BH766" s="34"/>
      <c r="BI766" s="36"/>
    </row>
    <row r="767" spans="60:61" x14ac:dyDescent="0.2">
      <c r="BH767" s="34"/>
      <c r="BI767" s="36"/>
    </row>
    <row r="768" spans="60:61" x14ac:dyDescent="0.2">
      <c r="BH768" s="34"/>
      <c r="BI768" s="36"/>
    </row>
    <row r="769" spans="60:61" x14ac:dyDescent="0.2">
      <c r="BH769" s="34"/>
      <c r="BI769" s="36"/>
    </row>
    <row r="770" spans="60:61" x14ac:dyDescent="0.2">
      <c r="BH770" s="34"/>
      <c r="BI770" s="36"/>
    </row>
    <row r="771" spans="60:61" x14ac:dyDescent="0.2">
      <c r="BH771" s="34"/>
      <c r="BI771" s="36"/>
    </row>
    <row r="772" spans="60:61" x14ac:dyDescent="0.2">
      <c r="BH772" s="34"/>
      <c r="BI772" s="36"/>
    </row>
    <row r="773" spans="60:61" x14ac:dyDescent="0.2">
      <c r="BH773" s="34"/>
      <c r="BI773" s="36"/>
    </row>
    <row r="774" spans="60:61" x14ac:dyDescent="0.2">
      <c r="BH774" s="34"/>
      <c r="BI774" s="36"/>
    </row>
    <row r="775" spans="60:61" x14ac:dyDescent="0.2">
      <c r="BH775" s="34"/>
      <c r="BI775" s="36"/>
    </row>
    <row r="776" spans="60:61" x14ac:dyDescent="0.2">
      <c r="BH776" s="34"/>
      <c r="BI776" s="36"/>
    </row>
    <row r="777" spans="60:61" x14ac:dyDescent="0.2">
      <c r="BH777" s="34"/>
      <c r="BI777" s="36"/>
    </row>
    <row r="778" spans="60:61" x14ac:dyDescent="0.2">
      <c r="BH778" s="34"/>
      <c r="BI778" s="36"/>
    </row>
    <row r="779" spans="60:61" x14ac:dyDescent="0.2">
      <c r="BH779" s="34"/>
      <c r="BI779" s="36"/>
    </row>
    <row r="780" spans="60:61" x14ac:dyDescent="0.2">
      <c r="BH780" s="34"/>
      <c r="BI780" s="36"/>
    </row>
    <row r="781" spans="60:61" x14ac:dyDescent="0.2">
      <c r="BH781" s="34"/>
      <c r="BI781" s="36"/>
    </row>
    <row r="782" spans="60:61" x14ac:dyDescent="0.2">
      <c r="BH782" s="34"/>
      <c r="BI782" s="36"/>
    </row>
    <row r="783" spans="60:61" x14ac:dyDescent="0.2">
      <c r="BH783" s="34"/>
      <c r="BI783" s="36"/>
    </row>
    <row r="784" spans="60:61" x14ac:dyDescent="0.2">
      <c r="BH784" s="34"/>
      <c r="BI784" s="36"/>
    </row>
    <row r="785" spans="60:61" x14ac:dyDescent="0.2">
      <c r="BH785" s="34"/>
      <c r="BI785" s="36"/>
    </row>
    <row r="786" spans="60:61" x14ac:dyDescent="0.2">
      <c r="BH786" s="34"/>
      <c r="BI786" s="36"/>
    </row>
    <row r="787" spans="60:61" x14ac:dyDescent="0.2">
      <c r="BH787" s="34"/>
      <c r="BI787" s="36"/>
    </row>
    <row r="788" spans="60:61" x14ac:dyDescent="0.2">
      <c r="BH788" s="34"/>
      <c r="BI788" s="36"/>
    </row>
    <row r="789" spans="60:61" x14ac:dyDescent="0.2">
      <c r="BH789" s="34"/>
      <c r="BI789" s="36"/>
    </row>
    <row r="790" spans="60:61" x14ac:dyDescent="0.2">
      <c r="BH790" s="34"/>
      <c r="BI790" s="36"/>
    </row>
    <row r="791" spans="60:61" x14ac:dyDescent="0.2">
      <c r="BH791" s="34"/>
      <c r="BI791" s="36"/>
    </row>
    <row r="792" spans="60:61" x14ac:dyDescent="0.2">
      <c r="BH792" s="34"/>
      <c r="BI792" s="36"/>
    </row>
    <row r="793" spans="60:61" x14ac:dyDescent="0.2">
      <c r="BH793" s="34"/>
      <c r="BI793" s="36"/>
    </row>
    <row r="794" spans="60:61" x14ac:dyDescent="0.2">
      <c r="BH794" s="34"/>
      <c r="BI794" s="36"/>
    </row>
    <row r="795" spans="60:61" x14ac:dyDescent="0.2">
      <c r="BH795" s="34"/>
      <c r="BI795" s="36"/>
    </row>
    <row r="796" spans="60:61" x14ac:dyDescent="0.2">
      <c r="BH796" s="34"/>
      <c r="BI796" s="36"/>
    </row>
    <row r="797" spans="60:61" x14ac:dyDescent="0.2">
      <c r="BH797" s="34"/>
      <c r="BI797" s="36"/>
    </row>
    <row r="798" spans="60:61" x14ac:dyDescent="0.2">
      <c r="BH798" s="34"/>
      <c r="BI798" s="36"/>
    </row>
    <row r="799" spans="60:61" x14ac:dyDescent="0.2">
      <c r="BH799" s="34"/>
      <c r="BI799" s="36"/>
    </row>
    <row r="800" spans="60:61" x14ac:dyDescent="0.2">
      <c r="BH800" s="34"/>
      <c r="BI800" s="36"/>
    </row>
    <row r="801" spans="60:61" x14ac:dyDescent="0.2">
      <c r="BH801" s="34"/>
      <c r="BI801" s="36"/>
    </row>
    <row r="802" spans="60:61" x14ac:dyDescent="0.2">
      <c r="BH802" s="34"/>
      <c r="BI802" s="36"/>
    </row>
    <row r="803" spans="60:61" x14ac:dyDescent="0.2">
      <c r="BH803" s="34"/>
      <c r="BI803" s="36"/>
    </row>
    <row r="804" spans="60:61" x14ac:dyDescent="0.2">
      <c r="BH804" s="34"/>
      <c r="BI804" s="36"/>
    </row>
    <row r="805" spans="60:61" x14ac:dyDescent="0.2">
      <c r="BH805" s="34"/>
      <c r="BI805" s="36"/>
    </row>
    <row r="806" spans="60:61" x14ac:dyDescent="0.2">
      <c r="BH806" s="34"/>
      <c r="BI806" s="36"/>
    </row>
    <row r="807" spans="60:61" x14ac:dyDescent="0.2">
      <c r="BH807" s="34"/>
      <c r="BI807" s="36"/>
    </row>
    <row r="808" spans="60:61" x14ac:dyDescent="0.2">
      <c r="BH808" s="34"/>
      <c r="BI808" s="36"/>
    </row>
    <row r="809" spans="60:61" x14ac:dyDescent="0.2">
      <c r="BH809" s="34"/>
      <c r="BI809" s="36"/>
    </row>
    <row r="810" spans="60:61" x14ac:dyDescent="0.2">
      <c r="BH810" s="34"/>
      <c r="BI810" s="36"/>
    </row>
    <row r="811" spans="60:61" x14ac:dyDescent="0.2">
      <c r="BH811" s="34"/>
      <c r="BI811" s="36"/>
    </row>
    <row r="812" spans="60:61" x14ac:dyDescent="0.2">
      <c r="BH812" s="34"/>
      <c r="BI812" s="36"/>
    </row>
    <row r="813" spans="60:61" x14ac:dyDescent="0.2">
      <c r="BH813" s="34"/>
      <c r="BI813" s="36"/>
    </row>
    <row r="814" spans="60:61" x14ac:dyDescent="0.2">
      <c r="BH814" s="34"/>
      <c r="BI814" s="36"/>
    </row>
    <row r="815" spans="60:61" x14ac:dyDescent="0.2">
      <c r="BH815" s="34"/>
      <c r="BI815" s="36"/>
    </row>
    <row r="816" spans="60:61" x14ac:dyDescent="0.2">
      <c r="BH816" s="34"/>
      <c r="BI816" s="36"/>
    </row>
    <row r="817" spans="60:61" x14ac:dyDescent="0.2">
      <c r="BH817" s="34"/>
      <c r="BI817" s="36"/>
    </row>
    <row r="818" spans="60:61" x14ac:dyDescent="0.2">
      <c r="BH818" s="34"/>
      <c r="BI818" s="36"/>
    </row>
    <row r="819" spans="60:61" x14ac:dyDescent="0.2">
      <c r="BH819" s="34"/>
      <c r="BI819" s="36"/>
    </row>
    <row r="820" spans="60:61" x14ac:dyDescent="0.2">
      <c r="BH820" s="34"/>
      <c r="BI820" s="36"/>
    </row>
    <row r="821" spans="60:61" x14ac:dyDescent="0.2">
      <c r="BH821" s="34"/>
      <c r="BI821" s="36"/>
    </row>
    <row r="822" spans="60:61" x14ac:dyDescent="0.2">
      <c r="BH822" s="34"/>
      <c r="BI822" s="36"/>
    </row>
    <row r="823" spans="60:61" x14ac:dyDescent="0.2">
      <c r="BH823" s="34"/>
      <c r="BI823" s="36"/>
    </row>
    <row r="824" spans="60:61" x14ac:dyDescent="0.2">
      <c r="BH824" s="34"/>
      <c r="BI824" s="36"/>
    </row>
    <row r="825" spans="60:61" x14ac:dyDescent="0.2">
      <c r="BH825" s="34"/>
      <c r="BI825" s="36"/>
    </row>
    <row r="826" spans="60:61" x14ac:dyDescent="0.2">
      <c r="BH826" s="34"/>
      <c r="BI826" s="36"/>
    </row>
    <row r="827" spans="60:61" x14ac:dyDescent="0.2">
      <c r="BH827" s="34"/>
      <c r="BI827" s="36"/>
    </row>
    <row r="828" spans="60:61" x14ac:dyDescent="0.2">
      <c r="BH828" s="34"/>
      <c r="BI828" s="36"/>
    </row>
    <row r="829" spans="60:61" x14ac:dyDescent="0.2">
      <c r="BH829" s="34"/>
      <c r="BI829" s="36"/>
    </row>
    <row r="830" spans="60:61" x14ac:dyDescent="0.2">
      <c r="BH830" s="34"/>
      <c r="BI830" s="36"/>
    </row>
    <row r="831" spans="60:61" x14ac:dyDescent="0.2">
      <c r="BH831" s="34"/>
      <c r="BI831" s="36"/>
    </row>
    <row r="832" spans="60:61" x14ac:dyDescent="0.2">
      <c r="BH832" s="34"/>
      <c r="BI832" s="36"/>
    </row>
    <row r="833" spans="60:61" x14ac:dyDescent="0.2">
      <c r="BH833" s="34"/>
      <c r="BI833" s="36"/>
    </row>
    <row r="834" spans="60:61" x14ac:dyDescent="0.2">
      <c r="BH834" s="34"/>
      <c r="BI834" s="36"/>
    </row>
    <row r="835" spans="60:61" x14ac:dyDescent="0.2">
      <c r="BH835" s="34"/>
      <c r="BI835" s="36"/>
    </row>
    <row r="836" spans="60:61" x14ac:dyDescent="0.2">
      <c r="BH836" s="34"/>
      <c r="BI836" s="36"/>
    </row>
    <row r="837" spans="60:61" x14ac:dyDescent="0.2">
      <c r="BH837" s="34"/>
      <c r="BI837" s="36"/>
    </row>
    <row r="838" spans="60:61" x14ac:dyDescent="0.2">
      <c r="BH838" s="34"/>
      <c r="BI838" s="36"/>
    </row>
    <row r="839" spans="60:61" x14ac:dyDescent="0.2">
      <c r="BH839" s="34"/>
      <c r="BI839" s="36"/>
    </row>
    <row r="840" spans="60:61" x14ac:dyDescent="0.2">
      <c r="BH840" s="34"/>
      <c r="BI840" s="36"/>
    </row>
    <row r="841" spans="60:61" x14ac:dyDescent="0.2">
      <c r="BH841" s="34"/>
      <c r="BI841" s="36"/>
    </row>
    <row r="842" spans="60:61" x14ac:dyDescent="0.2">
      <c r="BH842" s="34"/>
      <c r="BI842" s="36"/>
    </row>
    <row r="843" spans="60:61" x14ac:dyDescent="0.2">
      <c r="BH843" s="34"/>
      <c r="BI843" s="36"/>
    </row>
    <row r="844" spans="60:61" x14ac:dyDescent="0.2">
      <c r="BH844" s="34"/>
      <c r="BI844" s="36"/>
    </row>
    <row r="845" spans="60:61" x14ac:dyDescent="0.2">
      <c r="BH845" s="34"/>
      <c r="BI845" s="36"/>
    </row>
    <row r="846" spans="60:61" x14ac:dyDescent="0.2">
      <c r="BH846" s="34"/>
      <c r="BI846" s="36"/>
    </row>
    <row r="847" spans="60:61" x14ac:dyDescent="0.2">
      <c r="BH847" s="34"/>
      <c r="BI847" s="36"/>
    </row>
    <row r="848" spans="60:61" x14ac:dyDescent="0.2">
      <c r="BH848" s="34"/>
      <c r="BI848" s="36"/>
    </row>
    <row r="849" spans="60:61" x14ac:dyDescent="0.2">
      <c r="BH849" s="34"/>
      <c r="BI849" s="36"/>
    </row>
    <row r="850" spans="60:61" x14ac:dyDescent="0.2">
      <c r="BH850" s="34"/>
      <c r="BI850" s="36"/>
    </row>
    <row r="851" spans="60:61" x14ac:dyDescent="0.2">
      <c r="BH851" s="34"/>
      <c r="BI851" s="36"/>
    </row>
    <row r="852" spans="60:61" x14ac:dyDescent="0.2">
      <c r="BH852" s="34"/>
      <c r="BI852" s="36"/>
    </row>
    <row r="853" spans="60:61" x14ac:dyDescent="0.2">
      <c r="BH853" s="34"/>
      <c r="BI853" s="36"/>
    </row>
    <row r="854" spans="60:61" x14ac:dyDescent="0.2">
      <c r="BH854" s="34"/>
      <c r="BI854" s="36"/>
    </row>
    <row r="855" spans="60:61" x14ac:dyDescent="0.2">
      <c r="BH855" s="34"/>
      <c r="BI855" s="36"/>
    </row>
    <row r="856" spans="60:61" x14ac:dyDescent="0.2">
      <c r="BH856" s="34"/>
      <c r="BI856" s="36"/>
    </row>
    <row r="857" spans="60:61" x14ac:dyDescent="0.2">
      <c r="BH857" s="34"/>
      <c r="BI857" s="36"/>
    </row>
    <row r="858" spans="60:61" x14ac:dyDescent="0.2">
      <c r="BH858" s="34"/>
      <c r="BI858" s="36"/>
    </row>
    <row r="859" spans="60:61" x14ac:dyDescent="0.2">
      <c r="BH859" s="34"/>
      <c r="BI859" s="36"/>
    </row>
    <row r="860" spans="60:61" x14ac:dyDescent="0.2">
      <c r="BH860" s="34"/>
      <c r="BI860" s="36"/>
    </row>
    <row r="861" spans="60:61" x14ac:dyDescent="0.2">
      <c r="BH861" s="34"/>
      <c r="BI861" s="36"/>
    </row>
    <row r="862" spans="60:61" x14ac:dyDescent="0.2">
      <c r="BH862" s="34"/>
      <c r="BI862" s="36"/>
    </row>
    <row r="863" spans="60:61" x14ac:dyDescent="0.2">
      <c r="BH863" s="34"/>
      <c r="BI863" s="36"/>
    </row>
    <row r="864" spans="60:61" x14ac:dyDescent="0.2">
      <c r="BH864" s="34"/>
      <c r="BI864" s="36"/>
    </row>
    <row r="865" spans="60:61" x14ac:dyDescent="0.2">
      <c r="BH865" s="34"/>
      <c r="BI865" s="36"/>
    </row>
    <row r="866" spans="60:61" x14ac:dyDescent="0.2">
      <c r="BH866" s="34"/>
      <c r="BI866" s="36"/>
    </row>
    <row r="867" spans="60:61" x14ac:dyDescent="0.2">
      <c r="BH867" s="34"/>
      <c r="BI867" s="36"/>
    </row>
    <row r="868" spans="60:61" x14ac:dyDescent="0.2">
      <c r="BH868" s="34"/>
      <c r="BI868" s="36"/>
    </row>
    <row r="869" spans="60:61" x14ac:dyDescent="0.2">
      <c r="BH869" s="34"/>
      <c r="BI869" s="36"/>
    </row>
    <row r="870" spans="60:61" x14ac:dyDescent="0.2">
      <c r="BH870" s="34"/>
      <c r="BI870" s="36"/>
    </row>
    <row r="871" spans="60:61" x14ac:dyDescent="0.2">
      <c r="BH871" s="34"/>
      <c r="BI871" s="36"/>
    </row>
    <row r="872" spans="60:61" x14ac:dyDescent="0.2">
      <c r="BH872" s="34"/>
      <c r="BI872" s="36"/>
    </row>
    <row r="873" spans="60:61" x14ac:dyDescent="0.2">
      <c r="BH873" s="34"/>
      <c r="BI873" s="36"/>
    </row>
    <row r="874" spans="60:61" x14ac:dyDescent="0.2">
      <c r="BH874" s="34"/>
      <c r="BI874" s="36"/>
    </row>
    <row r="875" spans="60:61" x14ac:dyDescent="0.2">
      <c r="BH875" s="34"/>
      <c r="BI875" s="36"/>
    </row>
    <row r="876" spans="60:61" x14ac:dyDescent="0.2">
      <c r="BH876" s="34"/>
      <c r="BI876" s="36"/>
    </row>
    <row r="877" spans="60:61" x14ac:dyDescent="0.2">
      <c r="BH877" s="34"/>
      <c r="BI877" s="36"/>
    </row>
    <row r="878" spans="60:61" x14ac:dyDescent="0.2">
      <c r="BH878" s="34"/>
      <c r="BI878" s="36"/>
    </row>
    <row r="879" spans="60:61" x14ac:dyDescent="0.2">
      <c r="BH879" s="34"/>
      <c r="BI879" s="36"/>
    </row>
    <row r="880" spans="60:61" x14ac:dyDescent="0.2">
      <c r="BH880" s="34"/>
      <c r="BI880" s="36"/>
    </row>
    <row r="881" spans="60:61" x14ac:dyDescent="0.2">
      <c r="BH881" s="34"/>
      <c r="BI881" s="36"/>
    </row>
    <row r="882" spans="60:61" x14ac:dyDescent="0.2">
      <c r="BH882" s="34"/>
      <c r="BI882" s="36"/>
    </row>
    <row r="883" spans="60:61" x14ac:dyDescent="0.2">
      <c r="BH883" s="34"/>
      <c r="BI883" s="36"/>
    </row>
    <row r="884" spans="60:61" x14ac:dyDescent="0.2">
      <c r="BH884" s="34"/>
      <c r="BI884" s="36"/>
    </row>
    <row r="885" spans="60:61" x14ac:dyDescent="0.2">
      <c r="BH885" s="34"/>
      <c r="BI885" s="36"/>
    </row>
    <row r="886" spans="60:61" x14ac:dyDescent="0.2">
      <c r="BH886" s="34"/>
      <c r="BI886" s="36"/>
    </row>
    <row r="887" spans="60:61" x14ac:dyDescent="0.2">
      <c r="BH887" s="34"/>
      <c r="BI887" s="36"/>
    </row>
    <row r="888" spans="60:61" x14ac:dyDescent="0.2">
      <c r="BH888" s="34"/>
      <c r="BI888" s="36"/>
    </row>
    <row r="889" spans="60:61" x14ac:dyDescent="0.2">
      <c r="BH889" s="34"/>
      <c r="BI889" s="36"/>
    </row>
    <row r="890" spans="60:61" x14ac:dyDescent="0.2">
      <c r="BH890" s="34"/>
      <c r="BI890" s="36"/>
    </row>
    <row r="891" spans="60:61" x14ac:dyDescent="0.2">
      <c r="BH891" s="34"/>
      <c r="BI891" s="36"/>
    </row>
    <row r="892" spans="60:61" x14ac:dyDescent="0.2">
      <c r="BH892" s="34"/>
      <c r="BI892" s="36"/>
    </row>
    <row r="893" spans="60:61" x14ac:dyDescent="0.2">
      <c r="BH893" s="34"/>
      <c r="BI893" s="36"/>
    </row>
    <row r="894" spans="60:61" x14ac:dyDescent="0.2">
      <c r="BH894" s="34"/>
      <c r="BI894" s="36"/>
    </row>
    <row r="895" spans="60:61" x14ac:dyDescent="0.2">
      <c r="BH895" s="34"/>
      <c r="BI895" s="36"/>
    </row>
    <row r="896" spans="60:61" x14ac:dyDescent="0.2">
      <c r="BH896" s="34"/>
      <c r="BI896" s="36"/>
    </row>
    <row r="897" spans="60:61" x14ac:dyDescent="0.2">
      <c r="BH897" s="34"/>
      <c r="BI897" s="36"/>
    </row>
    <row r="898" spans="60:61" x14ac:dyDescent="0.2">
      <c r="BH898" s="34"/>
      <c r="BI898" s="36"/>
    </row>
    <row r="899" spans="60:61" x14ac:dyDescent="0.2">
      <c r="BH899" s="34"/>
      <c r="BI899" s="36"/>
    </row>
    <row r="900" spans="60:61" x14ac:dyDescent="0.2">
      <c r="BH900" s="34"/>
      <c r="BI900" s="36"/>
    </row>
    <row r="901" spans="60:61" x14ac:dyDescent="0.2">
      <c r="BH901" s="34"/>
      <c r="BI901" s="36"/>
    </row>
    <row r="902" spans="60:61" x14ac:dyDescent="0.2">
      <c r="BH902" s="34"/>
      <c r="BI902" s="36"/>
    </row>
    <row r="903" spans="60:61" x14ac:dyDescent="0.2">
      <c r="BH903" s="34"/>
      <c r="BI903" s="36"/>
    </row>
    <row r="904" spans="60:61" x14ac:dyDescent="0.2">
      <c r="BH904" s="34"/>
      <c r="BI904" s="36"/>
    </row>
    <row r="905" spans="60:61" x14ac:dyDescent="0.2">
      <c r="BH905" s="34"/>
      <c r="BI905" s="36"/>
    </row>
    <row r="906" spans="60:61" x14ac:dyDescent="0.2">
      <c r="BH906" s="34"/>
      <c r="BI906" s="36"/>
    </row>
    <row r="907" spans="60:61" x14ac:dyDescent="0.2">
      <c r="BH907" s="34"/>
      <c r="BI907" s="36"/>
    </row>
    <row r="908" spans="60:61" x14ac:dyDescent="0.2">
      <c r="BH908" s="34"/>
      <c r="BI908" s="36"/>
    </row>
    <row r="909" spans="60:61" x14ac:dyDescent="0.2">
      <c r="BH909" s="34"/>
      <c r="BI909" s="36"/>
    </row>
    <row r="910" spans="60:61" x14ac:dyDescent="0.2">
      <c r="BH910" s="34"/>
      <c r="BI910" s="36"/>
    </row>
    <row r="911" spans="60:61" x14ac:dyDescent="0.2">
      <c r="BH911" s="34"/>
      <c r="BI911" s="36"/>
    </row>
    <row r="912" spans="60:61" x14ac:dyDescent="0.2">
      <c r="BH912" s="34"/>
      <c r="BI912" s="36"/>
    </row>
    <row r="913" spans="60:61" x14ac:dyDescent="0.2">
      <c r="BH913" s="34"/>
      <c r="BI913" s="36"/>
    </row>
    <row r="914" spans="60:61" x14ac:dyDescent="0.2">
      <c r="BH914" s="34"/>
      <c r="BI914" s="36"/>
    </row>
    <row r="915" spans="60:61" x14ac:dyDescent="0.2">
      <c r="BH915" s="34"/>
      <c r="BI915" s="36"/>
    </row>
    <row r="916" spans="60:61" x14ac:dyDescent="0.2">
      <c r="BH916" s="34"/>
      <c r="BI916" s="36"/>
    </row>
    <row r="917" spans="60:61" x14ac:dyDescent="0.2">
      <c r="BH917" s="34"/>
      <c r="BI917" s="36"/>
    </row>
    <row r="918" spans="60:61" x14ac:dyDescent="0.2">
      <c r="BH918" s="34"/>
      <c r="BI918" s="36"/>
    </row>
    <row r="919" spans="60:61" x14ac:dyDescent="0.2">
      <c r="BH919" s="34"/>
      <c r="BI919" s="36"/>
    </row>
    <row r="920" spans="60:61" x14ac:dyDescent="0.2">
      <c r="BH920" s="34"/>
      <c r="BI920" s="36"/>
    </row>
    <row r="921" spans="60:61" x14ac:dyDescent="0.2">
      <c r="BH921" s="34"/>
      <c r="BI921" s="36"/>
    </row>
    <row r="922" spans="60:61" x14ac:dyDescent="0.2">
      <c r="BH922" s="34"/>
      <c r="BI922" s="36"/>
    </row>
    <row r="923" spans="60:61" x14ac:dyDescent="0.2">
      <c r="BH923" s="34"/>
      <c r="BI923" s="36"/>
    </row>
    <row r="924" spans="60:61" x14ac:dyDescent="0.2">
      <c r="BH924" s="34"/>
      <c r="BI924" s="36"/>
    </row>
    <row r="925" spans="60:61" x14ac:dyDescent="0.2">
      <c r="BH925" s="34"/>
      <c r="BI925" s="36"/>
    </row>
    <row r="926" spans="60:61" x14ac:dyDescent="0.2">
      <c r="BH926" s="34"/>
      <c r="BI926" s="36"/>
    </row>
    <row r="927" spans="60:61" x14ac:dyDescent="0.2">
      <c r="BH927" s="34"/>
      <c r="BI927" s="36"/>
    </row>
    <row r="928" spans="60:61" x14ac:dyDescent="0.2">
      <c r="BH928" s="34"/>
      <c r="BI928" s="36"/>
    </row>
    <row r="929" spans="60:61" x14ac:dyDescent="0.2">
      <c r="BH929" s="34"/>
      <c r="BI929" s="36"/>
    </row>
    <row r="930" spans="60:61" x14ac:dyDescent="0.2">
      <c r="BH930" s="34"/>
      <c r="BI930" s="36"/>
    </row>
    <row r="931" spans="60:61" x14ac:dyDescent="0.2">
      <c r="BH931" s="34"/>
      <c r="BI931" s="36"/>
    </row>
    <row r="932" spans="60:61" x14ac:dyDescent="0.2">
      <c r="BH932" s="34"/>
      <c r="BI932" s="36"/>
    </row>
    <row r="933" spans="60:61" x14ac:dyDescent="0.2">
      <c r="BH933" s="34"/>
      <c r="BI933" s="36"/>
    </row>
    <row r="934" spans="60:61" x14ac:dyDescent="0.2">
      <c r="BH934" s="34"/>
      <c r="BI934" s="36"/>
    </row>
    <row r="935" spans="60:61" x14ac:dyDescent="0.2">
      <c r="BH935" s="34"/>
      <c r="BI935" s="36"/>
    </row>
    <row r="936" spans="60:61" x14ac:dyDescent="0.2">
      <c r="BH936" s="34"/>
      <c r="BI936" s="36"/>
    </row>
    <row r="937" spans="60:61" x14ac:dyDescent="0.2">
      <c r="BH937" s="34"/>
      <c r="BI937" s="36"/>
    </row>
    <row r="938" spans="60:61" x14ac:dyDescent="0.2">
      <c r="BH938" s="34"/>
      <c r="BI938" s="36"/>
    </row>
    <row r="939" spans="60:61" x14ac:dyDescent="0.2">
      <c r="BH939" s="34"/>
      <c r="BI939" s="36"/>
    </row>
    <row r="940" spans="60:61" x14ac:dyDescent="0.2">
      <c r="BH940" s="34"/>
      <c r="BI940" s="36"/>
    </row>
    <row r="941" spans="60:61" x14ac:dyDescent="0.2">
      <c r="BH941" s="34"/>
      <c r="BI941" s="36"/>
    </row>
    <row r="942" spans="60:61" x14ac:dyDescent="0.2">
      <c r="BH942" s="34"/>
      <c r="BI942" s="36"/>
    </row>
    <row r="943" spans="60:61" x14ac:dyDescent="0.2">
      <c r="BH943" s="34"/>
      <c r="BI943" s="36"/>
    </row>
    <row r="944" spans="60:61" x14ac:dyDescent="0.2">
      <c r="BH944" s="34"/>
      <c r="BI944" s="36"/>
    </row>
    <row r="945" spans="60:61" x14ac:dyDescent="0.2">
      <c r="BH945" s="34"/>
      <c r="BI945" s="36"/>
    </row>
    <row r="946" spans="60:61" x14ac:dyDescent="0.2">
      <c r="BH946" s="34"/>
      <c r="BI946" s="36"/>
    </row>
    <row r="947" spans="60:61" x14ac:dyDescent="0.2">
      <c r="BH947" s="34"/>
      <c r="BI947" s="36"/>
    </row>
    <row r="948" spans="60:61" x14ac:dyDescent="0.2">
      <c r="BH948" s="34"/>
      <c r="BI948" s="36"/>
    </row>
    <row r="949" spans="60:61" x14ac:dyDescent="0.2">
      <c r="BH949" s="34"/>
      <c r="BI949" s="36"/>
    </row>
    <row r="950" spans="60:61" x14ac:dyDescent="0.2">
      <c r="BH950" s="34"/>
      <c r="BI950" s="36"/>
    </row>
    <row r="951" spans="60:61" x14ac:dyDescent="0.2">
      <c r="BH951" s="34"/>
      <c r="BI951" s="36"/>
    </row>
    <row r="952" spans="60:61" x14ac:dyDescent="0.2">
      <c r="BH952" s="34"/>
      <c r="BI952" s="36"/>
    </row>
    <row r="953" spans="60:61" x14ac:dyDescent="0.2">
      <c r="BH953" s="34"/>
      <c r="BI953" s="36"/>
    </row>
    <row r="954" spans="60:61" x14ac:dyDescent="0.2">
      <c r="BH954" s="34"/>
      <c r="BI954" s="36"/>
    </row>
    <row r="955" spans="60:61" x14ac:dyDescent="0.2">
      <c r="BH955" s="34"/>
      <c r="BI955" s="36"/>
    </row>
    <row r="956" spans="60:61" x14ac:dyDescent="0.2">
      <c r="BH956" s="34"/>
      <c r="BI956" s="36"/>
    </row>
    <row r="957" spans="60:61" x14ac:dyDescent="0.2">
      <c r="BH957" s="34"/>
      <c r="BI957" s="36"/>
    </row>
    <row r="958" spans="60:61" x14ac:dyDescent="0.2">
      <c r="BH958" s="34"/>
      <c r="BI958" s="36"/>
    </row>
    <row r="959" spans="60:61" x14ac:dyDescent="0.2">
      <c r="BH959" s="34"/>
      <c r="BI959" s="36"/>
    </row>
    <row r="960" spans="60:61" x14ac:dyDescent="0.2">
      <c r="BH960" s="34"/>
      <c r="BI960" s="36"/>
    </row>
    <row r="961" spans="60:61" x14ac:dyDescent="0.2">
      <c r="BH961" s="34"/>
      <c r="BI961" s="36"/>
    </row>
    <row r="962" spans="60:61" x14ac:dyDescent="0.2">
      <c r="BH962" s="34"/>
      <c r="BI962" s="36"/>
    </row>
    <row r="963" spans="60:61" x14ac:dyDescent="0.2">
      <c r="BH963" s="34"/>
      <c r="BI963" s="36"/>
    </row>
    <row r="964" spans="60:61" x14ac:dyDescent="0.2">
      <c r="BH964" s="34"/>
      <c r="BI964" s="36"/>
    </row>
    <row r="965" spans="60:61" x14ac:dyDescent="0.2">
      <c r="BH965" s="34"/>
      <c r="BI965" s="36"/>
    </row>
    <row r="966" spans="60:61" x14ac:dyDescent="0.2">
      <c r="BH966" s="34"/>
      <c r="BI966" s="36"/>
    </row>
    <row r="967" spans="60:61" x14ac:dyDescent="0.2">
      <c r="BH967" s="34"/>
      <c r="BI967" s="36"/>
    </row>
    <row r="968" spans="60:61" x14ac:dyDescent="0.2">
      <c r="BH968" s="34"/>
      <c r="BI968" s="36"/>
    </row>
    <row r="969" spans="60:61" x14ac:dyDescent="0.2">
      <c r="BH969" s="34"/>
      <c r="BI969" s="36"/>
    </row>
    <row r="970" spans="60:61" x14ac:dyDescent="0.2">
      <c r="BH970" s="34"/>
      <c r="BI970" s="36"/>
    </row>
    <row r="971" spans="60:61" x14ac:dyDescent="0.2">
      <c r="BH971" s="34"/>
      <c r="BI971" s="36"/>
    </row>
    <row r="972" spans="60:61" x14ac:dyDescent="0.2">
      <c r="BH972" s="34"/>
      <c r="BI972" s="36"/>
    </row>
    <row r="973" spans="60:61" x14ac:dyDescent="0.2">
      <c r="BH973" s="34"/>
      <c r="BI973" s="36"/>
    </row>
    <row r="974" spans="60:61" x14ac:dyDescent="0.2">
      <c r="BH974" s="34"/>
      <c r="BI974" s="36"/>
    </row>
    <row r="975" spans="60:61" x14ac:dyDescent="0.2">
      <c r="BH975" s="34"/>
      <c r="BI975" s="36"/>
    </row>
    <row r="976" spans="60:61" x14ac:dyDescent="0.2">
      <c r="BH976" s="34"/>
      <c r="BI976" s="36"/>
    </row>
    <row r="977" spans="60:61" x14ac:dyDescent="0.2">
      <c r="BH977" s="34"/>
      <c r="BI977" s="36"/>
    </row>
    <row r="978" spans="60:61" x14ac:dyDescent="0.2">
      <c r="BH978" s="34"/>
      <c r="BI978" s="36"/>
    </row>
    <row r="979" spans="60:61" x14ac:dyDescent="0.2">
      <c r="BH979" s="34"/>
      <c r="BI979" s="36"/>
    </row>
    <row r="980" spans="60:61" x14ac:dyDescent="0.2">
      <c r="BH980" s="34"/>
      <c r="BI980" s="36"/>
    </row>
    <row r="981" spans="60:61" x14ac:dyDescent="0.2">
      <c r="BH981" s="34"/>
      <c r="BI981" s="36"/>
    </row>
    <row r="982" spans="60:61" x14ac:dyDescent="0.2">
      <c r="BH982" s="34"/>
      <c r="BI982" s="36"/>
    </row>
    <row r="983" spans="60:61" x14ac:dyDescent="0.2">
      <c r="BH983" s="34"/>
      <c r="BI983" s="36"/>
    </row>
    <row r="984" spans="60:61" x14ac:dyDescent="0.2">
      <c r="BH984" s="34"/>
      <c r="BI984" s="36"/>
    </row>
    <row r="985" spans="60:61" x14ac:dyDescent="0.2">
      <c r="BH985" s="34"/>
      <c r="BI985" s="36"/>
    </row>
    <row r="986" spans="60:61" x14ac:dyDescent="0.2">
      <c r="BH986" s="34"/>
      <c r="BI986" s="36"/>
    </row>
    <row r="987" spans="60:61" x14ac:dyDescent="0.2">
      <c r="BH987" s="34"/>
      <c r="BI987" s="36"/>
    </row>
    <row r="988" spans="60:61" x14ac:dyDescent="0.2">
      <c r="BH988" s="34"/>
      <c r="BI988" s="36"/>
    </row>
    <row r="989" spans="60:61" x14ac:dyDescent="0.2">
      <c r="BH989" s="34"/>
      <c r="BI989" s="36"/>
    </row>
    <row r="990" spans="60:61" x14ac:dyDescent="0.2">
      <c r="BH990" s="34"/>
      <c r="BI990" s="36"/>
    </row>
    <row r="991" spans="60:61" x14ac:dyDescent="0.2">
      <c r="BH991" s="34"/>
      <c r="BI991" s="36"/>
    </row>
    <row r="992" spans="60:61" x14ac:dyDescent="0.2">
      <c r="BH992" s="34"/>
      <c r="BI992" s="36"/>
    </row>
    <row r="993" spans="60:61" x14ac:dyDescent="0.2">
      <c r="BH993" s="34"/>
      <c r="BI993" s="36"/>
    </row>
    <row r="994" spans="60:61" x14ac:dyDescent="0.2">
      <c r="BH994" s="34"/>
      <c r="BI994" s="36"/>
    </row>
    <row r="995" spans="60:61" x14ac:dyDescent="0.2">
      <c r="BH995" s="34"/>
      <c r="BI995" s="36"/>
    </row>
    <row r="996" spans="60:61" x14ac:dyDescent="0.2">
      <c r="BH996" s="34"/>
      <c r="BI996" s="36"/>
    </row>
    <row r="997" spans="60:61" x14ac:dyDescent="0.2">
      <c r="BH997" s="34"/>
      <c r="BI997" s="36"/>
    </row>
    <row r="998" spans="60:61" x14ac:dyDescent="0.2">
      <c r="BH998" s="34"/>
      <c r="BI998" s="36"/>
    </row>
    <row r="999" spans="60:61" x14ac:dyDescent="0.2">
      <c r="BH999" s="34"/>
      <c r="BI999" s="36"/>
    </row>
    <row r="1000" spans="60:61" x14ac:dyDescent="0.2">
      <c r="BH1000" s="34"/>
      <c r="BI1000" s="36"/>
    </row>
    <row r="1001" spans="60:61" x14ac:dyDescent="0.2">
      <c r="BH1001" s="34"/>
      <c r="BI1001" s="36"/>
    </row>
    <row r="1002" spans="60:61" x14ac:dyDescent="0.2">
      <c r="BH1002" s="34"/>
      <c r="BI1002" s="36"/>
    </row>
    <row r="1003" spans="60:61" x14ac:dyDescent="0.2">
      <c r="BH1003" s="34"/>
      <c r="BI1003" s="36"/>
    </row>
    <row r="1004" spans="60:61" x14ac:dyDescent="0.2">
      <c r="BH1004" s="34"/>
      <c r="BI1004" s="36"/>
    </row>
    <row r="1005" spans="60:61" x14ac:dyDescent="0.2">
      <c r="BH1005" s="34"/>
      <c r="BI1005" s="36"/>
    </row>
    <row r="1006" spans="60:61" x14ac:dyDescent="0.2">
      <c r="BH1006" s="34"/>
      <c r="BI1006" s="36"/>
    </row>
    <row r="1007" spans="60:61" x14ac:dyDescent="0.2">
      <c r="BH1007" s="34"/>
      <c r="BI1007" s="36"/>
    </row>
    <row r="1008" spans="60:61" x14ac:dyDescent="0.2">
      <c r="BH1008" s="34"/>
      <c r="BI1008" s="36"/>
    </row>
    <row r="1009" spans="60:61" x14ac:dyDescent="0.2">
      <c r="BH1009" s="34"/>
      <c r="BI1009" s="36"/>
    </row>
    <row r="1010" spans="60:61" x14ac:dyDescent="0.2">
      <c r="BH1010" s="34"/>
      <c r="BI1010" s="36"/>
    </row>
    <row r="1011" spans="60:61" x14ac:dyDescent="0.2">
      <c r="BH1011" s="34"/>
      <c r="BI1011" s="36"/>
    </row>
    <row r="1012" spans="60:61" x14ac:dyDescent="0.2">
      <c r="BH1012" s="34"/>
      <c r="BI1012" s="36"/>
    </row>
    <row r="1013" spans="60:61" x14ac:dyDescent="0.2">
      <c r="BH1013" s="34"/>
      <c r="BI1013" s="36"/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95BB-1EF8-2D45-8A82-94470D22C2F9}">
  <dimension ref="B2:AY31"/>
  <sheetViews>
    <sheetView zoomScale="111" workbookViewId="0">
      <selection activeCell="B2" sqref="B2:D2"/>
    </sheetView>
  </sheetViews>
  <sheetFormatPr baseColWidth="10" defaultRowHeight="16" x14ac:dyDescent="0.2"/>
  <cols>
    <col min="2" max="2" width="13" bestFit="1" customWidth="1"/>
    <col min="3" max="3" width="19" bestFit="1" customWidth="1"/>
    <col min="6" max="6" width="11.5" bestFit="1" customWidth="1"/>
    <col min="7" max="7" width="17.33203125" bestFit="1" customWidth="1"/>
    <col min="9" max="9" width="14" bestFit="1" customWidth="1"/>
    <col min="10" max="11" width="17.5" bestFit="1" customWidth="1"/>
    <col min="13" max="13" width="33.6640625" bestFit="1" customWidth="1"/>
    <col min="14" max="14" width="22.33203125" bestFit="1" customWidth="1"/>
    <col min="15" max="15" width="19.83203125" bestFit="1" customWidth="1"/>
    <col min="17" max="17" width="15.6640625" bestFit="1" customWidth="1"/>
    <col min="18" max="18" width="20.33203125" bestFit="1" customWidth="1"/>
    <col min="20" max="20" width="14.1640625" bestFit="1" customWidth="1"/>
    <col min="21" max="21" width="16.83203125" bestFit="1" customWidth="1"/>
    <col min="23" max="23" width="30.83203125" bestFit="1" customWidth="1"/>
    <col min="40" max="41" width="17.5" bestFit="1" customWidth="1"/>
    <col min="42" max="42" width="17.6640625" bestFit="1" customWidth="1"/>
    <col min="43" max="43" width="17.5" bestFit="1" customWidth="1"/>
    <col min="48" max="49" width="17.5" bestFit="1" customWidth="1"/>
    <col min="50" max="51" width="18.83203125" bestFit="1" customWidth="1"/>
  </cols>
  <sheetData>
    <row r="2" spans="2:51" ht="29" x14ac:dyDescent="0.35">
      <c r="B2" s="99" t="s">
        <v>121</v>
      </c>
      <c r="C2" s="99"/>
      <c r="D2" s="99"/>
      <c r="Q2" s="41" t="s">
        <v>72</v>
      </c>
      <c r="R2" s="42"/>
      <c r="S2" s="14"/>
      <c r="T2" s="14"/>
      <c r="U2" s="14"/>
      <c r="W2" s="40" t="s">
        <v>42</v>
      </c>
      <c r="Z2" s="1" t="s">
        <v>44</v>
      </c>
      <c r="AE2" s="14"/>
      <c r="AF2" s="43" t="s">
        <v>49</v>
      </c>
      <c r="AG2" s="43"/>
      <c r="AH2" s="43"/>
    </row>
    <row r="3" spans="2:51" x14ac:dyDescent="0.2">
      <c r="Q3" s="15" t="s">
        <v>33</v>
      </c>
      <c r="R3" s="14"/>
      <c r="S3" s="14"/>
      <c r="T3" s="16" t="s">
        <v>31</v>
      </c>
      <c r="U3" s="14"/>
      <c r="W3" t="s">
        <v>40</v>
      </c>
      <c r="Z3" s="6" t="s">
        <v>43</v>
      </c>
      <c r="AC3" s="7" t="s">
        <v>35</v>
      </c>
      <c r="AE3" s="14"/>
      <c r="AF3" s="15" t="s">
        <v>34</v>
      </c>
      <c r="AG3" s="14"/>
      <c r="AH3" s="16" t="s">
        <v>35</v>
      </c>
    </row>
    <row r="4" spans="2:51" x14ac:dyDescent="0.2">
      <c r="B4" s="40" t="s">
        <v>58</v>
      </c>
      <c r="C4" s="40" t="s">
        <v>60</v>
      </c>
      <c r="F4" s="40" t="s">
        <v>61</v>
      </c>
      <c r="G4" s="40" t="s">
        <v>62</v>
      </c>
      <c r="J4" s="40" t="s">
        <v>63</v>
      </c>
      <c r="K4" s="40" t="s">
        <v>62</v>
      </c>
      <c r="N4" s="40" t="s">
        <v>29</v>
      </c>
      <c r="Q4" s="17" t="s">
        <v>1</v>
      </c>
      <c r="R4" s="18" t="s">
        <v>64</v>
      </c>
      <c r="S4" s="14"/>
      <c r="T4" s="17" t="s">
        <v>1</v>
      </c>
      <c r="U4" s="21">
        <v>2500000</v>
      </c>
      <c r="W4" t="s">
        <v>41</v>
      </c>
      <c r="Z4" t="s">
        <v>45</v>
      </c>
      <c r="AA4">
        <v>5</v>
      </c>
      <c r="AC4">
        <v>10</v>
      </c>
      <c r="AE4" s="17"/>
      <c r="AF4" s="14"/>
      <c r="AG4" s="14"/>
      <c r="AH4" s="14"/>
    </row>
    <row r="5" spans="2:51" x14ac:dyDescent="0.2">
      <c r="B5" s="1"/>
      <c r="N5" s="6" t="s">
        <v>30</v>
      </c>
      <c r="O5" s="7" t="s">
        <v>31</v>
      </c>
      <c r="Q5" s="17" t="s">
        <v>2</v>
      </c>
      <c r="R5" s="18" t="s">
        <v>65</v>
      </c>
      <c r="S5" s="14"/>
      <c r="T5" s="17" t="s">
        <v>2</v>
      </c>
      <c r="U5" s="21">
        <v>180000</v>
      </c>
      <c r="Z5" t="s">
        <v>46</v>
      </c>
      <c r="AA5" s="5">
        <v>0.1</v>
      </c>
      <c r="AC5" s="5">
        <v>0.2</v>
      </c>
      <c r="AE5" s="14"/>
      <c r="AF5" s="14"/>
      <c r="AG5" s="14"/>
      <c r="AH5" s="14"/>
      <c r="AN5" s="10" t="s">
        <v>50</v>
      </c>
      <c r="AO5" s="10"/>
      <c r="AP5" s="10" t="s">
        <v>51</v>
      </c>
      <c r="AQ5" s="10"/>
      <c r="AR5" s="10" t="s">
        <v>52</v>
      </c>
      <c r="AS5" s="10"/>
      <c r="AT5" s="10" t="s">
        <v>53</v>
      </c>
      <c r="AU5" s="10"/>
      <c r="AV5" s="10" t="s">
        <v>56</v>
      </c>
      <c r="AW5" s="12"/>
      <c r="AX5" s="1"/>
    </row>
    <row r="6" spans="2:51" x14ac:dyDescent="0.2">
      <c r="B6" s="1" t="s">
        <v>3</v>
      </c>
      <c r="C6">
        <v>5</v>
      </c>
      <c r="F6" s="1" t="s">
        <v>1</v>
      </c>
      <c r="G6" s="13">
        <v>1900000</v>
      </c>
      <c r="J6" s="1" t="s">
        <v>1</v>
      </c>
      <c r="K6" s="1" t="s">
        <v>2</v>
      </c>
      <c r="M6" s="26" t="s">
        <v>54</v>
      </c>
      <c r="N6" s="8">
        <v>3500000</v>
      </c>
      <c r="O6" s="8">
        <v>5500000</v>
      </c>
      <c r="Q6" s="17"/>
      <c r="R6" s="14"/>
      <c r="S6" s="14"/>
      <c r="T6" s="17"/>
      <c r="U6" s="14"/>
      <c r="W6" s="1" t="s">
        <v>7</v>
      </c>
      <c r="X6">
        <f ca="1">IF(RAND() &lt; 0.05, 1, 0)</f>
        <v>0</v>
      </c>
      <c r="AE6" s="14"/>
      <c r="AF6" s="14"/>
      <c r="AG6" s="14"/>
      <c r="AH6" s="14"/>
    </row>
    <row r="7" spans="2:51" x14ac:dyDescent="0.2">
      <c r="B7" s="1" t="s">
        <v>59</v>
      </c>
      <c r="C7">
        <v>10</v>
      </c>
      <c r="F7" s="1" t="s">
        <v>2</v>
      </c>
      <c r="G7" s="13">
        <v>250000</v>
      </c>
      <c r="J7">
        <v>0.98499999999999999</v>
      </c>
      <c r="K7">
        <v>0.04</v>
      </c>
      <c r="M7" s="26" t="s">
        <v>32</v>
      </c>
      <c r="N7" s="3">
        <v>0.95</v>
      </c>
      <c r="O7" s="3">
        <v>1.1000000000000001</v>
      </c>
      <c r="Q7" s="17" t="s">
        <v>36</v>
      </c>
      <c r="R7" s="19">
        <v>14.27</v>
      </c>
      <c r="S7" s="14"/>
      <c r="T7" s="17" t="s">
        <v>36</v>
      </c>
      <c r="U7" s="19">
        <v>14.73</v>
      </c>
      <c r="W7" s="1" t="s">
        <v>8</v>
      </c>
      <c r="X7">
        <f t="shared" ref="X7:X25" ca="1" si="0">IF(RAND() &lt; 0.05, 1, 0)</f>
        <v>0</v>
      </c>
      <c r="Z7" s="1" t="s">
        <v>7</v>
      </c>
      <c r="AA7">
        <f ca="1">IF(X6=1, -LN(RAND()) / 5, 0)</f>
        <v>0</v>
      </c>
      <c r="AC7">
        <f ca="1">IF(X6=1, -LN(RAND()) / 10, 0)</f>
        <v>0</v>
      </c>
      <c r="AE7" s="17" t="s">
        <v>7</v>
      </c>
      <c r="AF7" s="19">
        <f ca="1">N12 * (1 - AA7)</f>
        <v>11.883303115022859</v>
      </c>
      <c r="AG7" s="14"/>
      <c r="AH7" s="19">
        <f ca="1">O12 * (1 - AC7)</f>
        <v>13.759614133184364</v>
      </c>
    </row>
    <row r="8" spans="2:51" x14ac:dyDescent="0.2">
      <c r="B8" s="1" t="s">
        <v>5</v>
      </c>
      <c r="C8">
        <v>14</v>
      </c>
      <c r="M8" s="26" t="s">
        <v>38</v>
      </c>
      <c r="N8">
        <v>20</v>
      </c>
      <c r="O8">
        <v>20</v>
      </c>
      <c r="Q8" s="17" t="s">
        <v>37</v>
      </c>
      <c r="R8" s="19">
        <v>0.124</v>
      </c>
      <c r="S8" s="14"/>
      <c r="T8" s="17" t="s">
        <v>37</v>
      </c>
      <c r="U8" s="19">
        <v>7.0999999999999994E-2</v>
      </c>
      <c r="W8" s="1" t="s">
        <v>9</v>
      </c>
      <c r="X8">
        <f t="shared" ca="1" si="0"/>
        <v>0</v>
      </c>
      <c r="Z8" s="1" t="s">
        <v>8</v>
      </c>
      <c r="AA8">
        <f t="shared" ref="AA8:AA26" ca="1" si="1">IF(X7=1, -LN(RAND()) / 5, 0)</f>
        <v>0</v>
      </c>
      <c r="AC8">
        <f t="shared" ref="AC8:AC26" ca="1" si="2">IF(X7=1, -LN(RAND()) / 10, 0)</f>
        <v>0</v>
      </c>
      <c r="AE8" s="17" t="s">
        <v>8</v>
      </c>
      <c r="AF8" s="19">
        <f t="shared" ref="AF8:AF26" ca="1" si="3">N13 * (1 - AA8)</f>
        <v>10.728737938293298</v>
      </c>
      <c r="AG8" s="14"/>
      <c r="AH8" s="19">
        <f t="shared" ref="AH8:AH26" ca="1" si="4">O13 * (1 - AC8)</f>
        <v>12.42274919170803</v>
      </c>
    </row>
    <row r="9" spans="2:51" x14ac:dyDescent="0.2">
      <c r="M9" s="1"/>
      <c r="W9" s="1" t="s">
        <v>10</v>
      </c>
      <c r="X9">
        <f t="shared" ca="1" si="0"/>
        <v>0</v>
      </c>
      <c r="Z9" s="1" t="s">
        <v>9</v>
      </c>
      <c r="AA9">
        <f t="shared" ca="1" si="1"/>
        <v>0</v>
      </c>
      <c r="AC9">
        <f t="shared" ca="1" si="2"/>
        <v>0</v>
      </c>
      <c r="AE9" s="17" t="s">
        <v>9</v>
      </c>
      <c r="AF9" s="19">
        <f t="shared" ca="1" si="3"/>
        <v>10.799912961806029</v>
      </c>
      <c r="AG9" s="14"/>
      <c r="AH9" s="19">
        <f t="shared" ca="1" si="4"/>
        <v>12.505162376828036</v>
      </c>
    </row>
    <row r="10" spans="2:51" x14ac:dyDescent="0.2">
      <c r="B10" s="1" t="s">
        <v>7</v>
      </c>
      <c r="C10" s="3">
        <f ca="1">IF(RAND() &lt; (10-5)/(14-5), 5 + SQRT(RAND() * (10-5) * (14-5)), 14 - SQRT((1-RAND()) * (14-10) * (14-5)))</f>
        <v>12.508740121076693</v>
      </c>
      <c r="F10" s="1" t="s">
        <v>7</v>
      </c>
      <c r="G10" s="8">
        <f ca="1">_xlfn.NORM.INV(RAND(),1900000,250000)</f>
        <v>1678366.2638668884</v>
      </c>
      <c r="I10" s="1" t="s">
        <v>7</v>
      </c>
      <c r="J10">
        <v>180</v>
      </c>
      <c r="M10" s="26" t="s">
        <v>39</v>
      </c>
      <c r="N10" s="8">
        <f>N6*N8</f>
        <v>70000000</v>
      </c>
      <c r="O10" s="11">
        <f>O6*O8</f>
        <v>110000000</v>
      </c>
      <c r="W10" s="1" t="s">
        <v>11</v>
      </c>
      <c r="X10">
        <f t="shared" ca="1" si="0"/>
        <v>0</v>
      </c>
      <c r="Z10" s="1" t="s">
        <v>10</v>
      </c>
      <c r="AA10">
        <f t="shared" ca="1" si="1"/>
        <v>0</v>
      </c>
      <c r="AC10">
        <f t="shared" ca="1" si="2"/>
        <v>0</v>
      </c>
      <c r="AE10" s="17" t="s">
        <v>10</v>
      </c>
      <c r="AF10" s="19">
        <f t="shared" ca="1" si="3"/>
        <v>7.9795886145893435</v>
      </c>
      <c r="AG10" s="14"/>
      <c r="AH10" s="19">
        <f t="shared" ca="1" si="4"/>
        <v>9.2395236589981895</v>
      </c>
    </row>
    <row r="11" spans="2:51" x14ac:dyDescent="0.2">
      <c r="B11" s="1" t="s">
        <v>8</v>
      </c>
      <c r="C11" s="3">
        <f t="shared" ref="C11:C29" ca="1" si="5">IF(RAND() &lt; (10-5)/(14-5), 5 + SQRT(RAND() * (10-5) * (14-5)), 14 - SQRT((1-RAND()) * (14-10) * (14-5)))</f>
        <v>11.293408356098208</v>
      </c>
      <c r="F11" s="1" t="s">
        <v>8</v>
      </c>
      <c r="G11" s="8">
        <f t="shared" ref="G11:G29" ca="1" si="6">_xlfn.NORM.INV(RAND(),1900000,250000)</f>
        <v>1871125.7504424949</v>
      </c>
      <c r="I11" s="1" t="s">
        <v>8</v>
      </c>
      <c r="J11" s="24">
        <f ca="1">J10 * _xlfn.NORM.INV(RAND(),$J$7,$K$7)</f>
        <v>184.12716575366937</v>
      </c>
      <c r="N11" s="26" t="s">
        <v>47</v>
      </c>
      <c r="O11" s="26" t="s">
        <v>48</v>
      </c>
      <c r="W11" s="1" t="s">
        <v>12</v>
      </c>
      <c r="X11">
        <f t="shared" ca="1" si="0"/>
        <v>0</v>
      </c>
      <c r="Z11" s="1" t="s">
        <v>11</v>
      </c>
      <c r="AA11">
        <f t="shared" ca="1" si="1"/>
        <v>0</v>
      </c>
      <c r="AC11">
        <f t="shared" ca="1" si="2"/>
        <v>0</v>
      </c>
      <c r="AE11" s="17" t="s">
        <v>11</v>
      </c>
      <c r="AF11" s="19">
        <f t="shared" ca="1" si="3"/>
        <v>9.0516923742917683</v>
      </c>
      <c r="AG11" s="14"/>
      <c r="AH11" s="19">
        <f t="shared" ca="1" si="4"/>
        <v>10.48090695970626</v>
      </c>
      <c r="AN11" s="6" t="s">
        <v>34</v>
      </c>
      <c r="AO11" s="7" t="s">
        <v>35</v>
      </c>
      <c r="AP11" s="6" t="s">
        <v>43</v>
      </c>
      <c r="AQ11" s="7" t="s">
        <v>35</v>
      </c>
      <c r="AR11" s="6" t="s">
        <v>34</v>
      </c>
      <c r="AS11" s="7" t="s">
        <v>35</v>
      </c>
      <c r="AT11" s="6" t="s">
        <v>34</v>
      </c>
      <c r="AU11" s="7" t="s">
        <v>35</v>
      </c>
      <c r="AV11" s="6" t="s">
        <v>55</v>
      </c>
      <c r="AW11" s="7" t="s">
        <v>35</v>
      </c>
      <c r="AX11" s="1"/>
      <c r="AY11" s="1"/>
    </row>
    <row r="12" spans="2:51" x14ac:dyDescent="0.2">
      <c r="B12" s="1" t="s">
        <v>9</v>
      </c>
      <c r="C12" s="3">
        <f t="shared" ca="1" si="5"/>
        <v>11.368329433480032</v>
      </c>
      <c r="F12" s="1" t="s">
        <v>9</v>
      </c>
      <c r="G12" s="8">
        <f t="shared" ca="1" si="6"/>
        <v>2421909.0246889503</v>
      </c>
      <c r="I12" s="1" t="s">
        <v>9</v>
      </c>
      <c r="J12" s="24">
        <f t="shared" ref="J12:J29" ca="1" si="7">J11 * _xlfn.NORM.INV(RAND(),$J$7,$K$7)</f>
        <v>186.23001578671463</v>
      </c>
      <c r="M12" s="1" t="s">
        <v>7</v>
      </c>
      <c r="N12" s="3">
        <f ca="1">C10*$N$7</f>
        <v>11.883303115022859</v>
      </c>
      <c r="O12" s="3">
        <f ca="1">C10*$O$7</f>
        <v>13.759614133184364</v>
      </c>
      <c r="Q12" s="17" t="s">
        <v>7</v>
      </c>
      <c r="R12" s="20">
        <f ca="1">_xlfn.LOGNORM.INV(RAND(),$R$7,$R$8)</f>
        <v>1376102.5012504687</v>
      </c>
      <c r="S12" s="14"/>
      <c r="T12" s="17" t="s">
        <v>7</v>
      </c>
      <c r="U12" s="18">
        <f ca="1">_xlfn.LOGNORM.INV(RAND(),$U$7,$U$8)</f>
        <v>2520503.1330160499</v>
      </c>
      <c r="W12" s="1" t="s">
        <v>13</v>
      </c>
      <c r="X12">
        <f t="shared" ca="1" si="0"/>
        <v>0</v>
      </c>
      <c r="Z12" s="1" t="s">
        <v>12</v>
      </c>
      <c r="AA12">
        <f t="shared" ca="1" si="1"/>
        <v>0</v>
      </c>
      <c r="AC12">
        <f t="shared" ca="1" si="2"/>
        <v>0</v>
      </c>
      <c r="AE12" s="17" t="s">
        <v>12</v>
      </c>
      <c r="AF12" s="19">
        <f t="shared" ca="1" si="3"/>
        <v>8.8855181603991866</v>
      </c>
      <c r="AG12" s="14"/>
      <c r="AH12" s="19">
        <f t="shared" ca="1" si="4"/>
        <v>10.288494712041166</v>
      </c>
      <c r="AM12" s="1" t="s">
        <v>7</v>
      </c>
      <c r="AN12" s="22">
        <f ca="1">MIN(AF7,J10) * G10 * 20</f>
        <v>398890701.03117341</v>
      </c>
      <c r="AO12" s="22">
        <f ca="1">MIN(AH7,J10) * G10 * 20</f>
        <v>461873443.29925352</v>
      </c>
      <c r="AP12" s="22">
        <f ca="1">$N$10 + R12 * 20</f>
        <v>97522050.025009364</v>
      </c>
      <c r="AQ12" s="22">
        <f ca="1">$O$10 + U12 * 20</f>
        <v>160410062.660321</v>
      </c>
      <c r="AR12">
        <f ca="1">SUM(X6:X25)</f>
        <v>4</v>
      </c>
      <c r="AS12">
        <f ca="1">SUM(X6:X25)</f>
        <v>4</v>
      </c>
      <c r="AT12" s="23">
        <f ca="1">AF7</f>
        <v>11.883303115022859</v>
      </c>
      <c r="AU12" s="23">
        <f ca="1">AH7</f>
        <v>13.759614133184364</v>
      </c>
      <c r="AV12" s="22">
        <f ca="1">AN12 - AP12</f>
        <v>301368651.00616407</v>
      </c>
      <c r="AW12" s="22">
        <f ca="1">AO12 - AQ12</f>
        <v>301463380.63893253</v>
      </c>
      <c r="AX12" s="22"/>
      <c r="AY12" s="22"/>
    </row>
    <row r="13" spans="2:51" x14ac:dyDescent="0.2">
      <c r="B13" s="1" t="s">
        <v>10</v>
      </c>
      <c r="C13" s="3">
        <f t="shared" ca="1" si="5"/>
        <v>8.3995669627256255</v>
      </c>
      <c r="F13" s="1" t="s">
        <v>10</v>
      </c>
      <c r="G13" s="8">
        <f t="shared" ca="1" si="6"/>
        <v>1924355.682091729</v>
      </c>
      <c r="I13" s="1" t="s">
        <v>10</v>
      </c>
      <c r="J13" s="24">
        <f t="shared" ca="1" si="7"/>
        <v>178.86942438796476</v>
      </c>
      <c r="M13" s="1" t="s">
        <v>8</v>
      </c>
      <c r="N13" s="3">
        <f t="shared" ref="N13:N31" ca="1" si="8">C11*$N$7</f>
        <v>10.728737938293298</v>
      </c>
      <c r="O13" s="3">
        <f t="shared" ref="O13:O31" ca="1" si="9">C11*$O$7</f>
        <v>12.42274919170803</v>
      </c>
      <c r="Q13" s="17" t="s">
        <v>8</v>
      </c>
      <c r="R13" s="20">
        <f t="shared" ref="R13:R31" ca="1" si="10">_xlfn.LOGNORM.INV(RAND(),$R$7,$R$8)</f>
        <v>1356954.6143287276</v>
      </c>
      <c r="S13" s="14"/>
      <c r="T13" s="17" t="s">
        <v>8</v>
      </c>
      <c r="U13" s="18">
        <f t="shared" ref="U13:U31" ca="1" si="11">_xlfn.LOGNORM.INV(RAND(),$U$7,$U$8)</f>
        <v>2754808.9170468142</v>
      </c>
      <c r="W13" s="1" t="s">
        <v>14</v>
      </c>
      <c r="X13">
        <f t="shared" ca="1" si="0"/>
        <v>0</v>
      </c>
      <c r="Z13" s="1" t="s">
        <v>13</v>
      </c>
      <c r="AA13">
        <f t="shared" ca="1" si="1"/>
        <v>0</v>
      </c>
      <c r="AC13">
        <f t="shared" ca="1" si="2"/>
        <v>0</v>
      </c>
      <c r="AE13" s="17" t="s">
        <v>13</v>
      </c>
      <c r="AF13" s="19">
        <f t="shared" ca="1" si="3"/>
        <v>10.215445284199786</v>
      </c>
      <c r="AG13" s="14"/>
      <c r="AH13" s="19">
        <f t="shared" ca="1" si="4"/>
        <v>11.828410329073439</v>
      </c>
      <c r="AM13" s="1" t="s">
        <v>8</v>
      </c>
      <c r="AN13" s="22">
        <f t="shared" ref="AN13:AN31" ca="1" si="12">MIN(AF8,J11) * G11 * 20</f>
        <v>401496356.52179825</v>
      </c>
      <c r="AO13" s="22">
        <f t="shared" ref="AO13:AO31" ca="1" si="13">MIN(AH8,J11) * G11 * 20</f>
        <v>464890518.07787174</v>
      </c>
      <c r="AP13" s="22">
        <f t="shared" ref="AP13:AP31" ca="1" si="14">$N$10 + R13 * 20</f>
        <v>97139092.286574543</v>
      </c>
      <c r="AQ13" s="22">
        <f t="shared" ref="AQ13:AQ31" ca="1" si="15">$O$10 + U13 * 20</f>
        <v>165096178.3409363</v>
      </c>
      <c r="AT13" s="23">
        <f t="shared" ref="AT13:AT31" ca="1" si="16">AF8</f>
        <v>10.728737938293298</v>
      </c>
      <c r="AU13" s="23">
        <f t="shared" ref="AU13:AU31" ca="1" si="17">AH8</f>
        <v>12.42274919170803</v>
      </c>
      <c r="AV13" s="22">
        <f t="shared" ref="AV13:AW31" ca="1" si="18">AN13-AP13</f>
        <v>304357264.23522371</v>
      </c>
      <c r="AW13" s="22">
        <f t="shared" ca="1" si="18"/>
        <v>299794339.73693544</v>
      </c>
    </row>
    <row r="14" spans="2:51" x14ac:dyDescent="0.2">
      <c r="B14" s="1" t="s">
        <v>11</v>
      </c>
      <c r="C14" s="3">
        <f t="shared" ca="1" si="5"/>
        <v>9.528097236096599</v>
      </c>
      <c r="F14" s="1" t="s">
        <v>11</v>
      </c>
      <c r="G14" s="8">
        <f t="shared" ca="1" si="6"/>
        <v>1736220.1336790521</v>
      </c>
      <c r="I14" s="1" t="s">
        <v>11</v>
      </c>
      <c r="J14" s="24">
        <f t="shared" ca="1" si="7"/>
        <v>186.89640296292393</v>
      </c>
      <c r="M14" s="1" t="s">
        <v>9</v>
      </c>
      <c r="N14" s="3">
        <f t="shared" ca="1" si="8"/>
        <v>10.799912961806029</v>
      </c>
      <c r="O14" s="3">
        <f t="shared" ca="1" si="9"/>
        <v>12.505162376828036</v>
      </c>
      <c r="Q14" s="17" t="s">
        <v>9</v>
      </c>
      <c r="R14" s="20">
        <f t="shared" ca="1" si="10"/>
        <v>1793790.6689519975</v>
      </c>
      <c r="S14" s="14"/>
      <c r="T14" s="17" t="s">
        <v>9</v>
      </c>
      <c r="U14" s="18">
        <f t="shared" ca="1" si="11"/>
        <v>2473500.4891126989</v>
      </c>
      <c r="W14" s="1" t="s">
        <v>15</v>
      </c>
      <c r="X14">
        <f t="shared" ca="1" si="0"/>
        <v>1</v>
      </c>
      <c r="Z14" s="1" t="s">
        <v>14</v>
      </c>
      <c r="AA14">
        <f t="shared" ca="1" si="1"/>
        <v>0</v>
      </c>
      <c r="AC14">
        <f t="shared" ca="1" si="2"/>
        <v>0</v>
      </c>
      <c r="AE14" s="17" t="s">
        <v>14</v>
      </c>
      <c r="AF14" s="19">
        <f t="shared" ca="1" si="3"/>
        <v>9.0799509302702983</v>
      </c>
      <c r="AG14" s="14"/>
      <c r="AH14" s="19">
        <f t="shared" ca="1" si="4"/>
        <v>10.513627392944557</v>
      </c>
      <c r="AM14" s="1" t="s">
        <v>9</v>
      </c>
      <c r="AN14" s="22">
        <f t="shared" ca="1" si="12"/>
        <v>523128133.3610639</v>
      </c>
      <c r="AO14" s="22">
        <f t="shared" ca="1" si="13"/>
        <v>605727312.3128109</v>
      </c>
      <c r="AP14" s="22">
        <f t="shared" ca="1" si="14"/>
        <v>105875813.37903994</v>
      </c>
      <c r="AQ14" s="22">
        <f t="shared" ca="1" si="15"/>
        <v>159470009.78225398</v>
      </c>
      <c r="AT14" s="23">
        <f t="shared" ca="1" si="16"/>
        <v>10.799912961806029</v>
      </c>
      <c r="AU14" s="23">
        <f t="shared" ca="1" si="17"/>
        <v>12.505162376828036</v>
      </c>
      <c r="AV14" s="22">
        <f t="shared" ca="1" si="18"/>
        <v>417252319.98202395</v>
      </c>
      <c r="AW14" s="22">
        <f t="shared" ca="1" si="18"/>
        <v>446257302.53055692</v>
      </c>
    </row>
    <row r="15" spans="2:51" x14ac:dyDescent="0.2">
      <c r="B15" s="1" t="s">
        <v>12</v>
      </c>
      <c r="C15" s="3">
        <f t="shared" ca="1" si="5"/>
        <v>9.3531770109465135</v>
      </c>
      <c r="F15" s="1" t="s">
        <v>12</v>
      </c>
      <c r="G15" s="8">
        <f t="shared" ca="1" si="6"/>
        <v>1840769.2477196765</v>
      </c>
      <c r="I15" s="1" t="s">
        <v>12</v>
      </c>
      <c r="J15" s="24">
        <f t="shared" ca="1" si="7"/>
        <v>185.07071085774703</v>
      </c>
      <c r="M15" s="1" t="s">
        <v>10</v>
      </c>
      <c r="N15" s="3">
        <f t="shared" ca="1" si="8"/>
        <v>7.9795886145893435</v>
      </c>
      <c r="O15" s="3">
        <f t="shared" ca="1" si="9"/>
        <v>9.2395236589981895</v>
      </c>
      <c r="Q15" s="17" t="s">
        <v>10</v>
      </c>
      <c r="R15" s="20">
        <f t="shared" ca="1" si="10"/>
        <v>1520825.4961758791</v>
      </c>
      <c r="S15" s="14"/>
      <c r="T15" s="17" t="s">
        <v>10</v>
      </c>
      <c r="U15" s="18">
        <f t="shared" ca="1" si="11"/>
        <v>2249378.756724067</v>
      </c>
      <c r="W15" s="1" t="s">
        <v>16</v>
      </c>
      <c r="X15">
        <f t="shared" ca="1" si="0"/>
        <v>0</v>
      </c>
      <c r="Z15" s="1" t="s">
        <v>15</v>
      </c>
      <c r="AA15">
        <f t="shared" ca="1" si="1"/>
        <v>0.31484032896905961</v>
      </c>
      <c r="AC15">
        <f t="shared" ca="1" si="2"/>
        <v>0.10504025019121277</v>
      </c>
      <c r="AE15" s="17" t="s">
        <v>15</v>
      </c>
      <c r="AF15" s="19">
        <f t="shared" ca="1" si="3"/>
        <v>5.6475450381370944</v>
      </c>
      <c r="AG15" s="14"/>
      <c r="AH15" s="19">
        <f t="shared" ca="1" si="4"/>
        <v>8.5416248732302584</v>
      </c>
      <c r="AM15" s="1" t="s">
        <v>10</v>
      </c>
      <c r="AN15" s="22">
        <f t="shared" ca="1" si="12"/>
        <v>307111333.8247894</v>
      </c>
      <c r="AO15" s="22">
        <f t="shared" ca="1" si="13"/>
        <v>355602597.06028259</v>
      </c>
      <c r="AP15" s="22">
        <f t="shared" ca="1" si="14"/>
        <v>100416509.92351758</v>
      </c>
      <c r="AQ15" s="22">
        <f t="shared" ca="1" si="15"/>
        <v>154987575.13448134</v>
      </c>
      <c r="AT15" s="23">
        <f t="shared" ca="1" si="16"/>
        <v>7.9795886145893435</v>
      </c>
      <c r="AU15" s="23">
        <f t="shared" ca="1" si="17"/>
        <v>9.2395236589981895</v>
      </c>
      <c r="AV15" s="22">
        <f t="shared" ca="1" si="18"/>
        <v>206694823.90127182</v>
      </c>
      <c r="AW15" s="22">
        <f t="shared" ca="1" si="18"/>
        <v>200615021.92580125</v>
      </c>
    </row>
    <row r="16" spans="2:51" x14ac:dyDescent="0.2">
      <c r="B16" s="1" t="s">
        <v>13</v>
      </c>
      <c r="C16" s="3">
        <f t="shared" ca="1" si="5"/>
        <v>10.753100299157671</v>
      </c>
      <c r="F16" s="1" t="s">
        <v>13</v>
      </c>
      <c r="G16" s="8">
        <f t="shared" ca="1" si="6"/>
        <v>1700822.8814188843</v>
      </c>
      <c r="I16" s="1" t="s">
        <v>13</v>
      </c>
      <c r="J16" s="24">
        <f t="shared" ca="1" si="7"/>
        <v>185.19257049098098</v>
      </c>
      <c r="M16" s="1" t="s">
        <v>11</v>
      </c>
      <c r="N16" s="3">
        <f t="shared" ca="1" si="8"/>
        <v>9.0516923742917683</v>
      </c>
      <c r="O16" s="3">
        <f t="shared" ca="1" si="9"/>
        <v>10.48090695970626</v>
      </c>
      <c r="Q16" s="17" t="s">
        <v>11</v>
      </c>
      <c r="R16" s="20">
        <f t="shared" ca="1" si="10"/>
        <v>1530531.0504944669</v>
      </c>
      <c r="S16" s="14"/>
      <c r="T16" s="17" t="s">
        <v>11</v>
      </c>
      <c r="U16" s="18">
        <f t="shared" ca="1" si="11"/>
        <v>2344967.9381921245</v>
      </c>
      <c r="W16" s="1" t="s">
        <v>17</v>
      </c>
      <c r="X16">
        <f t="shared" ca="1" si="0"/>
        <v>0</v>
      </c>
      <c r="Z16" s="1" t="s">
        <v>16</v>
      </c>
      <c r="AA16">
        <f t="shared" ca="1" si="1"/>
        <v>0</v>
      </c>
      <c r="AC16">
        <f t="shared" ca="1" si="2"/>
        <v>0</v>
      </c>
      <c r="AE16" s="17" t="s">
        <v>16</v>
      </c>
      <c r="AF16" s="19">
        <f t="shared" ca="1" si="3"/>
        <v>5.5296099423684026</v>
      </c>
      <c r="AG16" s="14"/>
      <c r="AH16" s="19">
        <f t="shared" ca="1" si="4"/>
        <v>6.4027062490581512</v>
      </c>
      <c r="AM16" s="1" t="s">
        <v>11</v>
      </c>
      <c r="AN16" s="22">
        <f t="shared" ca="1" si="12"/>
        <v>314314610.88229024</v>
      </c>
      <c r="AO16" s="22">
        <f t="shared" ca="1" si="13"/>
        <v>363943233.65317822</v>
      </c>
      <c r="AP16" s="22">
        <f t="shared" ca="1" si="14"/>
        <v>100610621.00988933</v>
      </c>
      <c r="AQ16" s="22">
        <f t="shared" ca="1" si="15"/>
        <v>156899358.76384249</v>
      </c>
      <c r="AT16" s="23">
        <f t="shared" ca="1" si="16"/>
        <v>9.0516923742917683</v>
      </c>
      <c r="AU16" s="23">
        <f t="shared" ca="1" si="17"/>
        <v>10.48090695970626</v>
      </c>
      <c r="AV16" s="22">
        <f t="shared" ca="1" si="18"/>
        <v>213703989.87240091</v>
      </c>
      <c r="AW16" s="22">
        <f t="shared" ca="1" si="18"/>
        <v>207043874.88933572</v>
      </c>
    </row>
    <row r="17" spans="2:49" x14ac:dyDescent="0.2">
      <c r="B17" s="1" t="s">
        <v>14</v>
      </c>
      <c r="C17" s="3">
        <f t="shared" ca="1" si="5"/>
        <v>9.557843084495051</v>
      </c>
      <c r="F17" s="1" t="s">
        <v>14</v>
      </c>
      <c r="G17" s="8">
        <f t="shared" ca="1" si="6"/>
        <v>1869133.8322276291</v>
      </c>
      <c r="I17" s="1" t="s">
        <v>14</v>
      </c>
      <c r="J17" s="24">
        <f t="shared" ca="1" si="7"/>
        <v>180.25861762993887</v>
      </c>
      <c r="M17" s="1" t="s">
        <v>12</v>
      </c>
      <c r="N17" s="3">
        <f t="shared" ca="1" si="8"/>
        <v>8.8855181603991866</v>
      </c>
      <c r="O17" s="3">
        <f t="shared" ca="1" si="9"/>
        <v>10.288494712041166</v>
      </c>
      <c r="Q17" s="17" t="s">
        <v>12</v>
      </c>
      <c r="R17" s="20">
        <f t="shared" ca="1" si="10"/>
        <v>1709959.3079343061</v>
      </c>
      <c r="S17" s="14"/>
      <c r="T17" s="17" t="s">
        <v>12</v>
      </c>
      <c r="U17" s="18">
        <f t="shared" ca="1" si="11"/>
        <v>2178889.9769462394</v>
      </c>
      <c r="W17" s="1" t="s">
        <v>18</v>
      </c>
      <c r="X17">
        <f t="shared" ca="1" si="0"/>
        <v>0</v>
      </c>
      <c r="Z17" s="1" t="s">
        <v>17</v>
      </c>
      <c r="AA17">
        <f t="shared" ca="1" si="1"/>
        <v>0</v>
      </c>
      <c r="AC17">
        <f t="shared" ca="1" si="2"/>
        <v>0</v>
      </c>
      <c r="AE17" s="17" t="s">
        <v>17</v>
      </c>
      <c r="AF17" s="19">
        <f t="shared" ca="1" si="3"/>
        <v>7.6698654372940576</v>
      </c>
      <c r="AG17" s="14"/>
      <c r="AH17" s="19">
        <f t="shared" ca="1" si="4"/>
        <v>8.8808968221299622</v>
      </c>
      <c r="AM17" s="1" t="s">
        <v>12</v>
      </c>
      <c r="AN17" s="22">
        <f t="shared" ca="1" si="12"/>
        <v>327123771.5943507</v>
      </c>
      <c r="AO17" s="22">
        <f t="shared" ca="1" si="13"/>
        <v>378774893.42503774</v>
      </c>
      <c r="AP17" s="22">
        <f t="shared" ca="1" si="14"/>
        <v>104199186.15868613</v>
      </c>
      <c r="AQ17" s="22">
        <f t="shared" ca="1" si="15"/>
        <v>153577799.53892478</v>
      </c>
      <c r="AT17" s="23">
        <f t="shared" ca="1" si="16"/>
        <v>8.8855181603991866</v>
      </c>
      <c r="AU17" s="23">
        <f t="shared" ca="1" si="17"/>
        <v>10.288494712041166</v>
      </c>
      <c r="AV17" s="22">
        <f t="shared" ca="1" si="18"/>
        <v>222924585.43566456</v>
      </c>
      <c r="AW17" s="22">
        <f t="shared" ca="1" si="18"/>
        <v>225197093.88611296</v>
      </c>
    </row>
    <row r="18" spans="2:49" x14ac:dyDescent="0.2">
      <c r="B18" s="1" t="s">
        <v>15</v>
      </c>
      <c r="C18" s="3">
        <f t="shared" ca="1" si="5"/>
        <v>8.6764946946245036</v>
      </c>
      <c r="F18" s="1" t="s">
        <v>15</v>
      </c>
      <c r="G18" s="8">
        <f t="shared" ca="1" si="6"/>
        <v>2398732.0951004419</v>
      </c>
      <c r="I18" s="1" t="s">
        <v>15</v>
      </c>
      <c r="J18" s="24">
        <f t="shared" ca="1" si="7"/>
        <v>173.61967881630096</v>
      </c>
      <c r="M18" s="1" t="s">
        <v>13</v>
      </c>
      <c r="N18" s="3">
        <f t="shared" ca="1" si="8"/>
        <v>10.215445284199786</v>
      </c>
      <c r="O18" s="3">
        <f t="shared" ca="1" si="9"/>
        <v>11.828410329073439</v>
      </c>
      <c r="Q18" s="17" t="s">
        <v>13</v>
      </c>
      <c r="R18" s="20">
        <f t="shared" ca="1" si="10"/>
        <v>1409333.7611889406</v>
      </c>
      <c r="S18" s="14"/>
      <c r="T18" s="17" t="s">
        <v>13</v>
      </c>
      <c r="U18" s="18">
        <f t="shared" ca="1" si="11"/>
        <v>2829888.2614489212</v>
      </c>
      <c r="W18" s="1" t="s">
        <v>19</v>
      </c>
      <c r="X18">
        <f t="shared" ca="1" si="0"/>
        <v>0</v>
      </c>
      <c r="Z18" s="1" t="s">
        <v>18</v>
      </c>
      <c r="AA18">
        <f t="shared" ca="1" si="1"/>
        <v>0</v>
      </c>
      <c r="AC18">
        <f t="shared" ca="1" si="2"/>
        <v>0</v>
      </c>
      <c r="AE18" s="17" t="s">
        <v>18</v>
      </c>
      <c r="AF18" s="19">
        <f t="shared" ca="1" si="3"/>
        <v>8.8388758548618576</v>
      </c>
      <c r="AG18" s="14"/>
      <c r="AH18" s="19">
        <f t="shared" ca="1" si="4"/>
        <v>10.234487831945309</v>
      </c>
      <c r="AM18" s="1" t="s">
        <v>13</v>
      </c>
      <c r="AN18" s="22">
        <f t="shared" ca="1" si="12"/>
        <v>347493261.66499263</v>
      </c>
      <c r="AO18" s="22">
        <f t="shared" ca="1" si="13"/>
        <v>402360618.76999152</v>
      </c>
      <c r="AP18" s="22">
        <f t="shared" ca="1" si="14"/>
        <v>98186675.223778814</v>
      </c>
      <c r="AQ18" s="22">
        <f t="shared" ca="1" si="15"/>
        <v>166597765.22897843</v>
      </c>
      <c r="AT18" s="23">
        <f t="shared" ca="1" si="16"/>
        <v>10.215445284199786</v>
      </c>
      <c r="AU18" s="23">
        <f t="shared" ca="1" si="17"/>
        <v>11.828410329073439</v>
      </c>
      <c r="AV18" s="22">
        <f t="shared" ca="1" si="18"/>
        <v>249306586.44121382</v>
      </c>
      <c r="AW18" s="22">
        <f t="shared" ca="1" si="18"/>
        <v>235762853.54101309</v>
      </c>
    </row>
    <row r="19" spans="2:49" x14ac:dyDescent="0.2">
      <c r="B19" s="1" t="s">
        <v>16</v>
      </c>
      <c r="C19" s="3">
        <f ca="1">IF(RAND() &lt; (10-5)/(14-5), 5 + SQRT(RAND() * (10-5) * (14-5)), 14 - SQRT((1-RAND()) * (14-10) * (14-5)))</f>
        <v>5.8206420445983191</v>
      </c>
      <c r="F19" s="1" t="s">
        <v>16</v>
      </c>
      <c r="G19" s="8">
        <f t="shared" ca="1" si="6"/>
        <v>1901940.3988693631</v>
      </c>
      <c r="I19" s="1" t="s">
        <v>16</v>
      </c>
      <c r="J19" s="24">
        <f t="shared" ca="1" si="7"/>
        <v>184.02844823294873</v>
      </c>
      <c r="M19" s="1" t="s">
        <v>14</v>
      </c>
      <c r="N19" s="3">
        <f t="shared" ca="1" si="8"/>
        <v>9.0799509302702983</v>
      </c>
      <c r="O19" s="3">
        <f t="shared" ca="1" si="9"/>
        <v>10.513627392944557</v>
      </c>
      <c r="Q19" s="17" t="s">
        <v>14</v>
      </c>
      <c r="R19" s="20">
        <f t="shared" ca="1" si="10"/>
        <v>1594105.9865888644</v>
      </c>
      <c r="S19" s="14"/>
      <c r="T19" s="17" t="s">
        <v>14</v>
      </c>
      <c r="U19" s="18">
        <f t="shared" ca="1" si="11"/>
        <v>2435652.1894559423</v>
      </c>
      <c r="W19" s="1" t="s">
        <v>20</v>
      </c>
      <c r="X19">
        <f t="shared" ca="1" si="0"/>
        <v>0</v>
      </c>
      <c r="Z19" s="1" t="s">
        <v>19</v>
      </c>
      <c r="AA19">
        <f t="shared" ca="1" si="1"/>
        <v>0</v>
      </c>
      <c r="AC19">
        <f t="shared" ca="1" si="2"/>
        <v>0</v>
      </c>
      <c r="AE19" s="17" t="s">
        <v>19</v>
      </c>
      <c r="AF19" s="19">
        <f t="shared" ca="1" si="3"/>
        <v>8.8421479500250317</v>
      </c>
      <c r="AG19" s="14"/>
      <c r="AH19" s="19">
        <f t="shared" ca="1" si="4"/>
        <v>10.238276573713197</v>
      </c>
      <c r="AM19" s="1" t="s">
        <v>14</v>
      </c>
      <c r="AN19" s="22">
        <f t="shared" ca="1" si="12"/>
        <v>339432869.57469893</v>
      </c>
      <c r="AO19" s="22">
        <f t="shared" ca="1" si="13"/>
        <v>393027533.19175673</v>
      </c>
      <c r="AP19" s="22">
        <f t="shared" ca="1" si="14"/>
        <v>101882119.73177728</v>
      </c>
      <c r="AQ19" s="22">
        <f t="shared" ca="1" si="15"/>
        <v>158713043.78911883</v>
      </c>
      <c r="AT19" s="23">
        <f t="shared" ca="1" si="16"/>
        <v>9.0799509302702983</v>
      </c>
      <c r="AU19" s="23">
        <f t="shared" ca="1" si="17"/>
        <v>10.513627392944557</v>
      </c>
      <c r="AV19" s="22">
        <f t="shared" ca="1" si="18"/>
        <v>237550749.84292164</v>
      </c>
      <c r="AW19" s="22">
        <f t="shared" ca="1" si="18"/>
        <v>234314489.4026379</v>
      </c>
    </row>
    <row r="20" spans="2:49" x14ac:dyDescent="0.2">
      <c r="B20" s="1" t="s">
        <v>17</v>
      </c>
      <c r="C20" s="3">
        <f t="shared" ca="1" si="5"/>
        <v>8.0735425655726925</v>
      </c>
      <c r="F20" s="1" t="s">
        <v>17</v>
      </c>
      <c r="G20" s="8">
        <f ca="1">_xlfn.NORM.INV(RAND(),1900000,250000)</f>
        <v>1828089.041884738</v>
      </c>
      <c r="I20" s="1" t="s">
        <v>17</v>
      </c>
      <c r="J20" s="24">
        <f t="shared" ca="1" si="7"/>
        <v>187.03367800093821</v>
      </c>
      <c r="M20" s="1" t="s">
        <v>15</v>
      </c>
      <c r="N20" s="3">
        <f t="shared" ca="1" si="8"/>
        <v>8.2426699598932789</v>
      </c>
      <c r="O20" s="3">
        <f t="shared" ca="1" si="9"/>
        <v>9.5441441640869549</v>
      </c>
      <c r="Q20" s="17" t="s">
        <v>15</v>
      </c>
      <c r="R20" s="20">
        <f t="shared" ca="1" si="10"/>
        <v>1387494.9935381187</v>
      </c>
      <c r="S20" s="14"/>
      <c r="T20" s="17" t="s">
        <v>15</v>
      </c>
      <c r="U20" s="18">
        <f t="shared" ca="1" si="11"/>
        <v>2247921.8646044121</v>
      </c>
      <c r="W20" s="1" t="s">
        <v>21</v>
      </c>
      <c r="X20">
        <f t="shared" ca="1" si="0"/>
        <v>0</v>
      </c>
      <c r="Z20" s="1" t="s">
        <v>20</v>
      </c>
      <c r="AA20">
        <f t="shared" ca="1" si="1"/>
        <v>0</v>
      </c>
      <c r="AC20">
        <f t="shared" ca="1" si="2"/>
        <v>0</v>
      </c>
      <c r="AE20" s="17" t="s">
        <v>20</v>
      </c>
      <c r="AF20" s="19">
        <f t="shared" ca="1" si="3"/>
        <v>6.3438678088445632</v>
      </c>
      <c r="AG20" s="14"/>
      <c r="AH20" s="19">
        <f t="shared" ca="1" si="4"/>
        <v>7.3455311470831788</v>
      </c>
      <c r="AM20" s="1" t="s">
        <v>15</v>
      </c>
      <c r="AN20" s="22">
        <f t="shared" ca="1" si="12"/>
        <v>270938950.83009398</v>
      </c>
      <c r="AO20" s="22">
        <f t="shared" ca="1" si="13"/>
        <v>409781394.55451334</v>
      </c>
      <c r="AP20" s="22">
        <f t="shared" ca="1" si="14"/>
        <v>97749899.870762378</v>
      </c>
      <c r="AQ20" s="22">
        <f t="shared" ca="1" si="15"/>
        <v>154958437.29208824</v>
      </c>
      <c r="AT20" s="23">
        <f t="shared" ca="1" si="16"/>
        <v>5.6475450381370944</v>
      </c>
      <c r="AU20" s="23">
        <f t="shared" ca="1" si="17"/>
        <v>8.5416248732302584</v>
      </c>
      <c r="AV20" s="22">
        <f t="shared" ca="1" si="18"/>
        <v>173189050.9593316</v>
      </c>
      <c r="AW20" s="22">
        <f t="shared" ca="1" si="18"/>
        <v>254822957.26242509</v>
      </c>
    </row>
    <row r="21" spans="2:49" x14ac:dyDescent="0.2">
      <c r="B21" s="1" t="s">
        <v>18</v>
      </c>
      <c r="C21" s="3">
        <f t="shared" ca="1" si="5"/>
        <v>9.304079847223008</v>
      </c>
      <c r="F21" s="1" t="s">
        <v>18</v>
      </c>
      <c r="G21" s="8">
        <f t="shared" ca="1" si="6"/>
        <v>2157967.3014347949</v>
      </c>
      <c r="I21" s="1" t="s">
        <v>18</v>
      </c>
      <c r="J21" s="24">
        <f t="shared" ca="1" si="7"/>
        <v>189.28968091323517</v>
      </c>
      <c r="M21" s="1" t="s">
        <v>16</v>
      </c>
      <c r="N21" s="3">
        <f t="shared" ca="1" si="8"/>
        <v>5.5296099423684026</v>
      </c>
      <c r="O21" s="3">
        <f t="shared" ca="1" si="9"/>
        <v>6.4027062490581512</v>
      </c>
      <c r="Q21" s="17" t="s">
        <v>16</v>
      </c>
      <c r="R21" s="20">
        <f t="shared" ca="1" si="10"/>
        <v>1889676.1791489702</v>
      </c>
      <c r="S21" s="14"/>
      <c r="T21" s="17" t="s">
        <v>16</v>
      </c>
      <c r="U21" s="18">
        <f t="shared" ca="1" si="11"/>
        <v>2523359.5420435076</v>
      </c>
      <c r="W21" s="1" t="s">
        <v>22</v>
      </c>
      <c r="X21">
        <f t="shared" ca="1" si="0"/>
        <v>0</v>
      </c>
      <c r="Z21" s="1" t="s">
        <v>21</v>
      </c>
      <c r="AA21">
        <f t="shared" ca="1" si="1"/>
        <v>0</v>
      </c>
      <c r="AC21">
        <f t="shared" ca="1" si="2"/>
        <v>0</v>
      </c>
      <c r="AE21" s="17" t="s">
        <v>21</v>
      </c>
      <c r="AF21" s="19">
        <f t="shared" ca="1" si="3"/>
        <v>10.825103868881749</v>
      </c>
      <c r="AG21" s="14"/>
      <c r="AH21" s="19">
        <f t="shared" ca="1" si="4"/>
        <v>12.534330795547289</v>
      </c>
      <c r="AM21" s="1" t="s">
        <v>16</v>
      </c>
      <c r="AN21" s="22">
        <f t="shared" ca="1" si="12"/>
        <v>210339770.78760311</v>
      </c>
      <c r="AO21" s="22">
        <f t="shared" ca="1" si="13"/>
        <v>243551313.54354048</v>
      </c>
      <c r="AP21" s="22">
        <f t="shared" ca="1" si="14"/>
        <v>107793523.58297941</v>
      </c>
      <c r="AQ21" s="22">
        <f t="shared" ca="1" si="15"/>
        <v>160467190.84087014</v>
      </c>
      <c r="AT21" s="23">
        <f t="shared" ca="1" si="16"/>
        <v>5.5296099423684026</v>
      </c>
      <c r="AU21" s="23">
        <f t="shared" ca="1" si="17"/>
        <v>6.4027062490581512</v>
      </c>
      <c r="AV21" s="22">
        <f t="shared" ca="1" si="18"/>
        <v>102546247.2046237</v>
      </c>
      <c r="AW21" s="22">
        <f t="shared" ca="1" si="18"/>
        <v>83084122.702670336</v>
      </c>
    </row>
    <row r="22" spans="2:49" x14ac:dyDescent="0.2">
      <c r="B22" s="1" t="s">
        <v>19</v>
      </c>
      <c r="C22" s="3">
        <f t="shared" ca="1" si="5"/>
        <v>9.3075241579210868</v>
      </c>
      <c r="F22" s="1" t="s">
        <v>19</v>
      </c>
      <c r="G22" s="8">
        <f t="shared" ca="1" si="6"/>
        <v>2147057.1739168414</v>
      </c>
      <c r="I22" s="1" t="s">
        <v>19</v>
      </c>
      <c r="J22" s="24">
        <f t="shared" ca="1" si="7"/>
        <v>193.52059994598227</v>
      </c>
      <c r="M22" s="1" t="s">
        <v>17</v>
      </c>
      <c r="N22" s="3">
        <f t="shared" ca="1" si="8"/>
        <v>7.6698654372940576</v>
      </c>
      <c r="O22" s="3">
        <f t="shared" ca="1" si="9"/>
        <v>8.8808968221299622</v>
      </c>
      <c r="Q22" s="17" t="s">
        <v>17</v>
      </c>
      <c r="R22" s="20">
        <f t="shared" ca="1" si="10"/>
        <v>1856222.9662222592</v>
      </c>
      <c r="S22" s="14"/>
      <c r="T22" s="17" t="s">
        <v>17</v>
      </c>
      <c r="U22" s="18">
        <f t="shared" ca="1" si="11"/>
        <v>2672303.7862598859</v>
      </c>
      <c r="W22" s="1" t="s">
        <v>23</v>
      </c>
      <c r="X22">
        <f t="shared" ca="1" si="0"/>
        <v>1</v>
      </c>
      <c r="Z22" s="1" t="s">
        <v>22</v>
      </c>
      <c r="AA22">
        <f t="shared" ca="1" si="1"/>
        <v>0</v>
      </c>
      <c r="AC22">
        <f t="shared" ca="1" si="2"/>
        <v>0</v>
      </c>
      <c r="AE22" s="17" t="s">
        <v>22</v>
      </c>
      <c r="AF22" s="19">
        <f t="shared" ca="1" si="3"/>
        <v>7.4736064432983662</v>
      </c>
      <c r="AG22" s="14"/>
      <c r="AH22" s="19">
        <f t="shared" ca="1" si="4"/>
        <v>8.6536495659244252</v>
      </c>
      <c r="AM22" s="1" t="s">
        <v>17</v>
      </c>
      <c r="AN22" s="22">
        <f t="shared" ca="1" si="12"/>
        <v>280423939.17295521</v>
      </c>
      <c r="AO22" s="22">
        <f t="shared" ca="1" si="13"/>
        <v>324701403.25289553</v>
      </c>
      <c r="AP22" s="22">
        <f t="shared" ca="1" si="14"/>
        <v>107124459.32444519</v>
      </c>
      <c r="AQ22" s="22">
        <f t="shared" ca="1" si="15"/>
        <v>163446075.72519773</v>
      </c>
      <c r="AT22" s="23">
        <f t="shared" ca="1" si="16"/>
        <v>7.6698654372940576</v>
      </c>
      <c r="AU22" s="23">
        <f t="shared" ca="1" si="17"/>
        <v>8.8808968221299622</v>
      </c>
      <c r="AV22" s="22">
        <f t="shared" ca="1" si="18"/>
        <v>173299479.84851003</v>
      </c>
      <c r="AW22" s="22">
        <f t="shared" ca="1" si="18"/>
        <v>161255327.5276978</v>
      </c>
    </row>
    <row r="23" spans="2:49" x14ac:dyDescent="0.2">
      <c r="B23" s="1" t="s">
        <v>20</v>
      </c>
      <c r="C23" s="3">
        <f t="shared" ca="1" si="5"/>
        <v>6.6777555882574351</v>
      </c>
      <c r="F23" s="1" t="s">
        <v>20</v>
      </c>
      <c r="G23" s="8">
        <f t="shared" ca="1" si="6"/>
        <v>1699265.0882830441</v>
      </c>
      <c r="I23" s="1" t="s">
        <v>20</v>
      </c>
      <c r="J23" s="24">
        <f ca="1">J22 * _xlfn.NORM.INV(RAND(),$J$7,$K$7)</f>
        <v>201.97497772721101</v>
      </c>
      <c r="M23" s="1" t="s">
        <v>18</v>
      </c>
      <c r="N23" s="3">
        <f t="shared" ca="1" si="8"/>
        <v>8.8388758548618576</v>
      </c>
      <c r="O23" s="3">
        <f t="shared" ca="1" si="9"/>
        <v>10.234487831945309</v>
      </c>
      <c r="Q23" s="17" t="s">
        <v>18</v>
      </c>
      <c r="R23" s="20">
        <f t="shared" ca="1" si="10"/>
        <v>1566284.6147968259</v>
      </c>
      <c r="S23" s="14"/>
      <c r="T23" s="17" t="s">
        <v>18</v>
      </c>
      <c r="U23" s="18">
        <f t="shared" ca="1" si="11"/>
        <v>2597150.176430461</v>
      </c>
      <c r="W23" s="1" t="s">
        <v>24</v>
      </c>
      <c r="X23">
        <f t="shared" ca="1" si="0"/>
        <v>0</v>
      </c>
      <c r="Z23" s="1" t="s">
        <v>23</v>
      </c>
      <c r="AA23">
        <f t="shared" ca="1" si="1"/>
        <v>0.39179413399164209</v>
      </c>
      <c r="AC23">
        <f t="shared" ca="1" si="2"/>
        <v>4.5419812054121947E-2</v>
      </c>
      <c r="AE23" s="17" t="s">
        <v>23</v>
      </c>
      <c r="AF23" s="19">
        <f t="shared" ca="1" si="3"/>
        <v>4.531058574071996</v>
      </c>
      <c r="AG23" s="14"/>
      <c r="AH23" s="19">
        <f t="shared" ca="1" si="4"/>
        <v>8.2343736167038823</v>
      </c>
      <c r="AM23" s="1" t="s">
        <v>18</v>
      </c>
      <c r="AN23" s="22">
        <f t="shared" ca="1" si="12"/>
        <v>381480101.52466822</v>
      </c>
      <c r="AO23" s="22">
        <f t="shared" ca="1" si="13"/>
        <v>441713801.76540524</v>
      </c>
      <c r="AP23" s="22">
        <f t="shared" ca="1" si="14"/>
        <v>101325692.29593652</v>
      </c>
      <c r="AQ23" s="22">
        <f t="shared" ca="1" si="15"/>
        <v>161943003.52860922</v>
      </c>
      <c r="AT23" s="23">
        <f t="shared" ca="1" si="16"/>
        <v>8.8388758548618576</v>
      </c>
      <c r="AU23" s="23">
        <f t="shared" ca="1" si="17"/>
        <v>10.234487831945309</v>
      </c>
      <c r="AV23" s="22">
        <f t="shared" ca="1" si="18"/>
        <v>280154409.22873169</v>
      </c>
      <c r="AW23" s="22">
        <f t="shared" ca="1" si="18"/>
        <v>279770798.23679602</v>
      </c>
    </row>
    <row r="24" spans="2:49" x14ac:dyDescent="0.2">
      <c r="B24" s="1" t="s">
        <v>21</v>
      </c>
      <c r="C24" s="3">
        <f t="shared" ca="1" si="5"/>
        <v>11.394846177770262</v>
      </c>
      <c r="F24" s="1" t="s">
        <v>21</v>
      </c>
      <c r="G24" s="8">
        <f t="shared" ca="1" si="6"/>
        <v>1660387.4624232026</v>
      </c>
      <c r="I24" s="1" t="s">
        <v>21</v>
      </c>
      <c r="J24" s="24">
        <f t="shared" ca="1" si="7"/>
        <v>212.44734410960231</v>
      </c>
      <c r="M24" s="1" t="s">
        <v>19</v>
      </c>
      <c r="N24" s="3">
        <f t="shared" ca="1" si="8"/>
        <v>8.8421479500250317</v>
      </c>
      <c r="O24" s="3">
        <f t="shared" ca="1" si="9"/>
        <v>10.238276573713197</v>
      </c>
      <c r="Q24" s="17" t="s">
        <v>19</v>
      </c>
      <c r="R24" s="20">
        <f t="shared" ca="1" si="10"/>
        <v>1383968.7573737653</v>
      </c>
      <c r="S24" s="14"/>
      <c r="T24" s="17" t="s">
        <v>19</v>
      </c>
      <c r="U24" s="18">
        <f t="shared" ca="1" si="11"/>
        <v>2585967.5113572259</v>
      </c>
      <c r="W24" s="1" t="s">
        <v>25</v>
      </c>
      <c r="X24">
        <f ca="1">IF(RAND() &lt; 0.05, 1, 0)</f>
        <v>1</v>
      </c>
      <c r="Z24" s="1" t="s">
        <v>24</v>
      </c>
      <c r="AA24">
        <f t="shared" ca="1" si="1"/>
        <v>0</v>
      </c>
      <c r="AC24">
        <f t="shared" ca="1" si="2"/>
        <v>0</v>
      </c>
      <c r="AE24" s="17" t="s">
        <v>24</v>
      </c>
      <c r="AF24" s="19">
        <f t="shared" ca="1" si="3"/>
        <v>9.9500616459647038</v>
      </c>
      <c r="AG24" s="14"/>
      <c r="AH24" s="19">
        <f t="shared" ca="1" si="4"/>
        <v>11.521124011117028</v>
      </c>
      <c r="AM24" s="1" t="s">
        <v>19</v>
      </c>
      <c r="AN24" s="22">
        <f t="shared" ca="1" si="12"/>
        <v>379691943.77870673</v>
      </c>
      <c r="AO24" s="22">
        <f t="shared" ca="1" si="13"/>
        <v>439643303.32271314</v>
      </c>
      <c r="AP24" s="22">
        <f t="shared" ca="1" si="14"/>
        <v>97679375.147475302</v>
      </c>
      <c r="AQ24" s="22">
        <f t="shared" ca="1" si="15"/>
        <v>161719350.22714451</v>
      </c>
      <c r="AT24" s="23">
        <f t="shared" ca="1" si="16"/>
        <v>8.8421479500250317</v>
      </c>
      <c r="AU24" s="23">
        <f t="shared" ca="1" si="17"/>
        <v>10.238276573713197</v>
      </c>
      <c r="AV24" s="22">
        <f t="shared" ca="1" si="18"/>
        <v>282012568.63123143</v>
      </c>
      <c r="AW24" s="22">
        <f t="shared" ca="1" si="18"/>
        <v>277923953.09556866</v>
      </c>
    </row>
    <row r="25" spans="2:49" x14ac:dyDescent="0.2">
      <c r="B25" s="1" t="s">
        <v>22</v>
      </c>
      <c r="C25" s="3">
        <f t="shared" ca="1" si="5"/>
        <v>7.8669541508403862</v>
      </c>
      <c r="F25" s="1" t="s">
        <v>22</v>
      </c>
      <c r="G25" s="8">
        <f t="shared" ca="1" si="6"/>
        <v>1815007.5711410732</v>
      </c>
      <c r="I25" s="1" t="s">
        <v>22</v>
      </c>
      <c r="J25" s="24">
        <f t="shared" ca="1" si="7"/>
        <v>206.49969590815243</v>
      </c>
      <c r="M25" s="1" t="s">
        <v>20</v>
      </c>
      <c r="N25" s="3">
        <f t="shared" ca="1" si="8"/>
        <v>6.3438678088445632</v>
      </c>
      <c r="O25" s="3">
        <f t="shared" ca="1" si="9"/>
        <v>7.3455311470831788</v>
      </c>
      <c r="Q25" s="17" t="s">
        <v>20</v>
      </c>
      <c r="R25" s="20">
        <f t="shared" ca="1" si="10"/>
        <v>1145436.854872192</v>
      </c>
      <c r="S25" s="14"/>
      <c r="T25" s="17" t="s">
        <v>20</v>
      </c>
      <c r="U25" s="18">
        <f t="shared" ca="1" si="11"/>
        <v>2452234.553165656</v>
      </c>
      <c r="W25" s="1" t="s">
        <v>26</v>
      </c>
      <c r="X25">
        <f t="shared" ca="1" si="0"/>
        <v>1</v>
      </c>
      <c r="Z25" s="1" t="s">
        <v>25</v>
      </c>
      <c r="AA25">
        <f t="shared" ca="1" si="1"/>
        <v>0.26801312408061551</v>
      </c>
      <c r="AC25">
        <f t="shared" ca="1" si="2"/>
        <v>2.5604920277030051E-2</v>
      </c>
      <c r="AE25" s="17" t="s">
        <v>25</v>
      </c>
      <c r="AF25" s="19">
        <f t="shared" ca="1" si="3"/>
        <v>7.0281347269783883</v>
      </c>
      <c r="AG25" s="14"/>
      <c r="AH25" s="19">
        <f t="shared" ca="1" si="4"/>
        <v>10.832805506815927</v>
      </c>
      <c r="AM25" s="1" t="s">
        <v>20</v>
      </c>
      <c r="AN25" s="22">
        <f t="shared" ca="1" si="12"/>
        <v>215598261.84504434</v>
      </c>
      <c r="AO25" s="22">
        <f t="shared" ca="1" si="13"/>
        <v>249640092.66268295</v>
      </c>
      <c r="AP25" s="22">
        <f t="shared" ca="1" si="14"/>
        <v>92908737.097443849</v>
      </c>
      <c r="AQ25" s="22">
        <f t="shared" ca="1" si="15"/>
        <v>159044691.06331313</v>
      </c>
      <c r="AT25" s="23">
        <f t="shared" ca="1" si="16"/>
        <v>6.3438678088445632</v>
      </c>
      <c r="AU25" s="23">
        <f t="shared" ca="1" si="17"/>
        <v>7.3455311470831788</v>
      </c>
      <c r="AV25" s="22">
        <f t="shared" ca="1" si="18"/>
        <v>122689524.7476005</v>
      </c>
      <c r="AW25" s="22">
        <f t="shared" ca="1" si="18"/>
        <v>90595401.599369824</v>
      </c>
    </row>
    <row r="26" spans="2:49" x14ac:dyDescent="0.2">
      <c r="B26" s="1" t="s">
        <v>23</v>
      </c>
      <c r="C26" s="3">
        <f t="shared" ca="1" si="5"/>
        <v>7.841975238467815</v>
      </c>
      <c r="F26" s="1" t="s">
        <v>23</v>
      </c>
      <c r="G26" s="8">
        <f t="shared" ca="1" si="6"/>
        <v>1808349.9058723121</v>
      </c>
      <c r="I26" s="1" t="s">
        <v>23</v>
      </c>
      <c r="J26" s="24">
        <f t="shared" ca="1" si="7"/>
        <v>207.7105094358858</v>
      </c>
      <c r="M26" s="1" t="s">
        <v>21</v>
      </c>
      <c r="N26" s="3">
        <f t="shared" ca="1" si="8"/>
        <v>10.825103868881749</v>
      </c>
      <c r="O26" s="3">
        <f t="shared" ca="1" si="9"/>
        <v>12.534330795547289</v>
      </c>
      <c r="Q26" s="17" t="s">
        <v>21</v>
      </c>
      <c r="R26" s="20">
        <f t="shared" ca="1" si="10"/>
        <v>1382228.3298753651</v>
      </c>
      <c r="S26" s="14"/>
      <c r="T26" s="17" t="s">
        <v>21</v>
      </c>
      <c r="U26" s="18">
        <f t="shared" ca="1" si="11"/>
        <v>2454101.9279164281</v>
      </c>
      <c r="Z26" s="1" t="s">
        <v>26</v>
      </c>
      <c r="AA26">
        <f t="shared" ca="1" si="1"/>
        <v>2.2763089996512515E-2</v>
      </c>
      <c r="AC26">
        <f t="shared" ca="1" si="2"/>
        <v>0.21537459028141584</v>
      </c>
      <c r="AE26" s="17" t="s">
        <v>26</v>
      </c>
      <c r="AF26" s="19">
        <f t="shared" ca="1" si="3"/>
        <v>11.566948597924281</v>
      </c>
      <c r="AG26" s="14"/>
      <c r="AH26" s="19">
        <f t="shared" ca="1" si="4"/>
        <v>10.753513685188526</v>
      </c>
      <c r="AM26" s="1" t="s">
        <v>21</v>
      </c>
      <c r="AN26" s="22">
        <f t="shared" ca="1" si="12"/>
        <v>359477334.86640322</v>
      </c>
      <c r="AO26" s="22">
        <f t="shared" ca="1" si="13"/>
        <v>416236914.05583531</v>
      </c>
      <c r="AP26" s="22">
        <f t="shared" ca="1" si="14"/>
        <v>97644566.597507298</v>
      </c>
      <c r="AQ26" s="22">
        <f t="shared" ca="1" si="15"/>
        <v>159082038.55832857</v>
      </c>
      <c r="AT26" s="23">
        <f t="shared" ca="1" si="16"/>
        <v>10.825103868881749</v>
      </c>
      <c r="AU26" s="23">
        <f t="shared" ca="1" si="17"/>
        <v>12.534330795547289</v>
      </c>
      <c r="AV26" s="22">
        <f ca="1">AN26-AP26</f>
        <v>261832768.26889592</v>
      </c>
      <c r="AW26" s="22">
        <f ca="1">AO26-AQ26</f>
        <v>257154875.49750674</v>
      </c>
    </row>
    <row r="27" spans="2:49" x14ac:dyDescent="0.2">
      <c r="B27" s="1" t="s">
        <v>24</v>
      </c>
      <c r="C27" s="3">
        <f ca="1">IF(RAND() &lt; (10-5)/(14-5), 5 + SQRT(RAND() * (10-5) * (14-5)), 14 - SQRT((1-RAND()) * (14-10) * (14-5)))</f>
        <v>10.473749101015478</v>
      </c>
      <c r="F27" s="1" t="s">
        <v>24</v>
      </c>
      <c r="G27" s="8">
        <f t="shared" ca="1" si="6"/>
        <v>2041928.6470317193</v>
      </c>
      <c r="I27" s="1" t="s">
        <v>24</v>
      </c>
      <c r="J27" s="24">
        <f t="shared" ca="1" si="7"/>
        <v>208.23630364903687</v>
      </c>
      <c r="M27" s="1" t="s">
        <v>22</v>
      </c>
      <c r="N27" s="3">
        <f t="shared" ca="1" si="8"/>
        <v>7.4736064432983662</v>
      </c>
      <c r="O27" s="3">
        <f t="shared" ca="1" si="9"/>
        <v>8.6536495659244252</v>
      </c>
      <c r="Q27" s="17" t="s">
        <v>22</v>
      </c>
      <c r="R27" s="20">
        <f t="shared" ca="1" si="10"/>
        <v>1738544.5874206463</v>
      </c>
      <c r="S27" s="14"/>
      <c r="T27" s="17" t="s">
        <v>22</v>
      </c>
      <c r="U27" s="18">
        <f t="shared" ca="1" si="11"/>
        <v>2412621.2594416263</v>
      </c>
      <c r="AM27" s="1" t="s">
        <v>22</v>
      </c>
      <c r="AN27" s="22">
        <f t="shared" ca="1" si="12"/>
        <v>271293045.56630486</v>
      </c>
      <c r="AO27" s="22">
        <f t="shared" ca="1" si="13"/>
        <v>314128789.60308987</v>
      </c>
      <c r="AP27" s="22">
        <f t="shared" ca="1" si="14"/>
        <v>104770891.74841294</v>
      </c>
      <c r="AQ27" s="22">
        <f t="shared" ca="1" si="15"/>
        <v>158252425.18883252</v>
      </c>
      <c r="AT27" s="23">
        <f t="shared" ca="1" si="16"/>
        <v>7.4736064432983662</v>
      </c>
      <c r="AU27" s="23">
        <f t="shared" ca="1" si="17"/>
        <v>8.6536495659244252</v>
      </c>
      <c r="AV27" s="22">
        <f t="shared" ca="1" si="18"/>
        <v>166522153.81789193</v>
      </c>
      <c r="AW27" s="22">
        <f t="shared" ca="1" si="18"/>
        <v>155876364.41425735</v>
      </c>
    </row>
    <row r="28" spans="2:49" x14ac:dyDescent="0.2">
      <c r="B28" s="1" t="s">
        <v>25</v>
      </c>
      <c r="C28" s="3">
        <f t="shared" ca="1" si="5"/>
        <v>10.106788520521039</v>
      </c>
      <c r="F28" s="1" t="s">
        <v>25</v>
      </c>
      <c r="G28" s="8">
        <f t="shared" ca="1" si="6"/>
        <v>1577094.4529062179</v>
      </c>
      <c r="I28" s="1" t="s">
        <v>25</v>
      </c>
      <c r="J28" s="24">
        <f t="shared" ca="1" si="7"/>
        <v>199.60567380369579</v>
      </c>
      <c r="M28" s="1" t="s">
        <v>23</v>
      </c>
      <c r="N28" s="3">
        <f t="shared" ca="1" si="8"/>
        <v>7.4498764765444241</v>
      </c>
      <c r="O28" s="3">
        <f t="shared" ca="1" si="9"/>
        <v>8.6261727623145976</v>
      </c>
      <c r="Q28" s="17" t="s">
        <v>23</v>
      </c>
      <c r="R28" s="20">
        <f t="shared" ca="1" si="10"/>
        <v>1908062.8970253663</v>
      </c>
      <c r="S28" s="14"/>
      <c r="T28" s="17" t="s">
        <v>23</v>
      </c>
      <c r="U28" s="18">
        <f t="shared" ca="1" si="11"/>
        <v>2361869.3925670874</v>
      </c>
      <c r="AM28" s="1" t="s">
        <v>23</v>
      </c>
      <c r="AN28" s="22">
        <f t="shared" ca="1" si="12"/>
        <v>163874786.91850054</v>
      </c>
      <c r="AO28" s="22">
        <f t="shared" ca="1" si="13"/>
        <v>297812575.0936783</v>
      </c>
      <c r="AP28" s="22">
        <f t="shared" ca="1" si="14"/>
        <v>108161257.94050732</v>
      </c>
      <c r="AQ28" s="22">
        <f t="shared" ca="1" si="15"/>
        <v>157237387.85134175</v>
      </c>
      <c r="AT28" s="23">
        <f t="shared" ca="1" si="16"/>
        <v>4.531058574071996</v>
      </c>
      <c r="AU28" s="23">
        <f t="shared" ca="1" si="17"/>
        <v>8.2343736167038823</v>
      </c>
      <c r="AV28" s="22">
        <f t="shared" ca="1" si="18"/>
        <v>55713528.97799322</v>
      </c>
      <c r="AW28" s="22">
        <f t="shared" ca="1" si="18"/>
        <v>140575187.24233654</v>
      </c>
    </row>
    <row r="29" spans="2:49" x14ac:dyDescent="0.2">
      <c r="B29" s="1" t="s">
        <v>26</v>
      </c>
      <c r="C29" s="3">
        <f t="shared" ca="1" si="5"/>
        <v>12.459348640640922</v>
      </c>
      <c r="F29" s="1" t="s">
        <v>26</v>
      </c>
      <c r="G29" s="8">
        <f t="shared" ca="1" si="6"/>
        <v>1941054.7115532304</v>
      </c>
      <c r="I29" s="1" t="s">
        <v>26</v>
      </c>
      <c r="J29" s="24">
        <f t="shared" ca="1" si="7"/>
        <v>203.11941439786918</v>
      </c>
      <c r="M29" s="1" t="s">
        <v>24</v>
      </c>
      <c r="N29" s="3">
        <f t="shared" ca="1" si="8"/>
        <v>9.9500616459647038</v>
      </c>
      <c r="O29" s="3">
        <f t="shared" ca="1" si="9"/>
        <v>11.521124011117028</v>
      </c>
      <c r="Q29" s="17" t="s">
        <v>24</v>
      </c>
      <c r="R29" s="20">
        <f t="shared" ca="1" si="10"/>
        <v>1622966.8510259951</v>
      </c>
      <c r="S29" s="14"/>
      <c r="T29" s="17" t="s">
        <v>24</v>
      </c>
      <c r="U29" s="18">
        <f t="shared" ca="1" si="11"/>
        <v>2193785.9209070294</v>
      </c>
      <c r="AM29" s="1" t="s">
        <v>24</v>
      </c>
      <c r="AN29" s="22">
        <f t="shared" ca="1" si="12"/>
        <v>406346318.29253823</v>
      </c>
      <c r="AO29" s="22">
        <f t="shared" ca="1" si="13"/>
        <v>470506263.28609699</v>
      </c>
      <c r="AP29" s="22">
        <f t="shared" ca="1" si="14"/>
        <v>102459337.0205199</v>
      </c>
      <c r="AQ29" s="22">
        <f t="shared" ca="1" si="15"/>
        <v>153875718.41814059</v>
      </c>
      <c r="AT29" s="23">
        <f t="shared" ca="1" si="16"/>
        <v>9.9500616459647038</v>
      </c>
      <c r="AU29" s="23">
        <f t="shared" ca="1" si="17"/>
        <v>11.521124011117028</v>
      </c>
      <c r="AV29" s="22">
        <f t="shared" ca="1" si="18"/>
        <v>303886981.27201831</v>
      </c>
      <c r="AW29" s="22">
        <f t="shared" ca="1" si="18"/>
        <v>316630544.8679564</v>
      </c>
    </row>
    <row r="30" spans="2:49" x14ac:dyDescent="0.2">
      <c r="M30" s="1" t="s">
        <v>25</v>
      </c>
      <c r="N30" s="3">
        <f t="shared" ca="1" si="8"/>
        <v>9.6014490944949866</v>
      </c>
      <c r="O30" s="3">
        <f t="shared" ca="1" si="9"/>
        <v>11.117467372573145</v>
      </c>
      <c r="Q30" s="17" t="s">
        <v>25</v>
      </c>
      <c r="R30" s="20">
        <f t="shared" ca="1" si="10"/>
        <v>1568781.9422339653</v>
      </c>
      <c r="S30" s="14"/>
      <c r="T30" s="17" t="s">
        <v>25</v>
      </c>
      <c r="U30" s="18">
        <f t="shared" ca="1" si="11"/>
        <v>2454301.4910370354</v>
      </c>
      <c r="AM30" s="1" t="s">
        <v>25</v>
      </c>
      <c r="AN30" s="22">
        <f t="shared" ca="1" si="12"/>
        <v>221680645.84390345</v>
      </c>
      <c r="AO30" s="22">
        <f t="shared" ca="1" si="13"/>
        <v>341687149.48422658</v>
      </c>
      <c r="AP30" s="22">
        <f t="shared" ca="1" si="14"/>
        <v>101375638.8446793</v>
      </c>
      <c r="AQ30" s="22">
        <f t="shared" ca="1" si="15"/>
        <v>159086029.8207407</v>
      </c>
      <c r="AT30" s="23">
        <f t="shared" ca="1" si="16"/>
        <v>7.0281347269783883</v>
      </c>
      <c r="AU30" s="23">
        <f t="shared" ca="1" si="17"/>
        <v>10.832805506815927</v>
      </c>
      <c r="AV30" s="22">
        <f t="shared" ca="1" si="18"/>
        <v>120305006.99922416</v>
      </c>
      <c r="AW30" s="22">
        <f t="shared" ca="1" si="18"/>
        <v>182601119.66348588</v>
      </c>
    </row>
    <row r="31" spans="2:49" x14ac:dyDescent="0.2">
      <c r="M31" s="1" t="s">
        <v>26</v>
      </c>
      <c r="N31" s="3">
        <f t="shared" ca="1" si="8"/>
        <v>11.836381208608875</v>
      </c>
      <c r="O31" s="3">
        <f t="shared" ca="1" si="9"/>
        <v>13.705283504705015</v>
      </c>
      <c r="Q31" s="17" t="s">
        <v>26</v>
      </c>
      <c r="R31" s="20">
        <f t="shared" ca="1" si="10"/>
        <v>1949127.3931740145</v>
      </c>
      <c r="S31" s="14"/>
      <c r="T31" s="17" t="s">
        <v>26</v>
      </c>
      <c r="U31" s="18">
        <f t="shared" ca="1" si="11"/>
        <v>2878820.2174878381</v>
      </c>
      <c r="AM31" s="1" t="s">
        <v>26</v>
      </c>
      <c r="AN31" s="22">
        <f t="shared" ca="1" si="12"/>
        <v>449041601.48589915</v>
      </c>
      <c r="AO31" s="22">
        <f t="shared" ca="1" si="13"/>
        <v>417463168.08774656</v>
      </c>
      <c r="AP31" s="22">
        <f t="shared" ca="1" si="14"/>
        <v>108982547.8634803</v>
      </c>
      <c r="AQ31" s="22">
        <f t="shared" ca="1" si="15"/>
        <v>167576404.34975678</v>
      </c>
      <c r="AT31" s="23">
        <f t="shared" ca="1" si="16"/>
        <v>11.566948597924281</v>
      </c>
      <c r="AU31" s="23">
        <f t="shared" ca="1" si="17"/>
        <v>10.753513685188526</v>
      </c>
      <c r="AV31" s="22">
        <f ca="1">AN31-AP31</f>
        <v>340059053.62241888</v>
      </c>
      <c r="AW31" s="22">
        <f t="shared" ca="1" si="18"/>
        <v>249886763.73798978</v>
      </c>
    </row>
  </sheetData>
  <mergeCells count="1">
    <mergeCell ref="B2:D2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1650-D812-FA4F-9D11-253A08125CCE}">
  <dimension ref="C2:BI1012"/>
  <sheetViews>
    <sheetView zoomScale="125" workbookViewId="0">
      <selection activeCell="C2" sqref="C2:D2"/>
    </sheetView>
  </sheetViews>
  <sheetFormatPr baseColWidth="10" defaultRowHeight="16" x14ac:dyDescent="0.2"/>
  <cols>
    <col min="3" max="3" width="13.33203125" bestFit="1" customWidth="1"/>
    <col min="4" max="4" width="19" bestFit="1" customWidth="1"/>
    <col min="6" max="6" width="11.33203125" bestFit="1" customWidth="1"/>
    <col min="7" max="7" width="17" bestFit="1" customWidth="1"/>
    <col min="9" max="9" width="14" bestFit="1" customWidth="1"/>
    <col min="10" max="10" width="17.33203125" bestFit="1" customWidth="1"/>
    <col min="12" max="12" width="33.83203125" bestFit="1" customWidth="1"/>
    <col min="13" max="13" width="21.83203125" bestFit="1" customWidth="1"/>
    <col min="14" max="14" width="19.5" bestFit="1" customWidth="1"/>
    <col min="16" max="16" width="15.6640625" bestFit="1" customWidth="1"/>
    <col min="17" max="17" width="16.33203125" bestFit="1" customWidth="1"/>
    <col min="19" max="19" width="14.1640625" bestFit="1" customWidth="1"/>
    <col min="20" max="20" width="15.5" bestFit="1" customWidth="1"/>
    <col min="38" max="41" width="15" bestFit="1" customWidth="1"/>
    <col min="46" max="47" width="15" bestFit="1" customWidth="1"/>
    <col min="48" max="48" width="20.5" bestFit="1" customWidth="1"/>
    <col min="49" max="49" width="16.5" bestFit="1" customWidth="1"/>
    <col min="51" max="51" width="23" bestFit="1" customWidth="1"/>
    <col min="52" max="52" width="22" bestFit="1" customWidth="1"/>
    <col min="53" max="53" width="13.5" bestFit="1" customWidth="1"/>
    <col min="54" max="54" width="24.6640625" bestFit="1" customWidth="1"/>
    <col min="55" max="55" width="20.6640625" bestFit="1" customWidth="1"/>
    <col min="56" max="56" width="16.83203125" bestFit="1" customWidth="1"/>
    <col min="57" max="57" width="21.83203125" bestFit="1" customWidth="1"/>
    <col min="58" max="58" width="20.1640625" bestFit="1" customWidth="1"/>
    <col min="60" max="60" width="12.6640625" bestFit="1" customWidth="1"/>
    <col min="61" max="61" width="11" bestFit="1" customWidth="1"/>
  </cols>
  <sheetData>
    <row r="2" spans="3:61" ht="29" x14ac:dyDescent="0.35">
      <c r="C2" s="99" t="s">
        <v>122</v>
      </c>
      <c r="D2" s="99"/>
      <c r="M2" s="26" t="s">
        <v>29</v>
      </c>
      <c r="P2" s="28" t="s">
        <v>72</v>
      </c>
      <c r="Q2" s="31"/>
      <c r="R2" s="14"/>
      <c r="S2" s="14"/>
      <c r="T2" s="14"/>
      <c r="V2" s="26" t="s">
        <v>42</v>
      </c>
      <c r="W2" s="27"/>
      <c r="Y2" s="1" t="s">
        <v>44</v>
      </c>
      <c r="AD2" s="14"/>
      <c r="AE2" s="32" t="s">
        <v>49</v>
      </c>
      <c r="AF2" s="32"/>
      <c r="AG2" s="32"/>
    </row>
    <row r="3" spans="3:61" x14ac:dyDescent="0.2">
      <c r="M3" s="6" t="s">
        <v>30</v>
      </c>
      <c r="N3" s="7" t="s">
        <v>31</v>
      </c>
      <c r="P3" s="15" t="s">
        <v>33</v>
      </c>
      <c r="Q3" s="14"/>
      <c r="R3" s="14"/>
      <c r="S3" s="16" t="s">
        <v>31</v>
      </c>
      <c r="T3" s="14"/>
      <c r="V3" t="s">
        <v>40</v>
      </c>
      <c r="Y3" s="6" t="s">
        <v>43</v>
      </c>
      <c r="AB3" s="7" t="s">
        <v>35</v>
      </c>
      <c r="AD3" s="14"/>
      <c r="AE3" s="15" t="s">
        <v>34</v>
      </c>
      <c r="AF3" s="14"/>
      <c r="AG3" s="16" t="s">
        <v>35</v>
      </c>
      <c r="AL3" s="10" t="s">
        <v>50</v>
      </c>
      <c r="AM3" s="10"/>
      <c r="AN3" s="10" t="s">
        <v>51</v>
      </c>
      <c r="AO3" s="10"/>
      <c r="AP3" s="10" t="s">
        <v>52</v>
      </c>
      <c r="AQ3" s="10"/>
      <c r="AR3" s="10" t="s">
        <v>53</v>
      </c>
      <c r="AS3" s="10"/>
      <c r="AT3" s="10" t="s">
        <v>56</v>
      </c>
      <c r="AU3" s="12"/>
      <c r="AV3" s="1"/>
      <c r="AY3" s="70"/>
    </row>
    <row r="4" spans="3:61" x14ac:dyDescent="0.2">
      <c r="C4" s="26" t="s">
        <v>67</v>
      </c>
      <c r="D4" s="26" t="s">
        <v>60</v>
      </c>
      <c r="F4" s="26" t="s">
        <v>61</v>
      </c>
      <c r="G4" s="26" t="s">
        <v>62</v>
      </c>
      <c r="I4" s="26" t="s">
        <v>63</v>
      </c>
      <c r="J4" s="26" t="s">
        <v>62</v>
      </c>
      <c r="L4" s="26" t="s">
        <v>54</v>
      </c>
      <c r="M4" s="8">
        <v>3500000</v>
      </c>
      <c r="N4" s="8">
        <v>5500000</v>
      </c>
      <c r="P4" s="17" t="s">
        <v>1</v>
      </c>
      <c r="Q4" s="18" t="s">
        <v>70</v>
      </c>
      <c r="R4" s="14"/>
      <c r="S4" s="17" t="s">
        <v>1</v>
      </c>
      <c r="T4" s="21">
        <v>3000000</v>
      </c>
      <c r="V4" t="s">
        <v>41</v>
      </c>
      <c r="Y4" t="s">
        <v>45</v>
      </c>
      <c r="Z4">
        <v>5</v>
      </c>
      <c r="AB4">
        <v>10</v>
      </c>
      <c r="AD4" s="17"/>
      <c r="AE4" s="14"/>
      <c r="AF4" s="14"/>
      <c r="AG4" s="14"/>
    </row>
    <row r="5" spans="3:61" x14ac:dyDescent="0.2">
      <c r="C5" s="1"/>
      <c r="L5" s="26" t="s">
        <v>32</v>
      </c>
      <c r="M5" s="3">
        <v>0.95</v>
      </c>
      <c r="N5" s="3">
        <v>1.1000000000000001</v>
      </c>
      <c r="P5" s="17" t="s">
        <v>2</v>
      </c>
      <c r="Q5" s="18" t="s">
        <v>71</v>
      </c>
      <c r="R5" s="14"/>
      <c r="S5" s="17" t="s">
        <v>2</v>
      </c>
      <c r="T5" s="21">
        <v>220000</v>
      </c>
      <c r="Y5" t="s">
        <v>46</v>
      </c>
      <c r="Z5" s="5">
        <v>0.1</v>
      </c>
      <c r="AB5" s="5">
        <v>0.2</v>
      </c>
      <c r="AD5" s="14"/>
      <c r="AE5" s="14"/>
      <c r="AF5" s="14"/>
      <c r="AG5" s="14"/>
    </row>
    <row r="6" spans="3:61" x14ac:dyDescent="0.2">
      <c r="C6" s="1" t="s">
        <v>3</v>
      </c>
      <c r="D6">
        <v>4</v>
      </c>
      <c r="F6" s="1" t="s">
        <v>1</v>
      </c>
      <c r="G6" s="25">
        <v>2500000</v>
      </c>
      <c r="I6" s="1" t="s">
        <v>1</v>
      </c>
      <c r="J6">
        <v>1.03</v>
      </c>
      <c r="L6" s="26" t="s">
        <v>38</v>
      </c>
      <c r="M6">
        <v>20</v>
      </c>
      <c r="N6">
        <v>20</v>
      </c>
      <c r="P6" s="17"/>
      <c r="Q6" s="14"/>
      <c r="R6" s="14"/>
      <c r="S6" s="17"/>
      <c r="T6" s="14"/>
      <c r="AD6" s="14"/>
      <c r="AE6" s="14"/>
      <c r="AF6" s="14"/>
      <c r="AG6" s="14"/>
      <c r="AY6" s="1"/>
      <c r="AZ6" s="35"/>
    </row>
    <row r="7" spans="3:61" x14ac:dyDescent="0.2">
      <c r="C7" s="1" t="s">
        <v>68</v>
      </c>
      <c r="D7">
        <v>8</v>
      </c>
      <c r="F7" s="1" t="s">
        <v>2</v>
      </c>
      <c r="G7" s="25">
        <v>175000</v>
      </c>
      <c r="I7" s="1" t="s">
        <v>2</v>
      </c>
      <c r="J7">
        <v>0.03</v>
      </c>
      <c r="L7" s="1"/>
      <c r="P7" s="17" t="s">
        <v>36</v>
      </c>
      <c r="Q7" s="19">
        <v>14.45</v>
      </c>
      <c r="R7" s="14"/>
      <c r="S7" s="17" t="s">
        <v>36</v>
      </c>
      <c r="T7" s="19">
        <v>14.86</v>
      </c>
    </row>
    <row r="8" spans="3:61" x14ac:dyDescent="0.2">
      <c r="C8" s="1" t="s">
        <v>5</v>
      </c>
      <c r="D8">
        <v>12</v>
      </c>
      <c r="I8" s="1" t="s">
        <v>69</v>
      </c>
      <c r="L8" s="26" t="s">
        <v>39</v>
      </c>
      <c r="M8" s="8">
        <f>M4*M6</f>
        <v>70000000</v>
      </c>
      <c r="N8" s="11">
        <f>N4*N6</f>
        <v>110000000</v>
      </c>
      <c r="P8" s="17" t="s">
        <v>37</v>
      </c>
      <c r="Q8" s="19">
        <v>0.13100000000000001</v>
      </c>
      <c r="R8" s="14"/>
      <c r="S8" s="17" t="s">
        <v>37</v>
      </c>
      <c r="T8" s="19">
        <v>7.2999999999999995E-2</v>
      </c>
    </row>
    <row r="9" spans="3:61" x14ac:dyDescent="0.2">
      <c r="M9" s="26" t="s">
        <v>47</v>
      </c>
      <c r="N9" s="26" t="s">
        <v>48</v>
      </c>
      <c r="AL9" s="6" t="s">
        <v>34</v>
      </c>
      <c r="AM9" s="7" t="s">
        <v>35</v>
      </c>
      <c r="AN9" s="6" t="s">
        <v>43</v>
      </c>
      <c r="AO9" s="7" t="s">
        <v>35</v>
      </c>
      <c r="AP9" s="6" t="s">
        <v>34</v>
      </c>
      <c r="AQ9" s="7" t="s">
        <v>35</v>
      </c>
      <c r="AR9" s="6" t="s">
        <v>34</v>
      </c>
      <c r="AS9" s="7" t="s">
        <v>35</v>
      </c>
      <c r="AT9" s="6" t="s">
        <v>55</v>
      </c>
      <c r="AU9" s="7" t="s">
        <v>35</v>
      </c>
      <c r="AV9" s="1"/>
      <c r="AW9" s="1"/>
      <c r="AY9" s="1"/>
    </row>
    <row r="10" spans="3:61" x14ac:dyDescent="0.2">
      <c r="C10" s="1" t="s">
        <v>7</v>
      </c>
      <c r="D10" s="3">
        <f ca="1">IF(RAND() &lt; (8-4)/(12-4), 4 + SQRT(RAND() * (8-4) * (12-4)), 12 - SQRT((1-RAND()) * (12-8) * (12-4)))</f>
        <v>6.7325968205058615</v>
      </c>
      <c r="F10" s="1" t="s">
        <v>7</v>
      </c>
      <c r="G10" s="22">
        <f ca="1">_xlfn.NORM.INV(RAND(),2500000,175000)</f>
        <v>2527907.7551900605</v>
      </c>
      <c r="I10" s="1" t="s">
        <v>7</v>
      </c>
      <c r="J10">
        <v>130</v>
      </c>
      <c r="L10" s="1" t="s">
        <v>7</v>
      </c>
      <c r="M10" s="3">
        <f ca="1">D10*$M$5</f>
        <v>6.3959669794805682</v>
      </c>
      <c r="N10" s="3">
        <f ca="1">D10 * $N$5</f>
        <v>7.405856502556448</v>
      </c>
      <c r="P10" s="17" t="s">
        <v>7</v>
      </c>
      <c r="Q10" s="30">
        <f ca="1">_xlfn.LOGNORM.INV(RAND(),$Q$7,$Q$8)</f>
        <v>1993939.7789599434</v>
      </c>
      <c r="R10" s="14"/>
      <c r="S10" s="17" t="s">
        <v>7</v>
      </c>
      <c r="T10" s="29">
        <f ca="1">_xlfn.LOGNORM.INV(RAND(),$T$7,$T$8)</f>
        <v>2762103.6754972762</v>
      </c>
      <c r="V10" s="1" t="s">
        <v>7</v>
      </c>
      <c r="W10">
        <f ca="1">IF(RAND() &lt; 0.05, 1, 0)</f>
        <v>0</v>
      </c>
      <c r="Y10" s="1" t="s">
        <v>7</v>
      </c>
      <c r="Z10" s="3">
        <f t="shared" ref="Z10:Z29" ca="1" si="0">IF(W10=1, -LN(RAND()) / 5, 0)</f>
        <v>0</v>
      </c>
      <c r="AA10" s="3"/>
      <c r="AB10" s="3">
        <f t="shared" ref="AB10:AB29" ca="1" si="1">IF(W10=1, -LN(RAND()) / 10, 0)</f>
        <v>0</v>
      </c>
      <c r="AD10" s="17" t="s">
        <v>7</v>
      </c>
      <c r="AE10" s="19">
        <f ca="1">M10 * (1 - Z10)</f>
        <v>6.3959669794805682</v>
      </c>
      <c r="AF10" s="14"/>
      <c r="AG10" s="19">
        <f ca="1">N10 * (1 - AB10)</f>
        <v>7.405856502556448</v>
      </c>
      <c r="AK10" s="1" t="s">
        <v>7</v>
      </c>
      <c r="AL10" s="22">
        <f ca="1">MIN(AE10,J10) * G10 * 20</f>
        <v>323368290.5873695</v>
      </c>
      <c r="AM10" s="22">
        <f ca="1">MIN(AG10,J10) * G10 * 20</f>
        <v>374426441.73274368</v>
      </c>
      <c r="AN10" s="22">
        <f ca="1">$M$8 + Q10 * 20</f>
        <v>109878795.57919887</v>
      </c>
      <c r="AO10" s="22">
        <f ca="1">$N$8 + T10 * 20</f>
        <v>165242073.50994551</v>
      </c>
      <c r="AP10">
        <f ca="1">SUM(W10:W29)</f>
        <v>0</v>
      </c>
      <c r="AQ10">
        <f ca="1">SUM(W10:W29)</f>
        <v>0</v>
      </c>
      <c r="AR10" s="3">
        <f ca="1">AE10</f>
        <v>6.3959669794805682</v>
      </c>
      <c r="AS10" s="3">
        <f ca="1">AG10</f>
        <v>7.405856502556448</v>
      </c>
      <c r="AT10" s="22">
        <f ca="1">AL10-AN10</f>
        <v>213489495.00817063</v>
      </c>
      <c r="AU10" s="22">
        <f ca="1">AM10-AO10</f>
        <v>209184368.22279817</v>
      </c>
      <c r="AV10" s="22"/>
      <c r="AW10" s="22"/>
      <c r="AY10" s="4"/>
    </row>
    <row r="11" spans="3:61" x14ac:dyDescent="0.2">
      <c r="C11" s="1" t="s">
        <v>8</v>
      </c>
      <c r="D11" s="3">
        <f t="shared" ref="D11:D29" ca="1" si="2">IF(RAND() &lt; (8-4)/(12-4), 4 + SQRT(RAND() * (8-4) * (12-4)), 12 - SQRT((1-RAND()) * (12-8) * (12-4)))</f>
        <v>9.251607116763946</v>
      </c>
      <c r="F11" s="1" t="s">
        <v>8</v>
      </c>
      <c r="G11" s="22">
        <f t="shared" ref="G11:G29" ca="1" si="3">_xlfn.NORM.INV(RAND(),2500000,175000)</f>
        <v>2740966.2144942945</v>
      </c>
      <c r="I11" s="1" t="s">
        <v>8</v>
      </c>
      <c r="J11" s="24">
        <f ca="1">J10 * _xlfn.NORM.INV(RAND(),$J$6,$J$7)</f>
        <v>131.09797254319869</v>
      </c>
      <c r="L11" s="1" t="s">
        <v>8</v>
      </c>
      <c r="M11" s="3">
        <f t="shared" ref="M11:M29" ca="1" si="4">D11*$M$5</f>
        <v>8.7890267609257489</v>
      </c>
      <c r="N11" s="3">
        <f t="shared" ref="N11:N29" ca="1" si="5">D11 * $N$5</f>
        <v>10.176767828440342</v>
      </c>
      <c r="P11" s="17" t="s">
        <v>8</v>
      </c>
      <c r="Q11" s="30">
        <f t="shared" ref="Q11:Q29" ca="1" si="6">_xlfn.LOGNORM.INV(RAND(),$Q$7,$Q$8)</f>
        <v>2083451.4327936694</v>
      </c>
      <c r="R11" s="14"/>
      <c r="S11" s="17" t="s">
        <v>8</v>
      </c>
      <c r="T11" s="29">
        <f t="shared" ref="T11:T29" ca="1" si="7">_xlfn.LOGNORM.INV(RAND(),$T$7,$T$8)</f>
        <v>2947383.1629346646</v>
      </c>
      <c r="V11" s="1" t="s">
        <v>8</v>
      </c>
      <c r="W11">
        <f t="shared" ref="W11:W29" ca="1" si="8">IF(RAND() &lt; 0.05, 1, 0)</f>
        <v>0</v>
      </c>
      <c r="Y11" s="1" t="s">
        <v>8</v>
      </c>
      <c r="Z11" s="3">
        <f t="shared" ca="1" si="0"/>
        <v>0</v>
      </c>
      <c r="AA11" s="3"/>
      <c r="AB11" s="3">
        <f t="shared" ca="1" si="1"/>
        <v>0</v>
      </c>
      <c r="AD11" s="17" t="s">
        <v>8</v>
      </c>
      <c r="AE11" s="19">
        <f t="shared" ref="AE11:AE29" ca="1" si="9">M11 * (1 - Z11)</f>
        <v>8.7890267609257489</v>
      </c>
      <c r="AF11" s="14"/>
      <c r="AG11" s="19">
        <f t="shared" ref="AG11:AG29" ca="1" si="10">N11 * (1 - AB11)</f>
        <v>10.176767828440342</v>
      </c>
      <c r="AK11" s="1" t="s">
        <v>8</v>
      </c>
      <c r="AL11" s="22">
        <f t="shared" ref="AL11:AL29" ca="1" si="11">MIN(AE11,J11) * G11 * 20</f>
        <v>481808508.19967401</v>
      </c>
      <c r="AM11" s="22">
        <f t="shared" ref="AM11:AM29" ca="1" si="12">MIN(AG11,J11) * G11 * 20</f>
        <v>557883535.81014895</v>
      </c>
      <c r="AN11" s="22">
        <f t="shared" ref="AN11:AN29" ca="1" si="13">$M$8 + Q11 * 20</f>
        <v>111669028.65587339</v>
      </c>
      <c r="AO11" s="22">
        <f t="shared" ref="AO11:AO29" ca="1" si="14">$N$8 + T11 * 20</f>
        <v>168947663.25869328</v>
      </c>
      <c r="AR11" s="3">
        <f t="shared" ref="AR11:AR29" ca="1" si="15">AE11</f>
        <v>8.7890267609257489</v>
      </c>
      <c r="AS11" s="3">
        <f t="shared" ref="AS11:AS29" ca="1" si="16">AG11</f>
        <v>10.176767828440342</v>
      </c>
      <c r="AT11" s="22">
        <f t="shared" ref="AT11:AT29" ca="1" si="17">AL11-AN11</f>
        <v>370139479.54380059</v>
      </c>
      <c r="AU11" s="22">
        <f t="shared" ref="AU11:AU29" ca="1" si="18">AM11-AO11</f>
        <v>388935872.55145568</v>
      </c>
      <c r="AY11" s="1"/>
      <c r="BD11" s="54"/>
      <c r="BE11" s="54"/>
      <c r="BF11" s="54"/>
      <c r="BG11" s="54"/>
    </row>
    <row r="12" spans="3:61" x14ac:dyDescent="0.2">
      <c r="C12" s="1" t="s">
        <v>9</v>
      </c>
      <c r="D12" s="3">
        <f t="shared" ca="1" si="2"/>
        <v>4.9212431067847735</v>
      </c>
      <c r="F12" s="1" t="s">
        <v>9</v>
      </c>
      <c r="G12" s="22">
        <f t="shared" ca="1" si="3"/>
        <v>2883654.7613089508</v>
      </c>
      <c r="I12" s="1" t="s">
        <v>9</v>
      </c>
      <c r="J12" s="24">
        <f t="shared" ref="J12:J29" ca="1" si="19">J11 * _xlfn.NORM.INV(RAND(),$J$6,$J$7)</f>
        <v>137.92243206503503</v>
      </c>
      <c r="L12" s="1" t="s">
        <v>9</v>
      </c>
      <c r="M12" s="3">
        <f t="shared" ca="1" si="4"/>
        <v>4.6751809514455349</v>
      </c>
      <c r="N12" s="3">
        <f t="shared" ca="1" si="5"/>
        <v>5.4133674174632516</v>
      </c>
      <c r="P12" s="17" t="s">
        <v>9</v>
      </c>
      <c r="Q12" s="30">
        <f t="shared" ca="1" si="6"/>
        <v>2315672.0327826492</v>
      </c>
      <c r="R12" s="14"/>
      <c r="S12" s="17" t="s">
        <v>9</v>
      </c>
      <c r="T12" s="29">
        <f t="shared" ca="1" si="7"/>
        <v>2772103.8771724561</v>
      </c>
      <c r="V12" s="1" t="s">
        <v>9</v>
      </c>
      <c r="W12">
        <f t="shared" ca="1" si="8"/>
        <v>0</v>
      </c>
      <c r="Y12" s="1" t="s">
        <v>9</v>
      </c>
      <c r="Z12" s="3">
        <f t="shared" ca="1" si="0"/>
        <v>0</v>
      </c>
      <c r="AA12" s="3"/>
      <c r="AB12" s="3">
        <f t="shared" ca="1" si="1"/>
        <v>0</v>
      </c>
      <c r="AD12" s="17" t="s">
        <v>9</v>
      </c>
      <c r="AE12" s="19">
        <f t="shared" ca="1" si="9"/>
        <v>4.6751809514455349</v>
      </c>
      <c r="AF12" s="14"/>
      <c r="AG12" s="19">
        <f t="shared" ca="1" si="10"/>
        <v>5.4133674174632516</v>
      </c>
      <c r="AK12" s="1" t="s">
        <v>9</v>
      </c>
      <c r="AL12" s="22">
        <f t="shared" ca="1" si="11"/>
        <v>269632156.21233654</v>
      </c>
      <c r="AM12" s="22">
        <f t="shared" ca="1" si="12"/>
        <v>312205654.5616529</v>
      </c>
      <c r="AN12" s="22">
        <f t="shared" ca="1" si="13"/>
        <v>116313440.65565298</v>
      </c>
      <c r="AO12" s="22">
        <f t="shared" ca="1" si="14"/>
        <v>165442077.5434491</v>
      </c>
      <c r="AR12" s="3">
        <f t="shared" ca="1" si="15"/>
        <v>4.6751809514455349</v>
      </c>
      <c r="AS12" s="3">
        <f t="shared" ca="1" si="16"/>
        <v>5.4133674174632516</v>
      </c>
      <c r="AT12" s="22">
        <f t="shared" ca="1" si="17"/>
        <v>153318715.55668354</v>
      </c>
      <c r="AU12" s="22">
        <f t="shared" ca="1" si="18"/>
        <v>146763577.01820379</v>
      </c>
      <c r="AY12" s="1"/>
      <c r="AZ12" s="1"/>
      <c r="BA12" s="1"/>
      <c r="BB12" s="1"/>
      <c r="BD12" s="66"/>
      <c r="BE12" s="66"/>
      <c r="BF12" s="66"/>
      <c r="BG12" s="54"/>
      <c r="BH12" s="55"/>
      <c r="BI12" s="55"/>
    </row>
    <row r="13" spans="3:61" x14ac:dyDescent="0.2">
      <c r="C13" s="1" t="s">
        <v>10</v>
      </c>
      <c r="D13" s="3">
        <f t="shared" ca="1" si="2"/>
        <v>7.7876069606246308</v>
      </c>
      <c r="F13" s="1" t="s">
        <v>10</v>
      </c>
      <c r="G13" s="22">
        <f t="shared" ca="1" si="3"/>
        <v>2474088.8344986713</v>
      </c>
      <c r="I13" s="1" t="s">
        <v>10</v>
      </c>
      <c r="J13" s="24">
        <f t="shared" ca="1" si="19"/>
        <v>140.32707140217767</v>
      </c>
      <c r="L13" s="1" t="s">
        <v>10</v>
      </c>
      <c r="M13" s="3">
        <f t="shared" ca="1" si="4"/>
        <v>7.3982266125933993</v>
      </c>
      <c r="N13" s="3">
        <f t="shared" ca="1" si="5"/>
        <v>8.5663676566870937</v>
      </c>
      <c r="P13" s="17" t="s">
        <v>10</v>
      </c>
      <c r="Q13" s="30">
        <f t="shared" ca="1" si="6"/>
        <v>2009570.1332568137</v>
      </c>
      <c r="R13" s="14"/>
      <c r="S13" s="17" t="s">
        <v>10</v>
      </c>
      <c r="T13" s="29">
        <f t="shared" ca="1" si="7"/>
        <v>2548743.3109490811</v>
      </c>
      <c r="V13" s="1" t="s">
        <v>10</v>
      </c>
      <c r="W13">
        <f t="shared" ca="1" si="8"/>
        <v>0</v>
      </c>
      <c r="Y13" s="1" t="s">
        <v>10</v>
      </c>
      <c r="Z13" s="3">
        <f t="shared" ca="1" si="0"/>
        <v>0</v>
      </c>
      <c r="AA13" s="3"/>
      <c r="AB13" s="3">
        <f t="shared" ca="1" si="1"/>
        <v>0</v>
      </c>
      <c r="AD13" s="17" t="s">
        <v>10</v>
      </c>
      <c r="AE13" s="19">
        <f t="shared" ca="1" si="9"/>
        <v>7.3982266125933993</v>
      </c>
      <c r="AF13" s="14"/>
      <c r="AG13" s="19">
        <f t="shared" ca="1" si="10"/>
        <v>8.5663676566870937</v>
      </c>
      <c r="AK13" s="1" t="s">
        <v>10</v>
      </c>
      <c r="AL13" s="22">
        <f t="shared" ca="1" si="11"/>
        <v>366077397.14616513</v>
      </c>
      <c r="AM13" s="22">
        <f t="shared" ca="1" si="12"/>
        <v>423879091.43240166</v>
      </c>
      <c r="AN13" s="22">
        <f t="shared" ca="1" si="13"/>
        <v>110191402.66513628</v>
      </c>
      <c r="AO13" s="22">
        <f t="shared" ca="1" si="14"/>
        <v>160974866.21898162</v>
      </c>
      <c r="AR13" s="3">
        <f t="shared" ca="1" si="15"/>
        <v>7.3982266125933993</v>
      </c>
      <c r="AS13" s="3">
        <f t="shared" ca="1" si="16"/>
        <v>8.5663676566870937</v>
      </c>
      <c r="AT13" s="22">
        <f t="shared" ca="1" si="17"/>
        <v>255885994.48102885</v>
      </c>
      <c r="AU13" s="22">
        <f t="shared" ca="1" si="18"/>
        <v>262904225.21342003</v>
      </c>
      <c r="AZ13" s="4"/>
      <c r="BB13" s="35"/>
      <c r="BD13" s="67"/>
      <c r="BE13" s="68"/>
      <c r="BF13" s="69"/>
      <c r="BG13" s="54"/>
      <c r="BH13" s="51"/>
      <c r="BI13" s="51"/>
    </row>
    <row r="14" spans="3:61" x14ac:dyDescent="0.2">
      <c r="C14" s="1" t="s">
        <v>11</v>
      </c>
      <c r="D14" s="3">
        <f t="shared" ca="1" si="2"/>
        <v>11.168324703284952</v>
      </c>
      <c r="F14" s="1" t="s">
        <v>11</v>
      </c>
      <c r="G14" s="22">
        <f t="shared" ca="1" si="3"/>
        <v>2683569.5903709182</v>
      </c>
      <c r="I14" s="1" t="s">
        <v>11</v>
      </c>
      <c r="J14" s="24">
        <f t="shared" ca="1" si="19"/>
        <v>142.90596317377674</v>
      </c>
      <c r="L14" s="1" t="s">
        <v>11</v>
      </c>
      <c r="M14" s="3">
        <f t="shared" ca="1" si="4"/>
        <v>10.609908468120704</v>
      </c>
      <c r="N14" s="3">
        <f t="shared" ca="1" si="5"/>
        <v>12.285157173613449</v>
      </c>
      <c r="P14" s="17" t="s">
        <v>11</v>
      </c>
      <c r="Q14" s="30">
        <f t="shared" ca="1" si="6"/>
        <v>1713561.8607201513</v>
      </c>
      <c r="R14" s="14"/>
      <c r="S14" s="17" t="s">
        <v>11</v>
      </c>
      <c r="T14" s="29">
        <f t="shared" ca="1" si="7"/>
        <v>3068062.7111565731</v>
      </c>
      <c r="V14" s="1" t="s">
        <v>11</v>
      </c>
      <c r="W14">
        <f t="shared" ca="1" si="8"/>
        <v>0</v>
      </c>
      <c r="Y14" s="1" t="s">
        <v>11</v>
      </c>
      <c r="Z14" s="3">
        <f t="shared" ca="1" si="0"/>
        <v>0</v>
      </c>
      <c r="AA14" s="3"/>
      <c r="AB14" s="3">
        <f t="shared" ca="1" si="1"/>
        <v>0</v>
      </c>
      <c r="AD14" s="17" t="s">
        <v>11</v>
      </c>
      <c r="AE14" s="19">
        <f t="shared" ca="1" si="9"/>
        <v>10.609908468120704</v>
      </c>
      <c r="AF14" s="14"/>
      <c r="AG14" s="19">
        <f t="shared" ca="1" si="10"/>
        <v>12.285157173613449</v>
      </c>
      <c r="AK14" s="1" t="s">
        <v>11</v>
      </c>
      <c r="AL14" s="22">
        <f t="shared" ca="1" si="11"/>
        <v>569448554.43335223</v>
      </c>
      <c r="AM14" s="22">
        <f t="shared" ca="1" si="12"/>
        <v>659361484.08072376</v>
      </c>
      <c r="AN14" s="22">
        <f t="shared" ca="1" si="13"/>
        <v>104271237.21440303</v>
      </c>
      <c r="AO14" s="22">
        <f t="shared" ca="1" si="14"/>
        <v>171361254.22313148</v>
      </c>
      <c r="AR14" s="3">
        <f t="shared" ca="1" si="15"/>
        <v>10.609908468120704</v>
      </c>
      <c r="AS14" s="3">
        <f t="shared" ca="1" si="16"/>
        <v>12.285157173613449</v>
      </c>
      <c r="AT14" s="22">
        <f t="shared" ca="1" si="17"/>
        <v>465177317.2189492</v>
      </c>
      <c r="AU14" s="22">
        <f t="shared" ca="1" si="18"/>
        <v>488000229.85759228</v>
      </c>
      <c r="AZ14" s="4"/>
      <c r="BD14" s="54"/>
      <c r="BE14" s="54"/>
      <c r="BF14" s="54"/>
      <c r="BG14" s="54"/>
      <c r="BH14" s="51"/>
      <c r="BI14" s="51"/>
    </row>
    <row r="15" spans="3:61" x14ac:dyDescent="0.2">
      <c r="C15" s="1" t="s">
        <v>12</v>
      </c>
      <c r="D15" s="3">
        <f t="shared" ca="1" si="2"/>
        <v>9.2852396771681249</v>
      </c>
      <c r="F15" s="1" t="s">
        <v>12</v>
      </c>
      <c r="G15" s="22">
        <f t="shared" ca="1" si="3"/>
        <v>2324884.842964205</v>
      </c>
      <c r="I15" s="1" t="s">
        <v>12</v>
      </c>
      <c r="J15" s="24">
        <f t="shared" ca="1" si="19"/>
        <v>146.19579497364214</v>
      </c>
      <c r="L15" s="1" t="s">
        <v>12</v>
      </c>
      <c r="M15" s="3">
        <f t="shared" ca="1" si="4"/>
        <v>8.8209776933097181</v>
      </c>
      <c r="N15" s="3">
        <f t="shared" ca="1" si="5"/>
        <v>10.213763644884938</v>
      </c>
      <c r="P15" s="17" t="s">
        <v>12</v>
      </c>
      <c r="Q15" s="30">
        <f t="shared" ca="1" si="6"/>
        <v>1835594.2304868095</v>
      </c>
      <c r="R15" s="14"/>
      <c r="S15" s="17" t="s">
        <v>12</v>
      </c>
      <c r="T15" s="29">
        <f t="shared" ca="1" si="7"/>
        <v>2933705.1961837844</v>
      </c>
      <c r="V15" s="1" t="s">
        <v>12</v>
      </c>
      <c r="W15">
        <f t="shared" ca="1" si="8"/>
        <v>0</v>
      </c>
      <c r="Y15" s="1" t="s">
        <v>12</v>
      </c>
      <c r="Z15" s="3">
        <f t="shared" ca="1" si="0"/>
        <v>0</v>
      </c>
      <c r="AA15" s="3"/>
      <c r="AB15" s="3">
        <f t="shared" ca="1" si="1"/>
        <v>0</v>
      </c>
      <c r="AD15" s="17" t="s">
        <v>12</v>
      </c>
      <c r="AE15" s="19">
        <f t="shared" ca="1" si="9"/>
        <v>8.8209776933097181</v>
      </c>
      <c r="AF15" s="14"/>
      <c r="AG15" s="19">
        <f t="shared" ca="1" si="10"/>
        <v>10.213763644884938</v>
      </c>
      <c r="AK15" s="1" t="s">
        <v>12</v>
      </c>
      <c r="AL15" s="22">
        <f t="shared" ca="1" si="11"/>
        <v>410155146.78602242</v>
      </c>
      <c r="AM15" s="22">
        <f t="shared" ca="1" si="12"/>
        <v>474916485.75223655</v>
      </c>
      <c r="AN15" s="22">
        <f t="shared" ca="1" si="13"/>
        <v>106711884.60973619</v>
      </c>
      <c r="AO15" s="22">
        <f t="shared" ca="1" si="14"/>
        <v>168674103.92367569</v>
      </c>
      <c r="AR15" s="3">
        <f t="shared" ca="1" si="15"/>
        <v>8.8209776933097181</v>
      </c>
      <c r="AS15" s="3">
        <f t="shared" ca="1" si="16"/>
        <v>10.213763644884938</v>
      </c>
      <c r="AT15" s="22">
        <f t="shared" ca="1" si="17"/>
        <v>303443262.17628622</v>
      </c>
      <c r="AU15" s="22">
        <f t="shared" ca="1" si="18"/>
        <v>306242381.82856083</v>
      </c>
      <c r="AZ15" s="4"/>
      <c r="BD15" s="54"/>
      <c r="BE15" s="54"/>
      <c r="BF15" s="54"/>
      <c r="BG15" s="54"/>
      <c r="BH15" s="51"/>
      <c r="BI15" s="51"/>
    </row>
    <row r="16" spans="3:61" x14ac:dyDescent="0.2">
      <c r="C16" s="1" t="s">
        <v>13</v>
      </c>
      <c r="D16" s="3">
        <f t="shared" ca="1" si="2"/>
        <v>5.9784010496288547</v>
      </c>
      <c r="F16" s="1" t="s">
        <v>13</v>
      </c>
      <c r="G16" s="22">
        <f t="shared" ca="1" si="3"/>
        <v>2481870.5826018667</v>
      </c>
      <c r="I16" s="1" t="s">
        <v>13</v>
      </c>
      <c r="J16" s="24">
        <f t="shared" ca="1" si="19"/>
        <v>155.85328461365702</v>
      </c>
      <c r="L16" s="1" t="s">
        <v>13</v>
      </c>
      <c r="M16" s="3">
        <f t="shared" ca="1" si="4"/>
        <v>5.6794809971474116</v>
      </c>
      <c r="N16" s="3">
        <f t="shared" ca="1" si="5"/>
        <v>6.5762411545917407</v>
      </c>
      <c r="P16" s="17" t="s">
        <v>13</v>
      </c>
      <c r="Q16" s="30">
        <f t="shared" ca="1" si="6"/>
        <v>2115808.4076792924</v>
      </c>
      <c r="R16" s="14"/>
      <c r="S16" s="17" t="s">
        <v>13</v>
      </c>
      <c r="T16" s="29">
        <f t="shared" ca="1" si="7"/>
        <v>2871340.6200775267</v>
      </c>
      <c r="V16" s="1" t="s">
        <v>13</v>
      </c>
      <c r="W16">
        <f t="shared" ca="1" si="8"/>
        <v>0</v>
      </c>
      <c r="Y16" s="1" t="s">
        <v>13</v>
      </c>
      <c r="Z16" s="3">
        <f t="shared" ca="1" si="0"/>
        <v>0</v>
      </c>
      <c r="AA16" s="3"/>
      <c r="AB16" s="3">
        <f t="shared" ca="1" si="1"/>
        <v>0</v>
      </c>
      <c r="AD16" s="17" t="s">
        <v>13</v>
      </c>
      <c r="AE16" s="19">
        <f t="shared" ca="1" si="9"/>
        <v>5.6794809971474116</v>
      </c>
      <c r="AF16" s="14"/>
      <c r="AG16" s="19">
        <f t="shared" ca="1" si="10"/>
        <v>6.5762411545917407</v>
      </c>
      <c r="AK16" s="1" t="s">
        <v>13</v>
      </c>
      <c r="AL16" s="22">
        <f t="shared" ca="1" si="11"/>
        <v>281914736.22532952</v>
      </c>
      <c r="AM16" s="22">
        <f t="shared" ca="1" si="12"/>
        <v>326427589.31353951</v>
      </c>
      <c r="AN16" s="22">
        <f t="shared" ca="1" si="13"/>
        <v>112316168.15358585</v>
      </c>
      <c r="AO16" s="22">
        <f t="shared" ca="1" si="14"/>
        <v>167426812.40155053</v>
      </c>
      <c r="AR16" s="3">
        <f t="shared" ca="1" si="15"/>
        <v>5.6794809971474116</v>
      </c>
      <c r="AS16" s="3">
        <f t="shared" ca="1" si="16"/>
        <v>6.5762411545917407</v>
      </c>
      <c r="AT16" s="22">
        <f t="shared" ca="1" si="17"/>
        <v>169598568.07174367</v>
      </c>
      <c r="AU16" s="22">
        <f t="shared" ca="1" si="18"/>
        <v>159000776.91198897</v>
      </c>
      <c r="AZ16" s="4"/>
      <c r="BD16" s="54"/>
      <c r="BE16" s="54"/>
      <c r="BF16" s="54"/>
      <c r="BG16" s="54"/>
      <c r="BH16" s="51"/>
      <c r="BI16" s="51"/>
    </row>
    <row r="17" spans="3:61" x14ac:dyDescent="0.2">
      <c r="C17" s="1" t="s">
        <v>14</v>
      </c>
      <c r="D17" s="3">
        <f t="shared" ca="1" si="2"/>
        <v>9.2968132448559189</v>
      </c>
      <c r="F17" s="1" t="s">
        <v>14</v>
      </c>
      <c r="G17" s="22">
        <f t="shared" ca="1" si="3"/>
        <v>2530025.7867554757</v>
      </c>
      <c r="I17" s="1" t="s">
        <v>14</v>
      </c>
      <c r="J17" s="24">
        <f t="shared" ca="1" si="19"/>
        <v>154.14298029696599</v>
      </c>
      <c r="L17" s="1" t="s">
        <v>14</v>
      </c>
      <c r="M17" s="3">
        <f t="shared" ca="1" si="4"/>
        <v>8.8319725826131226</v>
      </c>
      <c r="N17" s="3">
        <f t="shared" ca="1" si="5"/>
        <v>10.226494569341511</v>
      </c>
      <c r="P17" s="17" t="s">
        <v>14</v>
      </c>
      <c r="Q17" s="30">
        <f t="shared" ca="1" si="6"/>
        <v>1591958.2451759749</v>
      </c>
      <c r="R17" s="14"/>
      <c r="S17" s="17" t="s">
        <v>14</v>
      </c>
      <c r="T17" s="29">
        <f t="shared" ca="1" si="7"/>
        <v>2932476.6244587</v>
      </c>
      <c r="V17" s="1" t="s">
        <v>14</v>
      </c>
      <c r="W17">
        <f t="shared" ca="1" si="8"/>
        <v>0</v>
      </c>
      <c r="Y17" s="1" t="s">
        <v>14</v>
      </c>
      <c r="Z17" s="3">
        <f t="shared" ca="1" si="0"/>
        <v>0</v>
      </c>
      <c r="AA17" s="3"/>
      <c r="AB17" s="3">
        <f t="shared" ca="1" si="1"/>
        <v>0</v>
      </c>
      <c r="AD17" s="17" t="s">
        <v>14</v>
      </c>
      <c r="AE17" s="19">
        <f t="shared" ca="1" si="9"/>
        <v>8.8319725826131226</v>
      </c>
      <c r="AF17" s="14"/>
      <c r="AG17" s="19">
        <f t="shared" ca="1" si="10"/>
        <v>10.226494569341511</v>
      </c>
      <c r="AK17" s="1" t="s">
        <v>14</v>
      </c>
      <c r="AL17" s="22">
        <f t="shared" ca="1" si="11"/>
        <v>446902367.63857114</v>
      </c>
      <c r="AM17" s="22">
        <f t="shared" ca="1" si="12"/>
        <v>517465899.37097716</v>
      </c>
      <c r="AN17" s="22">
        <f t="shared" ca="1" si="13"/>
        <v>101839164.9035195</v>
      </c>
      <c r="AO17" s="22">
        <f t="shared" ca="1" si="14"/>
        <v>168649532.48917401</v>
      </c>
      <c r="AR17" s="3">
        <f t="shared" ca="1" si="15"/>
        <v>8.8319725826131226</v>
      </c>
      <c r="AS17" s="3">
        <f t="shared" ca="1" si="16"/>
        <v>10.226494569341511</v>
      </c>
      <c r="AT17" s="22">
        <f t="shared" ca="1" si="17"/>
        <v>345063202.73505163</v>
      </c>
      <c r="AU17" s="22">
        <f t="shared" ca="1" si="18"/>
        <v>348816366.88180315</v>
      </c>
      <c r="AZ17" s="4"/>
      <c r="BD17" s="67"/>
      <c r="BE17" s="67"/>
      <c r="BF17" s="54"/>
      <c r="BG17" s="54"/>
      <c r="BH17" s="51"/>
      <c r="BI17" s="51"/>
    </row>
    <row r="18" spans="3:61" x14ac:dyDescent="0.2">
      <c r="C18" s="1" t="s">
        <v>15</v>
      </c>
      <c r="D18" s="3">
        <f t="shared" ca="1" si="2"/>
        <v>5.1190926126528637</v>
      </c>
      <c r="F18" s="1" t="s">
        <v>15</v>
      </c>
      <c r="G18" s="22">
        <f t="shared" ca="1" si="3"/>
        <v>2250844.1565238326</v>
      </c>
      <c r="I18" s="1" t="s">
        <v>15</v>
      </c>
      <c r="J18" s="24">
        <f t="shared" ca="1" si="19"/>
        <v>160.82551467700003</v>
      </c>
      <c r="L18" s="1" t="s">
        <v>15</v>
      </c>
      <c r="M18" s="3">
        <f t="shared" ca="1" si="4"/>
        <v>4.8631379820202207</v>
      </c>
      <c r="N18" s="3">
        <f t="shared" ca="1" si="5"/>
        <v>5.6310018739181507</v>
      </c>
      <c r="P18" s="17" t="s">
        <v>15</v>
      </c>
      <c r="Q18" s="30">
        <f t="shared" ca="1" si="6"/>
        <v>1836179.2173820315</v>
      </c>
      <c r="R18" s="14"/>
      <c r="S18" s="17" t="s">
        <v>15</v>
      </c>
      <c r="T18" s="29">
        <f t="shared" ca="1" si="7"/>
        <v>2662711.2184654316</v>
      </c>
      <c r="V18" s="1" t="s">
        <v>15</v>
      </c>
      <c r="W18">
        <f t="shared" ca="1" si="8"/>
        <v>0</v>
      </c>
      <c r="Y18" s="1" t="s">
        <v>15</v>
      </c>
      <c r="Z18" s="3">
        <f t="shared" ca="1" si="0"/>
        <v>0</v>
      </c>
      <c r="AA18" s="3"/>
      <c r="AB18" s="3">
        <f t="shared" ca="1" si="1"/>
        <v>0</v>
      </c>
      <c r="AD18" s="17" t="s">
        <v>15</v>
      </c>
      <c r="AE18" s="19">
        <f t="shared" ca="1" si="9"/>
        <v>4.8631379820202207</v>
      </c>
      <c r="AF18" s="14"/>
      <c r="AG18" s="19">
        <f t="shared" ca="1" si="10"/>
        <v>5.6310018739181507</v>
      </c>
      <c r="AK18" s="1" t="s">
        <v>15</v>
      </c>
      <c r="AL18" s="22">
        <f t="shared" ca="1" si="11"/>
        <v>218923314.18398634</v>
      </c>
      <c r="AM18" s="22">
        <f t="shared" ca="1" si="12"/>
        <v>253490153.26566842</v>
      </c>
      <c r="AN18" s="22">
        <f t="shared" ca="1" si="13"/>
        <v>106723584.34764063</v>
      </c>
      <c r="AO18" s="22">
        <f t="shared" ca="1" si="14"/>
        <v>163254224.36930865</v>
      </c>
      <c r="AR18" s="3">
        <f t="shared" ca="1" si="15"/>
        <v>4.8631379820202207</v>
      </c>
      <c r="AS18" s="3">
        <f t="shared" ca="1" si="16"/>
        <v>5.6310018739181507</v>
      </c>
      <c r="AT18" s="22">
        <f t="shared" ca="1" si="17"/>
        <v>112199729.8363457</v>
      </c>
      <c r="AU18" s="22">
        <f t="shared" ca="1" si="18"/>
        <v>90235928.896359771</v>
      </c>
      <c r="AZ18" s="4"/>
      <c r="BD18" s="54"/>
      <c r="BE18" s="54"/>
      <c r="BF18" s="54"/>
      <c r="BG18" s="54"/>
      <c r="BH18" s="51"/>
      <c r="BI18" s="51"/>
    </row>
    <row r="19" spans="3:61" x14ac:dyDescent="0.2">
      <c r="C19" s="1" t="s">
        <v>16</v>
      </c>
      <c r="D19" s="3">
        <f t="shared" ca="1" si="2"/>
        <v>7.3880107850575572</v>
      </c>
      <c r="F19" s="1" t="s">
        <v>16</v>
      </c>
      <c r="G19" s="22">
        <f t="shared" ca="1" si="3"/>
        <v>2529418.3156257332</v>
      </c>
      <c r="I19" s="1" t="s">
        <v>16</v>
      </c>
      <c r="J19" s="24">
        <f t="shared" ca="1" si="19"/>
        <v>170.34200744778491</v>
      </c>
      <c r="L19" s="1" t="s">
        <v>16</v>
      </c>
      <c r="M19" s="3">
        <f t="shared" ca="1" si="4"/>
        <v>7.0186102458046786</v>
      </c>
      <c r="N19" s="3">
        <f t="shared" ca="1" si="5"/>
        <v>8.1268118635633133</v>
      </c>
      <c r="P19" s="17" t="s">
        <v>16</v>
      </c>
      <c r="Q19" s="30">
        <f t="shared" ca="1" si="6"/>
        <v>1765403.6576857092</v>
      </c>
      <c r="R19" s="14"/>
      <c r="S19" s="17" t="s">
        <v>16</v>
      </c>
      <c r="T19" s="29">
        <f t="shared" ca="1" si="7"/>
        <v>2553323.462164138</v>
      </c>
      <c r="V19" s="1" t="s">
        <v>16</v>
      </c>
      <c r="W19">
        <f t="shared" ca="1" si="8"/>
        <v>0</v>
      </c>
      <c r="Y19" s="1" t="s">
        <v>16</v>
      </c>
      <c r="Z19" s="3">
        <f t="shared" ca="1" si="0"/>
        <v>0</v>
      </c>
      <c r="AA19" s="3"/>
      <c r="AB19" s="3">
        <f t="shared" ca="1" si="1"/>
        <v>0</v>
      </c>
      <c r="AD19" s="17" t="s">
        <v>16</v>
      </c>
      <c r="AE19" s="19">
        <f t="shared" ca="1" si="9"/>
        <v>7.0186102458046786</v>
      </c>
      <c r="AF19" s="14"/>
      <c r="AG19" s="19">
        <f t="shared" ca="1" si="10"/>
        <v>8.1268118635633133</v>
      </c>
      <c r="AK19" s="1" t="s">
        <v>16</v>
      </c>
      <c r="AL19" s="22">
        <f t="shared" ca="1" si="11"/>
        <v>355060026.11953562</v>
      </c>
      <c r="AM19" s="22">
        <f t="shared" ca="1" si="12"/>
        <v>411122135.50683081</v>
      </c>
      <c r="AN19" s="22">
        <f t="shared" ca="1" si="13"/>
        <v>105308073.15371418</v>
      </c>
      <c r="AO19" s="22">
        <f t="shared" ca="1" si="14"/>
        <v>161066469.24328277</v>
      </c>
      <c r="AR19" s="3">
        <f t="shared" ca="1" si="15"/>
        <v>7.0186102458046786</v>
      </c>
      <c r="AS19" s="3">
        <f t="shared" ca="1" si="16"/>
        <v>8.1268118635633133</v>
      </c>
      <c r="AT19" s="22">
        <f t="shared" ca="1" si="17"/>
        <v>249751952.96582144</v>
      </c>
      <c r="AU19" s="22">
        <f t="shared" ca="1" si="18"/>
        <v>250055666.26354805</v>
      </c>
      <c r="AZ19" s="4"/>
      <c r="BD19" s="67"/>
      <c r="BE19" s="67"/>
      <c r="BF19" s="54"/>
      <c r="BG19" s="54"/>
      <c r="BH19" s="51"/>
      <c r="BI19" s="51"/>
    </row>
    <row r="20" spans="3:61" x14ac:dyDescent="0.2">
      <c r="C20" s="1" t="s">
        <v>17</v>
      </c>
      <c r="D20" s="3">
        <f t="shared" ca="1" si="2"/>
        <v>6.4608187946851894</v>
      </c>
      <c r="F20" s="1" t="s">
        <v>17</v>
      </c>
      <c r="G20" s="22">
        <f t="shared" ca="1" si="3"/>
        <v>2394209.5010422016</v>
      </c>
      <c r="I20" s="1" t="s">
        <v>17</v>
      </c>
      <c r="J20" s="24">
        <f t="shared" ca="1" si="19"/>
        <v>180.5345944298428</v>
      </c>
      <c r="L20" s="1" t="s">
        <v>17</v>
      </c>
      <c r="M20" s="3">
        <f t="shared" ca="1" si="4"/>
        <v>6.1377778549509294</v>
      </c>
      <c r="N20" s="3">
        <f t="shared" ca="1" si="5"/>
        <v>7.1069006741537093</v>
      </c>
      <c r="P20" s="17" t="s">
        <v>17</v>
      </c>
      <c r="Q20" s="30">
        <f t="shared" ca="1" si="6"/>
        <v>1574191.1477783348</v>
      </c>
      <c r="R20" s="14"/>
      <c r="S20" s="17" t="s">
        <v>17</v>
      </c>
      <c r="T20" s="29">
        <f t="shared" ca="1" si="7"/>
        <v>2704830.8591610421</v>
      </c>
      <c r="V20" s="1" t="s">
        <v>17</v>
      </c>
      <c r="W20">
        <f t="shared" ca="1" si="8"/>
        <v>0</v>
      </c>
      <c r="Y20" s="1" t="s">
        <v>17</v>
      </c>
      <c r="Z20" s="3">
        <f t="shared" ca="1" si="0"/>
        <v>0</v>
      </c>
      <c r="AA20" s="3"/>
      <c r="AB20" s="3">
        <f t="shared" ca="1" si="1"/>
        <v>0</v>
      </c>
      <c r="AD20" s="17" t="s">
        <v>17</v>
      </c>
      <c r="AE20" s="19">
        <f t="shared" ca="1" si="9"/>
        <v>6.1377778549509294</v>
      </c>
      <c r="AF20" s="14"/>
      <c r="AG20" s="19">
        <f t="shared" ca="1" si="10"/>
        <v>7.1069006741537093</v>
      </c>
      <c r="AK20" s="1" t="s">
        <v>17</v>
      </c>
      <c r="AL20" s="22">
        <f t="shared" ca="1" si="11"/>
        <v>293902521.11219877</v>
      </c>
      <c r="AM20" s="22">
        <f t="shared" ca="1" si="12"/>
        <v>340308182.34044075</v>
      </c>
      <c r="AN20" s="22">
        <f t="shared" ca="1" si="13"/>
        <v>101483822.9555667</v>
      </c>
      <c r="AO20" s="22">
        <f t="shared" ca="1" si="14"/>
        <v>164096617.18322083</v>
      </c>
      <c r="AR20" s="3">
        <f t="shared" ca="1" si="15"/>
        <v>6.1377778549509294</v>
      </c>
      <c r="AS20" s="3">
        <f t="shared" ca="1" si="16"/>
        <v>7.1069006741537093</v>
      </c>
      <c r="AT20" s="22">
        <f t="shared" ca="1" si="17"/>
        <v>192418698.15663207</v>
      </c>
      <c r="AU20" s="22">
        <f t="shared" ca="1" si="18"/>
        <v>176211565.15721992</v>
      </c>
      <c r="AZ20" s="4"/>
      <c r="BD20" s="67"/>
      <c r="BE20" s="67"/>
      <c r="BF20" s="54"/>
      <c r="BG20" s="54"/>
      <c r="BH20" s="51"/>
      <c r="BI20" s="51"/>
    </row>
    <row r="21" spans="3:61" x14ac:dyDescent="0.2">
      <c r="C21" s="1" t="s">
        <v>18</v>
      </c>
      <c r="D21" s="3">
        <f t="shared" ca="1" si="2"/>
        <v>8.4912178446057016</v>
      </c>
      <c r="F21" s="1" t="s">
        <v>18</v>
      </c>
      <c r="G21" s="22">
        <f t="shared" ca="1" si="3"/>
        <v>2516223.6279414827</v>
      </c>
      <c r="I21" s="1" t="s">
        <v>18</v>
      </c>
      <c r="J21" s="24">
        <f t="shared" ca="1" si="19"/>
        <v>182.67810169291661</v>
      </c>
      <c r="L21" s="1" t="s">
        <v>18</v>
      </c>
      <c r="M21" s="3">
        <f t="shared" ca="1" si="4"/>
        <v>8.0666569523754159</v>
      </c>
      <c r="N21" s="3">
        <f t="shared" ca="1" si="5"/>
        <v>9.340339629066273</v>
      </c>
      <c r="P21" s="17" t="s">
        <v>18</v>
      </c>
      <c r="Q21" s="30">
        <f t="shared" ca="1" si="6"/>
        <v>2284994.5425685975</v>
      </c>
      <c r="R21" s="14"/>
      <c r="S21" s="17" t="s">
        <v>18</v>
      </c>
      <c r="T21" s="29">
        <f t="shared" ca="1" si="7"/>
        <v>2713118.534357972</v>
      </c>
      <c r="V21" s="1" t="s">
        <v>18</v>
      </c>
      <c r="W21">
        <f t="shared" ca="1" si="8"/>
        <v>0</v>
      </c>
      <c r="Y21" s="1" t="s">
        <v>18</v>
      </c>
      <c r="Z21" s="3">
        <f t="shared" ca="1" si="0"/>
        <v>0</v>
      </c>
      <c r="AA21" s="3"/>
      <c r="AB21" s="3">
        <f t="shared" ca="1" si="1"/>
        <v>0</v>
      </c>
      <c r="AD21" s="17" t="s">
        <v>18</v>
      </c>
      <c r="AE21" s="19">
        <f t="shared" ca="1" si="9"/>
        <v>8.0666569523754159</v>
      </c>
      <c r="AF21" s="14"/>
      <c r="AG21" s="19">
        <f t="shared" ca="1" si="10"/>
        <v>9.340339629066273</v>
      </c>
      <c r="AK21" s="1" t="s">
        <v>18</v>
      </c>
      <c r="AL21" s="22">
        <f t="shared" ca="1" si="11"/>
        <v>405950256.44130909</v>
      </c>
      <c r="AM21" s="22">
        <f t="shared" ca="1" si="12"/>
        <v>470047665.35309482</v>
      </c>
      <c r="AN21" s="22">
        <f t="shared" ca="1" si="13"/>
        <v>115699890.85137194</v>
      </c>
      <c r="AO21" s="22">
        <f t="shared" ca="1" si="14"/>
        <v>164262370.68715945</v>
      </c>
      <c r="AR21" s="3">
        <f t="shared" ca="1" si="15"/>
        <v>8.0666569523754159</v>
      </c>
      <c r="AS21" s="3">
        <f t="shared" ca="1" si="16"/>
        <v>9.340339629066273</v>
      </c>
      <c r="AT21" s="22">
        <f t="shared" ca="1" si="17"/>
        <v>290250365.58993715</v>
      </c>
      <c r="AU21" s="22">
        <f t="shared" ca="1" si="18"/>
        <v>305785294.6659354</v>
      </c>
      <c r="AZ21" s="4"/>
      <c r="BD21" s="67"/>
      <c r="BE21" s="68"/>
      <c r="BF21" s="54"/>
      <c r="BG21" s="54"/>
      <c r="BH21" s="51"/>
      <c r="BI21" s="51"/>
    </row>
    <row r="22" spans="3:61" x14ac:dyDescent="0.2">
      <c r="C22" s="1" t="s">
        <v>19</v>
      </c>
      <c r="D22" s="3">
        <f t="shared" ca="1" si="2"/>
        <v>7.0993892340767975</v>
      </c>
      <c r="F22" s="1" t="s">
        <v>19</v>
      </c>
      <c r="G22" s="22">
        <f t="shared" ca="1" si="3"/>
        <v>2400632.5066453032</v>
      </c>
      <c r="I22" s="1" t="s">
        <v>19</v>
      </c>
      <c r="J22" s="24">
        <f t="shared" ca="1" si="19"/>
        <v>191.0288158269725</v>
      </c>
      <c r="L22" s="1" t="s">
        <v>19</v>
      </c>
      <c r="M22" s="3">
        <f t="shared" ca="1" si="4"/>
        <v>6.7444197723729573</v>
      </c>
      <c r="N22" s="3">
        <f t="shared" ca="1" si="5"/>
        <v>7.8093281574844777</v>
      </c>
      <c r="P22" s="17" t="s">
        <v>19</v>
      </c>
      <c r="Q22" s="30">
        <f t="shared" ca="1" si="6"/>
        <v>1279021.5005072914</v>
      </c>
      <c r="R22" s="14"/>
      <c r="S22" s="17" t="s">
        <v>19</v>
      </c>
      <c r="T22" s="29">
        <f t="shared" ca="1" si="7"/>
        <v>2784113.6306200805</v>
      </c>
      <c r="V22" s="1" t="s">
        <v>19</v>
      </c>
      <c r="W22">
        <f t="shared" ca="1" si="8"/>
        <v>0</v>
      </c>
      <c r="Y22" s="1" t="s">
        <v>19</v>
      </c>
      <c r="Z22" s="3">
        <f t="shared" ca="1" si="0"/>
        <v>0</v>
      </c>
      <c r="AA22" s="3"/>
      <c r="AB22" s="3">
        <f t="shared" ca="1" si="1"/>
        <v>0</v>
      </c>
      <c r="AD22" s="17" t="s">
        <v>19</v>
      </c>
      <c r="AE22" s="19">
        <f t="shared" ca="1" si="9"/>
        <v>6.7444197723729573</v>
      </c>
      <c r="AF22" s="14"/>
      <c r="AG22" s="19">
        <f t="shared" ca="1" si="10"/>
        <v>7.8093281574844777</v>
      </c>
      <c r="AK22" s="1" t="s">
        <v>19</v>
      </c>
      <c r="AL22" s="22">
        <f t="shared" ca="1" si="11"/>
        <v>323817466.88039672</v>
      </c>
      <c r="AM22" s="22">
        <f t="shared" ca="1" si="12"/>
        <v>374946540.59835422</v>
      </c>
      <c r="AN22" s="22">
        <f t="shared" ca="1" si="13"/>
        <v>95580430.010145828</v>
      </c>
      <c r="AO22" s="22">
        <f t="shared" ca="1" si="14"/>
        <v>165682272.6124016</v>
      </c>
      <c r="AR22" s="3">
        <f t="shared" ca="1" si="15"/>
        <v>6.7444197723729573</v>
      </c>
      <c r="AS22" s="3">
        <f t="shared" ca="1" si="16"/>
        <v>7.8093281574844777</v>
      </c>
      <c r="AT22" s="22">
        <f t="shared" ca="1" si="17"/>
        <v>228237036.87025088</v>
      </c>
      <c r="AU22" s="22">
        <f t="shared" ca="1" si="18"/>
        <v>209264267.98595262</v>
      </c>
      <c r="AZ22" s="4"/>
      <c r="BD22" s="67"/>
      <c r="BE22" s="68"/>
      <c r="BF22" s="54"/>
      <c r="BG22" s="54"/>
      <c r="BH22" s="51"/>
      <c r="BI22" s="51"/>
    </row>
    <row r="23" spans="3:61" x14ac:dyDescent="0.2">
      <c r="C23" s="1" t="s">
        <v>20</v>
      </c>
      <c r="D23" s="3">
        <f t="shared" ca="1" si="2"/>
        <v>7.3445884717303311</v>
      </c>
      <c r="F23" s="1" t="s">
        <v>20</v>
      </c>
      <c r="G23" s="22">
        <f t="shared" ca="1" si="3"/>
        <v>2259161.9487628359</v>
      </c>
      <c r="I23" s="1" t="s">
        <v>20</v>
      </c>
      <c r="J23" s="24">
        <f t="shared" ca="1" si="19"/>
        <v>194.02618424542544</v>
      </c>
      <c r="L23" s="1" t="s">
        <v>20</v>
      </c>
      <c r="M23" s="3">
        <f t="shared" ca="1" si="4"/>
        <v>6.9773590481438141</v>
      </c>
      <c r="N23" s="3">
        <f t="shared" ca="1" si="5"/>
        <v>8.0790473189033651</v>
      </c>
      <c r="P23" s="17" t="s">
        <v>20</v>
      </c>
      <c r="Q23" s="30">
        <f t="shared" ca="1" si="6"/>
        <v>1529857.1324420655</v>
      </c>
      <c r="R23" s="14"/>
      <c r="S23" s="17" t="s">
        <v>20</v>
      </c>
      <c r="T23" s="29">
        <f t="shared" ca="1" si="7"/>
        <v>2946131.8455662504</v>
      </c>
      <c r="V23" s="1" t="s">
        <v>20</v>
      </c>
      <c r="W23">
        <f t="shared" ca="1" si="8"/>
        <v>0</v>
      </c>
      <c r="Y23" s="1" t="s">
        <v>20</v>
      </c>
      <c r="Z23" s="3">
        <f t="shared" ca="1" si="0"/>
        <v>0</v>
      </c>
      <c r="AA23" s="3"/>
      <c r="AB23" s="3">
        <f t="shared" ca="1" si="1"/>
        <v>0</v>
      </c>
      <c r="AD23" s="17" t="s">
        <v>20</v>
      </c>
      <c r="AE23" s="19">
        <f t="shared" ca="1" si="9"/>
        <v>6.9773590481438141</v>
      </c>
      <c r="AF23" s="14"/>
      <c r="AG23" s="19">
        <f t="shared" ca="1" si="10"/>
        <v>8.0790473189033651</v>
      </c>
      <c r="AK23" s="1" t="s">
        <v>20</v>
      </c>
      <c r="AL23" s="22">
        <f t="shared" ca="1" si="11"/>
        <v>315259681.28845167</v>
      </c>
      <c r="AM23" s="22">
        <f t="shared" ca="1" si="12"/>
        <v>365037525.70241779</v>
      </c>
      <c r="AN23" s="22">
        <f t="shared" ca="1" si="13"/>
        <v>100597142.64884131</v>
      </c>
      <c r="AO23" s="22">
        <f t="shared" ca="1" si="14"/>
        <v>168922636.91132501</v>
      </c>
      <c r="AR23" s="3">
        <f t="shared" ca="1" si="15"/>
        <v>6.9773590481438141</v>
      </c>
      <c r="AS23" s="3">
        <f t="shared" ca="1" si="16"/>
        <v>8.0790473189033651</v>
      </c>
      <c r="AT23" s="22">
        <f t="shared" ca="1" si="17"/>
        <v>214662538.63961035</v>
      </c>
      <c r="AU23" s="22">
        <f t="shared" ca="1" si="18"/>
        <v>196114888.79109278</v>
      </c>
      <c r="AZ23" s="4"/>
      <c r="BD23" s="67"/>
      <c r="BE23" s="68"/>
      <c r="BF23" s="54"/>
      <c r="BG23" s="54"/>
      <c r="BH23" s="51"/>
      <c r="BI23" s="51"/>
    </row>
    <row r="24" spans="3:61" x14ac:dyDescent="0.2">
      <c r="C24" s="1" t="s">
        <v>21</v>
      </c>
      <c r="D24" s="3">
        <f t="shared" ca="1" si="2"/>
        <v>6.9597152675814415</v>
      </c>
      <c r="F24" s="1" t="s">
        <v>21</v>
      </c>
      <c r="G24" s="22">
        <f t="shared" ca="1" si="3"/>
        <v>2725965.5491624437</v>
      </c>
      <c r="I24" s="1" t="s">
        <v>21</v>
      </c>
      <c r="J24" s="24">
        <f t="shared" ca="1" si="19"/>
        <v>200.24808066276228</v>
      </c>
      <c r="L24" s="1" t="s">
        <v>21</v>
      </c>
      <c r="M24" s="3">
        <f t="shared" ca="1" si="4"/>
        <v>6.6117295042023692</v>
      </c>
      <c r="N24" s="3">
        <f t="shared" ca="1" si="5"/>
        <v>7.6556867943395863</v>
      </c>
      <c r="P24" s="17" t="s">
        <v>21</v>
      </c>
      <c r="Q24" s="30">
        <f t="shared" ca="1" si="6"/>
        <v>1812111.2451733749</v>
      </c>
      <c r="R24" s="14"/>
      <c r="S24" s="17" t="s">
        <v>21</v>
      </c>
      <c r="T24" s="29">
        <f t="shared" ca="1" si="7"/>
        <v>3094701.2406886634</v>
      </c>
      <c r="V24" s="1" t="s">
        <v>21</v>
      </c>
      <c r="W24">
        <f t="shared" ca="1" si="8"/>
        <v>0</v>
      </c>
      <c r="Y24" s="1" t="s">
        <v>21</v>
      </c>
      <c r="Z24" s="3">
        <f t="shared" ca="1" si="0"/>
        <v>0</v>
      </c>
      <c r="AA24" s="3"/>
      <c r="AB24" s="3">
        <f t="shared" ca="1" si="1"/>
        <v>0</v>
      </c>
      <c r="AD24" s="17" t="s">
        <v>21</v>
      </c>
      <c r="AE24" s="19">
        <f t="shared" ca="1" si="9"/>
        <v>6.6117295042023692</v>
      </c>
      <c r="AF24" s="14"/>
      <c r="AG24" s="19">
        <f t="shared" ca="1" si="10"/>
        <v>7.6556867943395863</v>
      </c>
      <c r="AK24" s="1" t="s">
        <v>21</v>
      </c>
      <c r="AL24" s="22">
        <f t="shared" ca="1" si="11"/>
        <v>360466936.97673082</v>
      </c>
      <c r="AM24" s="22">
        <f t="shared" ca="1" si="12"/>
        <v>417382769.13095164</v>
      </c>
      <c r="AN24" s="22">
        <f t="shared" ca="1" si="13"/>
        <v>106242224.90346751</v>
      </c>
      <c r="AO24" s="22">
        <f t="shared" ca="1" si="14"/>
        <v>171894024.81377327</v>
      </c>
      <c r="AR24" s="3">
        <f t="shared" ca="1" si="15"/>
        <v>6.6117295042023692</v>
      </c>
      <c r="AS24" s="3">
        <f t="shared" ca="1" si="16"/>
        <v>7.6556867943395863</v>
      </c>
      <c r="AT24" s="22">
        <f t="shared" ca="1" si="17"/>
        <v>254224712.07326332</v>
      </c>
      <c r="AU24" s="22">
        <f ca="1">AM24-AO24</f>
        <v>245488744.31717837</v>
      </c>
      <c r="AZ24" s="4"/>
      <c r="BD24" s="54"/>
      <c r="BE24" s="54"/>
      <c r="BF24" s="54"/>
      <c r="BG24" s="54"/>
      <c r="BH24" s="51"/>
      <c r="BI24" s="51"/>
    </row>
    <row r="25" spans="3:61" x14ac:dyDescent="0.2">
      <c r="C25" s="1" t="s">
        <v>22</v>
      </c>
      <c r="D25" s="3">
        <f t="shared" ca="1" si="2"/>
        <v>7.4633336035482714</v>
      </c>
      <c r="F25" s="1" t="s">
        <v>22</v>
      </c>
      <c r="G25" s="22">
        <f t="shared" ca="1" si="3"/>
        <v>2589127.7666046824</v>
      </c>
      <c r="I25" s="1" t="s">
        <v>22</v>
      </c>
      <c r="J25" s="24">
        <f t="shared" ca="1" si="19"/>
        <v>204.19110353520497</v>
      </c>
      <c r="L25" s="1" t="s">
        <v>22</v>
      </c>
      <c r="M25" s="3">
        <f t="shared" ca="1" si="4"/>
        <v>7.0901669233708571</v>
      </c>
      <c r="N25" s="3">
        <f t="shared" ca="1" si="5"/>
        <v>8.2096669639030999</v>
      </c>
      <c r="P25" s="17" t="s">
        <v>22</v>
      </c>
      <c r="Q25" s="30">
        <f t="shared" ca="1" si="6"/>
        <v>1603193.776876522</v>
      </c>
      <c r="R25" s="14"/>
      <c r="S25" s="17" t="s">
        <v>22</v>
      </c>
      <c r="T25" s="29">
        <f t="shared" ca="1" si="7"/>
        <v>2670169.1213484001</v>
      </c>
      <c r="V25" s="1" t="s">
        <v>22</v>
      </c>
      <c r="W25">
        <f t="shared" ca="1" si="8"/>
        <v>0</v>
      </c>
      <c r="Y25" s="1" t="s">
        <v>22</v>
      </c>
      <c r="Z25" s="3">
        <f t="shared" ca="1" si="0"/>
        <v>0</v>
      </c>
      <c r="AA25" s="3"/>
      <c r="AB25" s="3">
        <f t="shared" ca="1" si="1"/>
        <v>0</v>
      </c>
      <c r="AD25" s="17" t="s">
        <v>22</v>
      </c>
      <c r="AE25" s="19">
        <f t="shared" ca="1" si="9"/>
        <v>7.0901669233708571</v>
      </c>
      <c r="AF25" s="14"/>
      <c r="AG25" s="19">
        <f t="shared" ca="1" si="10"/>
        <v>8.2096669639030999</v>
      </c>
      <c r="AK25" s="1" t="s">
        <v>22</v>
      </c>
      <c r="AL25" s="22">
        <f t="shared" ca="1" si="11"/>
        <v>367146961.02323163</v>
      </c>
      <c r="AM25" s="22">
        <f t="shared" ca="1" si="12"/>
        <v>425117533.81637359</v>
      </c>
      <c r="AN25" s="22">
        <f t="shared" ca="1" si="13"/>
        <v>102063875.53753044</v>
      </c>
      <c r="AO25" s="22">
        <f t="shared" ca="1" si="14"/>
        <v>163403382.42696801</v>
      </c>
      <c r="AR25" s="3">
        <f t="shared" ca="1" si="15"/>
        <v>7.0901669233708571</v>
      </c>
      <c r="AS25" s="3">
        <f t="shared" ca="1" si="16"/>
        <v>8.2096669639030999</v>
      </c>
      <c r="AT25" s="22">
        <f t="shared" ca="1" si="17"/>
        <v>265083085.4857012</v>
      </c>
      <c r="AU25" s="22">
        <f t="shared" ca="1" si="18"/>
        <v>261714151.38940558</v>
      </c>
      <c r="AZ25" s="4"/>
      <c r="BD25" s="54"/>
      <c r="BE25" s="54"/>
      <c r="BF25" s="54"/>
      <c r="BG25" s="54"/>
      <c r="BH25" s="51"/>
      <c r="BI25" s="51"/>
    </row>
    <row r="26" spans="3:61" x14ac:dyDescent="0.2">
      <c r="C26" s="1" t="s">
        <v>23</v>
      </c>
      <c r="D26" s="3">
        <f t="shared" ca="1" si="2"/>
        <v>5.9693686498667535</v>
      </c>
      <c r="F26" s="1" t="s">
        <v>23</v>
      </c>
      <c r="G26" s="22">
        <f t="shared" ca="1" si="3"/>
        <v>2242921.418042066</v>
      </c>
      <c r="I26" s="1" t="s">
        <v>23</v>
      </c>
      <c r="J26" s="24">
        <f t="shared" ca="1" si="19"/>
        <v>224.39194211284087</v>
      </c>
      <c r="L26" s="1" t="s">
        <v>23</v>
      </c>
      <c r="M26" s="3">
        <f t="shared" ca="1" si="4"/>
        <v>5.6709002173734158</v>
      </c>
      <c r="N26" s="3">
        <f t="shared" ca="1" si="5"/>
        <v>6.5663055148534291</v>
      </c>
      <c r="P26" s="17" t="s">
        <v>23</v>
      </c>
      <c r="Q26" s="30">
        <f t="shared" ca="1" si="6"/>
        <v>1633717.4246116297</v>
      </c>
      <c r="R26" s="14"/>
      <c r="S26" s="17" t="s">
        <v>23</v>
      </c>
      <c r="T26" s="29">
        <f t="shared" ca="1" si="7"/>
        <v>2704765.1573335105</v>
      </c>
      <c r="V26" s="1" t="s">
        <v>23</v>
      </c>
      <c r="W26">
        <f t="shared" ca="1" si="8"/>
        <v>0</v>
      </c>
      <c r="Y26" s="1" t="s">
        <v>23</v>
      </c>
      <c r="Z26" s="3">
        <f t="shared" ca="1" si="0"/>
        <v>0</v>
      </c>
      <c r="AA26" s="3"/>
      <c r="AB26" s="3">
        <f t="shared" ca="1" si="1"/>
        <v>0</v>
      </c>
      <c r="AD26" s="17" t="s">
        <v>23</v>
      </c>
      <c r="AE26" s="19">
        <f t="shared" ca="1" si="9"/>
        <v>5.6709002173734158</v>
      </c>
      <c r="AF26" s="14"/>
      <c r="AG26" s="19">
        <f t="shared" ca="1" si="10"/>
        <v>6.5663055148534291</v>
      </c>
      <c r="AK26" s="1" t="s">
        <v>23</v>
      </c>
      <c r="AL26" s="22">
        <f t="shared" ca="1" si="11"/>
        <v>254387671.14252484</v>
      </c>
      <c r="AM26" s="22">
        <f t="shared" ca="1" si="12"/>
        <v>294554145.53344983</v>
      </c>
      <c r="AN26" s="22">
        <f t="shared" ca="1" si="13"/>
        <v>102674348.49223259</v>
      </c>
      <c r="AO26" s="22">
        <f t="shared" ca="1" si="14"/>
        <v>164095303.14667022</v>
      </c>
      <c r="AR26" s="3">
        <f t="shared" ca="1" si="15"/>
        <v>5.6709002173734158</v>
      </c>
      <c r="AS26" s="3">
        <f t="shared" ca="1" si="16"/>
        <v>6.5663055148534291</v>
      </c>
      <c r="AT26" s="22">
        <f t="shared" ca="1" si="17"/>
        <v>151713322.65029225</v>
      </c>
      <c r="AU26" s="22">
        <f t="shared" ca="1" si="18"/>
        <v>130458842.38677961</v>
      </c>
      <c r="AZ26" s="4"/>
      <c r="BD26" s="54"/>
      <c r="BE26" s="54"/>
      <c r="BF26" s="54"/>
      <c r="BG26" s="54"/>
      <c r="BH26" s="51"/>
      <c r="BI26" s="51"/>
    </row>
    <row r="27" spans="3:61" x14ac:dyDescent="0.2">
      <c r="C27" s="1" t="s">
        <v>24</v>
      </c>
      <c r="D27" s="3">
        <f t="shared" ca="1" si="2"/>
        <v>5.5082956950558017</v>
      </c>
      <c r="F27" s="1" t="s">
        <v>24</v>
      </c>
      <c r="G27" s="22">
        <f t="shared" ca="1" si="3"/>
        <v>2673545.0440272829</v>
      </c>
      <c r="I27" s="1" t="s">
        <v>24</v>
      </c>
      <c r="J27" s="24">
        <f t="shared" ca="1" si="19"/>
        <v>230.30066012748333</v>
      </c>
      <c r="L27" s="1" t="s">
        <v>24</v>
      </c>
      <c r="M27" s="3">
        <f t="shared" ca="1" si="4"/>
        <v>5.2328809103030114</v>
      </c>
      <c r="N27" s="3">
        <f t="shared" ca="1" si="5"/>
        <v>6.0591252645613825</v>
      </c>
      <c r="P27" s="17" t="s">
        <v>24</v>
      </c>
      <c r="Q27" s="30">
        <f t="shared" ca="1" si="6"/>
        <v>2221217.2732813158</v>
      </c>
      <c r="R27" s="14"/>
      <c r="S27" s="17" t="s">
        <v>24</v>
      </c>
      <c r="T27" s="29">
        <f t="shared" ca="1" si="7"/>
        <v>2969394.9524671421</v>
      </c>
      <c r="V27" s="1" t="s">
        <v>24</v>
      </c>
      <c r="W27">
        <f t="shared" ca="1" si="8"/>
        <v>0</v>
      </c>
      <c r="Y27" s="1" t="s">
        <v>24</v>
      </c>
      <c r="Z27" s="3">
        <f t="shared" ca="1" si="0"/>
        <v>0</v>
      </c>
      <c r="AA27" s="3"/>
      <c r="AB27" s="3">
        <f t="shared" ca="1" si="1"/>
        <v>0</v>
      </c>
      <c r="AD27" s="17" t="s">
        <v>24</v>
      </c>
      <c r="AE27" s="19">
        <f t="shared" ca="1" si="9"/>
        <v>5.2328809103030114</v>
      </c>
      <c r="AF27" s="14"/>
      <c r="AG27" s="19">
        <f t="shared" ca="1" si="10"/>
        <v>6.0591252645613825</v>
      </c>
      <c r="AK27" s="1" t="s">
        <v>24</v>
      </c>
      <c r="AL27" s="22">
        <f t="shared" ca="1" si="11"/>
        <v>279806856.47451186</v>
      </c>
      <c r="AM27" s="22">
        <f t="shared" ca="1" si="12"/>
        <v>323986886.44417167</v>
      </c>
      <c r="AN27" s="22">
        <f t="shared" ca="1" si="13"/>
        <v>114424345.46562631</v>
      </c>
      <c r="AO27" s="22">
        <f t="shared" ca="1" si="14"/>
        <v>169387899.04934284</v>
      </c>
      <c r="AR27" s="3">
        <f t="shared" ca="1" si="15"/>
        <v>5.2328809103030114</v>
      </c>
      <c r="AS27" s="3">
        <f t="shared" ca="1" si="16"/>
        <v>6.0591252645613825</v>
      </c>
      <c r="AT27" s="22">
        <f t="shared" ca="1" si="17"/>
        <v>165382511.00888556</v>
      </c>
      <c r="AU27" s="22">
        <f t="shared" ca="1" si="18"/>
        <v>154598987.39482883</v>
      </c>
      <c r="AZ27" s="4"/>
      <c r="BD27" s="54"/>
      <c r="BE27" s="54"/>
      <c r="BF27" s="54"/>
      <c r="BG27" s="54"/>
      <c r="BH27" s="51"/>
      <c r="BI27" s="51"/>
    </row>
    <row r="28" spans="3:61" x14ac:dyDescent="0.2">
      <c r="C28" s="1" t="s">
        <v>25</v>
      </c>
      <c r="D28" s="3">
        <f t="shared" ca="1" si="2"/>
        <v>7.7495560457710635</v>
      </c>
      <c r="F28" s="1" t="s">
        <v>25</v>
      </c>
      <c r="G28" s="22">
        <f t="shared" ca="1" si="3"/>
        <v>2367092.2925328705</v>
      </c>
      <c r="I28" s="1" t="s">
        <v>25</v>
      </c>
      <c r="J28" s="24">
        <f t="shared" ca="1" si="19"/>
        <v>242.79065232471976</v>
      </c>
      <c r="L28" s="1" t="s">
        <v>25</v>
      </c>
      <c r="M28" s="3">
        <f t="shared" ca="1" si="4"/>
        <v>7.3620782434825101</v>
      </c>
      <c r="N28" s="3">
        <f t="shared" ca="1" si="5"/>
        <v>8.5245116503481704</v>
      </c>
      <c r="P28" s="17" t="s">
        <v>25</v>
      </c>
      <c r="Q28" s="30">
        <f t="shared" ca="1" si="6"/>
        <v>2286270.1312324931</v>
      </c>
      <c r="R28" s="14"/>
      <c r="S28" s="17" t="s">
        <v>25</v>
      </c>
      <c r="T28" s="29">
        <f t="shared" ca="1" si="7"/>
        <v>2850472.544259083</v>
      </c>
      <c r="V28" s="1" t="s">
        <v>25</v>
      </c>
      <c r="W28">
        <f ca="1">IF(RAND() &lt; 0.05, 1, 0)</f>
        <v>0</v>
      </c>
      <c r="Y28" s="1" t="s">
        <v>25</v>
      </c>
      <c r="Z28" s="3">
        <f t="shared" ca="1" si="0"/>
        <v>0</v>
      </c>
      <c r="AA28" s="3"/>
      <c r="AB28" s="3">
        <f t="shared" ca="1" si="1"/>
        <v>0</v>
      </c>
      <c r="AD28" s="17" t="s">
        <v>25</v>
      </c>
      <c r="AE28" s="19">
        <f t="shared" ca="1" si="9"/>
        <v>7.3620782434825101</v>
      </c>
      <c r="AF28" s="14"/>
      <c r="AG28" s="19">
        <f t="shared" ca="1" si="10"/>
        <v>8.5245116503481704</v>
      </c>
      <c r="AK28" s="1" t="s">
        <v>25</v>
      </c>
      <c r="AL28" s="22">
        <f t="shared" ca="1" si="11"/>
        <v>348534373.34342772</v>
      </c>
      <c r="AM28" s="22">
        <f t="shared" ca="1" si="12"/>
        <v>403566116.50291628</v>
      </c>
      <c r="AN28" s="22">
        <f t="shared" ca="1" si="13"/>
        <v>115725402.62464985</v>
      </c>
      <c r="AO28" s="22">
        <f t="shared" ca="1" si="14"/>
        <v>167009450.88518167</v>
      </c>
      <c r="AR28" s="3">
        <f t="shared" ca="1" si="15"/>
        <v>7.3620782434825101</v>
      </c>
      <c r="AS28" s="3">
        <f t="shared" ca="1" si="16"/>
        <v>8.5245116503481704</v>
      </c>
      <c r="AT28" s="22">
        <f t="shared" ca="1" si="17"/>
        <v>232808970.71877787</v>
      </c>
      <c r="AU28" s="22">
        <f t="shared" ca="1" si="18"/>
        <v>236556665.61773461</v>
      </c>
      <c r="AZ28" s="4"/>
      <c r="BD28" s="54"/>
      <c r="BE28" s="54"/>
      <c r="BF28" s="54"/>
      <c r="BG28" s="54"/>
      <c r="BH28" s="51"/>
      <c r="BI28" s="51"/>
    </row>
    <row r="29" spans="3:61" x14ac:dyDescent="0.2">
      <c r="C29" s="1" t="s">
        <v>26</v>
      </c>
      <c r="D29" s="3">
        <f t="shared" ca="1" si="2"/>
        <v>7.4955676217010474</v>
      </c>
      <c r="F29" s="1" t="s">
        <v>26</v>
      </c>
      <c r="G29" s="22">
        <f t="shared" ca="1" si="3"/>
        <v>2380401.9616716276</v>
      </c>
      <c r="I29" s="1" t="s">
        <v>26</v>
      </c>
      <c r="J29" s="24">
        <f t="shared" ca="1" si="19"/>
        <v>252.88882938995317</v>
      </c>
      <c r="L29" s="1" t="s">
        <v>26</v>
      </c>
      <c r="M29" s="3">
        <f t="shared" ca="1" si="4"/>
        <v>7.1207892406159949</v>
      </c>
      <c r="N29" s="3">
        <f t="shared" ca="1" si="5"/>
        <v>8.2451243838711523</v>
      </c>
      <c r="P29" s="17" t="s">
        <v>26</v>
      </c>
      <c r="Q29" s="30">
        <f t="shared" ca="1" si="6"/>
        <v>1895968.2889393796</v>
      </c>
      <c r="R29" s="14"/>
      <c r="S29" s="17" t="s">
        <v>26</v>
      </c>
      <c r="T29" s="29">
        <f t="shared" ca="1" si="7"/>
        <v>2695427.2190679526</v>
      </c>
      <c r="V29" s="1" t="s">
        <v>26</v>
      </c>
      <c r="W29">
        <f t="shared" ca="1" si="8"/>
        <v>0</v>
      </c>
      <c r="Y29" s="1" t="s">
        <v>26</v>
      </c>
      <c r="Z29" s="3">
        <f t="shared" ca="1" si="0"/>
        <v>0</v>
      </c>
      <c r="AA29" s="3"/>
      <c r="AB29" s="3">
        <f t="shared" ca="1" si="1"/>
        <v>0</v>
      </c>
      <c r="AD29" s="17" t="s">
        <v>26</v>
      </c>
      <c r="AE29" s="19">
        <f t="shared" ca="1" si="9"/>
        <v>7.1207892406159949</v>
      </c>
      <c r="AF29" s="14"/>
      <c r="AG29" s="19">
        <f t="shared" ca="1" si="10"/>
        <v>8.2451243838711523</v>
      </c>
      <c r="AK29" s="1" t="s">
        <v>26</v>
      </c>
      <c r="AL29" s="22">
        <f t="shared" ca="1" si="11"/>
        <v>339006813.54025066</v>
      </c>
      <c r="AM29" s="22">
        <f t="shared" ca="1" si="12"/>
        <v>392534205.15186918</v>
      </c>
      <c r="AN29" s="22">
        <f t="shared" ca="1" si="13"/>
        <v>107919365.77878758</v>
      </c>
      <c r="AO29" s="22">
        <f t="shared" ca="1" si="14"/>
        <v>163908544.38135904</v>
      </c>
      <c r="AR29" s="3">
        <f t="shared" ca="1" si="15"/>
        <v>7.1207892406159949</v>
      </c>
      <c r="AS29" s="3">
        <f t="shared" ca="1" si="16"/>
        <v>8.2451243838711523</v>
      </c>
      <c r="AT29" s="22">
        <f t="shared" ca="1" si="17"/>
        <v>231087447.76146308</v>
      </c>
      <c r="AU29" s="22">
        <f t="shared" ca="1" si="18"/>
        <v>228625660.77051014</v>
      </c>
      <c r="AZ29" s="4"/>
      <c r="BD29" s="54"/>
      <c r="BE29" s="54"/>
      <c r="BF29" s="54"/>
      <c r="BG29" s="54"/>
      <c r="BH29" s="51"/>
      <c r="BI29" s="51"/>
    </row>
    <row r="30" spans="3:61" x14ac:dyDescent="0.2">
      <c r="AZ30" s="4"/>
      <c r="BH30" s="51"/>
      <c r="BI30" s="51"/>
    </row>
    <row r="31" spans="3:61" x14ac:dyDescent="0.2">
      <c r="AZ31" s="4"/>
      <c r="BH31" s="51"/>
      <c r="BI31" s="51"/>
    </row>
    <row r="32" spans="3:61" x14ac:dyDescent="0.2">
      <c r="AZ32" s="4"/>
      <c r="BH32" s="51"/>
      <c r="BI32" s="51"/>
    </row>
    <row r="33" spans="52:61" x14ac:dyDescent="0.2">
      <c r="AZ33" s="4"/>
      <c r="BH33" s="51"/>
      <c r="BI33" s="51"/>
    </row>
    <row r="34" spans="52:61" x14ac:dyDescent="0.2">
      <c r="AZ34" s="4"/>
      <c r="BH34" s="51"/>
      <c r="BI34" s="51"/>
    </row>
    <row r="35" spans="52:61" x14ac:dyDescent="0.2">
      <c r="AZ35" s="4"/>
      <c r="BH35" s="51"/>
      <c r="BI35" s="51"/>
    </row>
    <row r="36" spans="52:61" x14ac:dyDescent="0.2">
      <c r="AZ36" s="4"/>
      <c r="BH36" s="51"/>
      <c r="BI36" s="51"/>
    </row>
    <row r="37" spans="52:61" x14ac:dyDescent="0.2">
      <c r="AZ37" s="4"/>
      <c r="BH37" s="51"/>
      <c r="BI37" s="51"/>
    </row>
    <row r="38" spans="52:61" x14ac:dyDescent="0.2">
      <c r="AZ38" s="4"/>
      <c r="BH38" s="51"/>
      <c r="BI38" s="51"/>
    </row>
    <row r="39" spans="52:61" x14ac:dyDescent="0.2">
      <c r="AZ39" s="4"/>
      <c r="BH39" s="51"/>
      <c r="BI39" s="51"/>
    </row>
    <row r="40" spans="52:61" x14ac:dyDescent="0.2">
      <c r="AZ40" s="4"/>
      <c r="BH40" s="51"/>
      <c r="BI40" s="51"/>
    </row>
    <row r="41" spans="52:61" x14ac:dyDescent="0.2">
      <c r="AZ41" s="4"/>
      <c r="BH41" s="51"/>
      <c r="BI41" s="51"/>
    </row>
    <row r="42" spans="52:61" x14ac:dyDescent="0.2">
      <c r="AZ42" s="4"/>
      <c r="BH42" s="51"/>
      <c r="BI42" s="51"/>
    </row>
    <row r="43" spans="52:61" x14ac:dyDescent="0.2">
      <c r="AZ43" s="4"/>
      <c r="BH43" s="51"/>
      <c r="BI43" s="51"/>
    </row>
    <row r="44" spans="52:61" x14ac:dyDescent="0.2">
      <c r="AZ44" s="4"/>
      <c r="BH44" s="51"/>
      <c r="BI44" s="51"/>
    </row>
    <row r="45" spans="52:61" x14ac:dyDescent="0.2">
      <c r="AZ45" s="4"/>
    </row>
    <row r="46" spans="52:61" x14ac:dyDescent="0.2">
      <c r="AZ46" s="4"/>
    </row>
    <row r="47" spans="52:61" x14ac:dyDescent="0.2">
      <c r="AZ47" s="4"/>
    </row>
    <row r="48" spans="52:61" x14ac:dyDescent="0.2">
      <c r="AZ48" s="4"/>
    </row>
    <row r="49" spans="52:52" x14ac:dyDescent="0.2">
      <c r="AZ49" s="4"/>
    </row>
    <row r="50" spans="52:52" x14ac:dyDescent="0.2">
      <c r="AZ50" s="4"/>
    </row>
    <row r="51" spans="52:52" x14ac:dyDescent="0.2">
      <c r="AZ51" s="4"/>
    </row>
    <row r="52" spans="52:52" x14ac:dyDescent="0.2">
      <c r="AZ52" s="4"/>
    </row>
    <row r="53" spans="52:52" x14ac:dyDescent="0.2">
      <c r="AZ53" s="4"/>
    </row>
    <row r="54" spans="52:52" x14ac:dyDescent="0.2">
      <c r="AZ54" s="4"/>
    </row>
    <row r="55" spans="52:52" x14ac:dyDescent="0.2">
      <c r="AZ55" s="4"/>
    </row>
    <row r="56" spans="52:52" x14ac:dyDescent="0.2">
      <c r="AZ56" s="4"/>
    </row>
    <row r="57" spans="52:52" x14ac:dyDescent="0.2">
      <c r="AZ57" s="4"/>
    </row>
    <row r="58" spans="52:52" x14ac:dyDescent="0.2">
      <c r="AZ58" s="4"/>
    </row>
    <row r="59" spans="52:52" x14ac:dyDescent="0.2">
      <c r="AZ59" s="4"/>
    </row>
    <row r="60" spans="52:52" x14ac:dyDescent="0.2">
      <c r="AZ60" s="4"/>
    </row>
    <row r="61" spans="52:52" x14ac:dyDescent="0.2">
      <c r="AZ61" s="4"/>
    </row>
    <row r="62" spans="52:52" x14ac:dyDescent="0.2">
      <c r="AZ62" s="4"/>
    </row>
    <row r="63" spans="52:52" x14ac:dyDescent="0.2">
      <c r="AZ63" s="4"/>
    </row>
    <row r="64" spans="52:52" x14ac:dyDescent="0.2">
      <c r="AZ64" s="4"/>
    </row>
    <row r="65" spans="52:52" x14ac:dyDescent="0.2">
      <c r="AZ65" s="4"/>
    </row>
    <row r="66" spans="52:52" x14ac:dyDescent="0.2">
      <c r="AZ66" s="4"/>
    </row>
    <row r="67" spans="52:52" x14ac:dyDescent="0.2">
      <c r="AZ67" s="4"/>
    </row>
    <row r="68" spans="52:52" x14ac:dyDescent="0.2">
      <c r="AZ68" s="4"/>
    </row>
    <row r="69" spans="52:52" x14ac:dyDescent="0.2">
      <c r="AZ69" s="4"/>
    </row>
    <row r="70" spans="52:52" x14ac:dyDescent="0.2">
      <c r="AZ70" s="4"/>
    </row>
    <row r="71" spans="52:52" x14ac:dyDescent="0.2">
      <c r="AZ71" s="4"/>
    </row>
    <row r="72" spans="52:52" x14ac:dyDescent="0.2">
      <c r="AZ72" s="4"/>
    </row>
    <row r="73" spans="52:52" x14ac:dyDescent="0.2">
      <c r="AZ73" s="4"/>
    </row>
    <row r="74" spans="52:52" x14ac:dyDescent="0.2">
      <c r="AZ74" s="4"/>
    </row>
    <row r="75" spans="52:52" x14ac:dyDescent="0.2">
      <c r="AZ75" s="4"/>
    </row>
    <row r="76" spans="52:52" x14ac:dyDescent="0.2">
      <c r="AZ76" s="4"/>
    </row>
    <row r="77" spans="52:52" x14ac:dyDescent="0.2">
      <c r="AZ77" s="4"/>
    </row>
    <row r="78" spans="52:52" x14ac:dyDescent="0.2">
      <c r="AZ78" s="4"/>
    </row>
    <row r="79" spans="52:52" x14ac:dyDescent="0.2">
      <c r="AZ79" s="4"/>
    </row>
    <row r="80" spans="52:52" x14ac:dyDescent="0.2">
      <c r="AZ80" s="4"/>
    </row>
    <row r="81" spans="52:52" x14ac:dyDescent="0.2">
      <c r="AZ81" s="4"/>
    </row>
    <row r="82" spans="52:52" x14ac:dyDescent="0.2">
      <c r="AZ82" s="4"/>
    </row>
    <row r="83" spans="52:52" x14ac:dyDescent="0.2">
      <c r="AZ83" s="4"/>
    </row>
    <row r="84" spans="52:52" x14ac:dyDescent="0.2">
      <c r="AZ84" s="4"/>
    </row>
    <row r="85" spans="52:52" x14ac:dyDescent="0.2">
      <c r="AZ85" s="4"/>
    </row>
    <row r="86" spans="52:52" x14ac:dyDescent="0.2">
      <c r="AZ86" s="4"/>
    </row>
    <row r="87" spans="52:52" x14ac:dyDescent="0.2">
      <c r="AZ87" s="4"/>
    </row>
    <row r="88" spans="52:52" x14ac:dyDescent="0.2">
      <c r="AZ88" s="4"/>
    </row>
    <row r="89" spans="52:52" x14ac:dyDescent="0.2">
      <c r="AZ89" s="4"/>
    </row>
    <row r="90" spans="52:52" x14ac:dyDescent="0.2">
      <c r="AZ90" s="4"/>
    </row>
    <row r="91" spans="52:52" x14ac:dyDescent="0.2">
      <c r="AZ91" s="4"/>
    </row>
    <row r="92" spans="52:52" x14ac:dyDescent="0.2">
      <c r="AZ92" s="4"/>
    </row>
    <row r="93" spans="52:52" x14ac:dyDescent="0.2">
      <c r="AZ93" s="4"/>
    </row>
    <row r="94" spans="52:52" x14ac:dyDescent="0.2">
      <c r="AZ94" s="4"/>
    </row>
    <row r="95" spans="52:52" x14ac:dyDescent="0.2">
      <c r="AZ95" s="4"/>
    </row>
    <row r="96" spans="52:52" x14ac:dyDescent="0.2">
      <c r="AZ96" s="4"/>
    </row>
    <row r="97" spans="52:52" x14ac:dyDescent="0.2">
      <c r="AZ97" s="4"/>
    </row>
    <row r="98" spans="52:52" x14ac:dyDescent="0.2">
      <c r="AZ98" s="4"/>
    </row>
    <row r="99" spans="52:52" x14ac:dyDescent="0.2">
      <c r="AZ99" s="4"/>
    </row>
    <row r="100" spans="52:52" x14ac:dyDescent="0.2">
      <c r="AZ100" s="4"/>
    </row>
    <row r="101" spans="52:52" x14ac:dyDescent="0.2">
      <c r="AZ101" s="4"/>
    </row>
    <row r="102" spans="52:52" x14ac:dyDescent="0.2">
      <c r="AZ102" s="4"/>
    </row>
    <row r="103" spans="52:52" x14ac:dyDescent="0.2">
      <c r="AZ103" s="4"/>
    </row>
    <row r="104" spans="52:52" x14ac:dyDescent="0.2">
      <c r="AZ104" s="4"/>
    </row>
    <row r="105" spans="52:52" x14ac:dyDescent="0.2">
      <c r="AZ105" s="4"/>
    </row>
    <row r="106" spans="52:52" x14ac:dyDescent="0.2">
      <c r="AZ106" s="4"/>
    </row>
    <row r="107" spans="52:52" x14ac:dyDescent="0.2">
      <c r="AZ107" s="4"/>
    </row>
    <row r="108" spans="52:52" x14ac:dyDescent="0.2">
      <c r="AZ108" s="4"/>
    </row>
    <row r="109" spans="52:52" x14ac:dyDescent="0.2">
      <c r="AZ109" s="4"/>
    </row>
    <row r="110" spans="52:52" x14ac:dyDescent="0.2">
      <c r="AZ110" s="4"/>
    </row>
    <row r="111" spans="52:52" x14ac:dyDescent="0.2">
      <c r="AZ111" s="4"/>
    </row>
    <row r="112" spans="52:52" x14ac:dyDescent="0.2">
      <c r="AZ112" s="4"/>
    </row>
    <row r="113" spans="52:52" x14ac:dyDescent="0.2">
      <c r="AZ113" s="4"/>
    </row>
    <row r="114" spans="52:52" x14ac:dyDescent="0.2">
      <c r="AZ114" s="4"/>
    </row>
    <row r="115" spans="52:52" x14ac:dyDescent="0.2">
      <c r="AZ115" s="4"/>
    </row>
    <row r="116" spans="52:52" x14ac:dyDescent="0.2">
      <c r="AZ116" s="4"/>
    </row>
    <row r="117" spans="52:52" x14ac:dyDescent="0.2">
      <c r="AZ117" s="4"/>
    </row>
    <row r="118" spans="52:52" x14ac:dyDescent="0.2">
      <c r="AZ118" s="4"/>
    </row>
    <row r="119" spans="52:52" x14ac:dyDescent="0.2">
      <c r="AZ119" s="4"/>
    </row>
    <row r="120" spans="52:52" x14ac:dyDescent="0.2">
      <c r="AZ120" s="4"/>
    </row>
    <row r="121" spans="52:52" x14ac:dyDescent="0.2">
      <c r="AZ121" s="4"/>
    </row>
    <row r="122" spans="52:52" x14ac:dyDescent="0.2">
      <c r="AZ122" s="4"/>
    </row>
    <row r="123" spans="52:52" x14ac:dyDescent="0.2">
      <c r="AZ123" s="4"/>
    </row>
    <row r="124" spans="52:52" x14ac:dyDescent="0.2">
      <c r="AZ124" s="4"/>
    </row>
    <row r="125" spans="52:52" x14ac:dyDescent="0.2">
      <c r="AZ125" s="4"/>
    </row>
    <row r="126" spans="52:52" x14ac:dyDescent="0.2">
      <c r="AZ126" s="4"/>
    </row>
    <row r="127" spans="52:52" x14ac:dyDescent="0.2">
      <c r="AZ127" s="4"/>
    </row>
    <row r="128" spans="52:52" x14ac:dyDescent="0.2">
      <c r="AZ128" s="4"/>
    </row>
    <row r="129" spans="52:52" x14ac:dyDescent="0.2">
      <c r="AZ129" s="4"/>
    </row>
    <row r="130" spans="52:52" x14ac:dyDescent="0.2">
      <c r="AZ130" s="4"/>
    </row>
    <row r="131" spans="52:52" x14ac:dyDescent="0.2">
      <c r="AZ131" s="4"/>
    </row>
    <row r="132" spans="52:52" x14ac:dyDescent="0.2">
      <c r="AZ132" s="4"/>
    </row>
    <row r="133" spans="52:52" x14ac:dyDescent="0.2">
      <c r="AZ133" s="4"/>
    </row>
    <row r="134" spans="52:52" x14ac:dyDescent="0.2">
      <c r="AZ134" s="4"/>
    </row>
    <row r="135" spans="52:52" x14ac:dyDescent="0.2">
      <c r="AZ135" s="4"/>
    </row>
    <row r="136" spans="52:52" x14ac:dyDescent="0.2">
      <c r="AZ136" s="4"/>
    </row>
    <row r="137" spans="52:52" x14ac:dyDescent="0.2">
      <c r="AZ137" s="4"/>
    </row>
    <row r="138" spans="52:52" x14ac:dyDescent="0.2">
      <c r="AZ138" s="4"/>
    </row>
    <row r="139" spans="52:52" x14ac:dyDescent="0.2">
      <c r="AZ139" s="4"/>
    </row>
    <row r="140" spans="52:52" x14ac:dyDescent="0.2">
      <c r="AZ140" s="4"/>
    </row>
    <row r="141" spans="52:52" x14ac:dyDescent="0.2">
      <c r="AZ141" s="4"/>
    </row>
    <row r="142" spans="52:52" x14ac:dyDescent="0.2">
      <c r="AZ142" s="4"/>
    </row>
    <row r="143" spans="52:52" x14ac:dyDescent="0.2">
      <c r="AZ143" s="4"/>
    </row>
    <row r="144" spans="52:52" x14ac:dyDescent="0.2">
      <c r="AZ144" s="4"/>
    </row>
    <row r="145" spans="52:52" x14ac:dyDescent="0.2">
      <c r="AZ145" s="4"/>
    </row>
    <row r="146" spans="52:52" x14ac:dyDescent="0.2">
      <c r="AZ146" s="4"/>
    </row>
    <row r="147" spans="52:52" x14ac:dyDescent="0.2">
      <c r="AZ147" s="4"/>
    </row>
    <row r="148" spans="52:52" x14ac:dyDescent="0.2">
      <c r="AZ148" s="4"/>
    </row>
    <row r="149" spans="52:52" x14ac:dyDescent="0.2">
      <c r="AZ149" s="4"/>
    </row>
    <row r="150" spans="52:52" x14ac:dyDescent="0.2">
      <c r="AZ150" s="4"/>
    </row>
    <row r="151" spans="52:52" x14ac:dyDescent="0.2">
      <c r="AZ151" s="4"/>
    </row>
    <row r="152" spans="52:52" x14ac:dyDescent="0.2">
      <c r="AZ152" s="4"/>
    </row>
    <row r="153" spans="52:52" x14ac:dyDescent="0.2">
      <c r="AZ153" s="4"/>
    </row>
    <row r="154" spans="52:52" x14ac:dyDescent="0.2">
      <c r="AZ154" s="4"/>
    </row>
    <row r="155" spans="52:52" x14ac:dyDescent="0.2">
      <c r="AZ155" s="4"/>
    </row>
    <row r="156" spans="52:52" x14ac:dyDescent="0.2">
      <c r="AZ156" s="4"/>
    </row>
    <row r="157" spans="52:52" x14ac:dyDescent="0.2">
      <c r="AZ157" s="4"/>
    </row>
    <row r="158" spans="52:52" x14ac:dyDescent="0.2">
      <c r="AZ158" s="4"/>
    </row>
    <row r="159" spans="52:52" x14ac:dyDescent="0.2">
      <c r="AZ159" s="4"/>
    </row>
    <row r="160" spans="52:52" x14ac:dyDescent="0.2">
      <c r="AZ160" s="4"/>
    </row>
    <row r="161" spans="52:52" x14ac:dyDescent="0.2">
      <c r="AZ161" s="4"/>
    </row>
    <row r="162" spans="52:52" x14ac:dyDescent="0.2">
      <c r="AZ162" s="4"/>
    </row>
    <row r="163" spans="52:52" x14ac:dyDescent="0.2">
      <c r="AZ163" s="4"/>
    </row>
    <row r="164" spans="52:52" x14ac:dyDescent="0.2">
      <c r="AZ164" s="4"/>
    </row>
    <row r="165" spans="52:52" x14ac:dyDescent="0.2">
      <c r="AZ165" s="4"/>
    </row>
    <row r="166" spans="52:52" x14ac:dyDescent="0.2">
      <c r="AZ166" s="4"/>
    </row>
    <row r="167" spans="52:52" x14ac:dyDescent="0.2">
      <c r="AZ167" s="4"/>
    </row>
    <row r="168" spans="52:52" x14ac:dyDescent="0.2">
      <c r="AZ168" s="4"/>
    </row>
    <row r="169" spans="52:52" x14ac:dyDescent="0.2">
      <c r="AZ169" s="4"/>
    </row>
    <row r="170" spans="52:52" x14ac:dyDescent="0.2">
      <c r="AZ170" s="4"/>
    </row>
    <row r="171" spans="52:52" x14ac:dyDescent="0.2">
      <c r="AZ171" s="4"/>
    </row>
    <row r="172" spans="52:52" x14ac:dyDescent="0.2">
      <c r="AZ172" s="4"/>
    </row>
    <row r="173" spans="52:52" x14ac:dyDescent="0.2">
      <c r="AZ173" s="4"/>
    </row>
    <row r="174" spans="52:52" x14ac:dyDescent="0.2">
      <c r="AZ174" s="4"/>
    </row>
    <row r="175" spans="52:52" x14ac:dyDescent="0.2">
      <c r="AZ175" s="4"/>
    </row>
    <row r="176" spans="52:52" x14ac:dyDescent="0.2">
      <c r="AZ176" s="4"/>
    </row>
    <row r="177" spans="52:52" x14ac:dyDescent="0.2">
      <c r="AZ177" s="4"/>
    </row>
    <row r="178" spans="52:52" x14ac:dyDescent="0.2">
      <c r="AZ178" s="4"/>
    </row>
    <row r="179" spans="52:52" x14ac:dyDescent="0.2">
      <c r="AZ179" s="4"/>
    </row>
    <row r="180" spans="52:52" x14ac:dyDescent="0.2">
      <c r="AZ180" s="4"/>
    </row>
    <row r="181" spans="52:52" x14ac:dyDescent="0.2">
      <c r="AZ181" s="4"/>
    </row>
    <row r="182" spans="52:52" x14ac:dyDescent="0.2">
      <c r="AZ182" s="4"/>
    </row>
    <row r="183" spans="52:52" x14ac:dyDescent="0.2">
      <c r="AZ183" s="4"/>
    </row>
    <row r="184" spans="52:52" x14ac:dyDescent="0.2">
      <c r="AZ184" s="4"/>
    </row>
    <row r="185" spans="52:52" x14ac:dyDescent="0.2">
      <c r="AZ185" s="4"/>
    </row>
    <row r="186" spans="52:52" x14ac:dyDescent="0.2">
      <c r="AZ186" s="4"/>
    </row>
    <row r="187" spans="52:52" x14ac:dyDescent="0.2">
      <c r="AZ187" s="4"/>
    </row>
    <row r="188" spans="52:52" x14ac:dyDescent="0.2">
      <c r="AZ188" s="4"/>
    </row>
    <row r="189" spans="52:52" x14ac:dyDescent="0.2">
      <c r="AZ189" s="4"/>
    </row>
    <row r="190" spans="52:52" x14ac:dyDescent="0.2">
      <c r="AZ190" s="4"/>
    </row>
    <row r="191" spans="52:52" x14ac:dyDescent="0.2">
      <c r="AZ191" s="4"/>
    </row>
    <row r="192" spans="52:52" x14ac:dyDescent="0.2">
      <c r="AZ192" s="4"/>
    </row>
    <row r="193" spans="52:52" x14ac:dyDescent="0.2">
      <c r="AZ193" s="4"/>
    </row>
    <row r="194" spans="52:52" x14ac:dyDescent="0.2">
      <c r="AZ194" s="4"/>
    </row>
    <row r="195" spans="52:52" x14ac:dyDescent="0.2">
      <c r="AZ195" s="4"/>
    </row>
    <row r="196" spans="52:52" x14ac:dyDescent="0.2">
      <c r="AZ196" s="4"/>
    </row>
    <row r="197" spans="52:52" x14ac:dyDescent="0.2">
      <c r="AZ197" s="4"/>
    </row>
    <row r="198" spans="52:52" x14ac:dyDescent="0.2">
      <c r="AZ198" s="4"/>
    </row>
    <row r="199" spans="52:52" x14ac:dyDescent="0.2">
      <c r="AZ199" s="4"/>
    </row>
    <row r="200" spans="52:52" x14ac:dyDescent="0.2">
      <c r="AZ200" s="4"/>
    </row>
    <row r="201" spans="52:52" x14ac:dyDescent="0.2">
      <c r="AZ201" s="4"/>
    </row>
    <row r="202" spans="52:52" x14ac:dyDescent="0.2">
      <c r="AZ202" s="4"/>
    </row>
    <row r="203" spans="52:52" x14ac:dyDescent="0.2">
      <c r="AZ203" s="4"/>
    </row>
    <row r="204" spans="52:52" x14ac:dyDescent="0.2">
      <c r="AZ204" s="4"/>
    </row>
    <row r="205" spans="52:52" x14ac:dyDescent="0.2">
      <c r="AZ205" s="4"/>
    </row>
    <row r="206" spans="52:52" x14ac:dyDescent="0.2">
      <c r="AZ206" s="4"/>
    </row>
    <row r="207" spans="52:52" x14ac:dyDescent="0.2">
      <c r="AZ207" s="4"/>
    </row>
    <row r="208" spans="52:52" x14ac:dyDescent="0.2">
      <c r="AZ208" s="4"/>
    </row>
    <row r="209" spans="52:52" x14ac:dyDescent="0.2">
      <c r="AZ209" s="4"/>
    </row>
    <row r="210" spans="52:52" x14ac:dyDescent="0.2">
      <c r="AZ210" s="4"/>
    </row>
    <row r="211" spans="52:52" x14ac:dyDescent="0.2">
      <c r="AZ211" s="4"/>
    </row>
    <row r="212" spans="52:52" x14ac:dyDescent="0.2">
      <c r="AZ212" s="4"/>
    </row>
    <row r="213" spans="52:52" x14ac:dyDescent="0.2">
      <c r="AZ213" s="4"/>
    </row>
    <row r="214" spans="52:52" x14ac:dyDescent="0.2">
      <c r="AZ214" s="4"/>
    </row>
    <row r="215" spans="52:52" x14ac:dyDescent="0.2">
      <c r="AZ215" s="4"/>
    </row>
    <row r="216" spans="52:52" x14ac:dyDescent="0.2">
      <c r="AZ216" s="4"/>
    </row>
    <row r="217" spans="52:52" x14ac:dyDescent="0.2">
      <c r="AZ217" s="4"/>
    </row>
    <row r="218" spans="52:52" x14ac:dyDescent="0.2">
      <c r="AZ218" s="4"/>
    </row>
    <row r="219" spans="52:52" x14ac:dyDescent="0.2">
      <c r="AZ219" s="4"/>
    </row>
    <row r="220" spans="52:52" x14ac:dyDescent="0.2">
      <c r="AZ220" s="4"/>
    </row>
    <row r="221" spans="52:52" x14ac:dyDescent="0.2">
      <c r="AZ221" s="4"/>
    </row>
    <row r="222" spans="52:52" x14ac:dyDescent="0.2">
      <c r="AZ222" s="4"/>
    </row>
    <row r="223" spans="52:52" x14ac:dyDescent="0.2">
      <c r="AZ223" s="4"/>
    </row>
    <row r="224" spans="52:52" x14ac:dyDescent="0.2">
      <c r="AZ224" s="4"/>
    </row>
    <row r="225" spans="52:52" x14ac:dyDescent="0.2">
      <c r="AZ225" s="4"/>
    </row>
    <row r="226" spans="52:52" x14ac:dyDescent="0.2">
      <c r="AZ226" s="4"/>
    </row>
    <row r="227" spans="52:52" x14ac:dyDescent="0.2">
      <c r="AZ227" s="4"/>
    </row>
    <row r="228" spans="52:52" x14ac:dyDescent="0.2">
      <c r="AZ228" s="4"/>
    </row>
    <row r="229" spans="52:52" x14ac:dyDescent="0.2">
      <c r="AZ229" s="4"/>
    </row>
    <row r="230" spans="52:52" x14ac:dyDescent="0.2">
      <c r="AZ230" s="4"/>
    </row>
    <row r="231" spans="52:52" x14ac:dyDescent="0.2">
      <c r="AZ231" s="4"/>
    </row>
    <row r="232" spans="52:52" x14ac:dyDescent="0.2">
      <c r="AZ232" s="4"/>
    </row>
    <row r="233" spans="52:52" x14ac:dyDescent="0.2">
      <c r="AZ233" s="4"/>
    </row>
    <row r="234" spans="52:52" x14ac:dyDescent="0.2">
      <c r="AZ234" s="4"/>
    </row>
    <row r="235" spans="52:52" x14ac:dyDescent="0.2">
      <c r="AZ235" s="4"/>
    </row>
    <row r="236" spans="52:52" x14ac:dyDescent="0.2">
      <c r="AZ236" s="4"/>
    </row>
    <row r="237" spans="52:52" x14ac:dyDescent="0.2">
      <c r="AZ237" s="4"/>
    </row>
    <row r="238" spans="52:52" x14ac:dyDescent="0.2">
      <c r="AZ238" s="4"/>
    </row>
    <row r="239" spans="52:52" x14ac:dyDescent="0.2">
      <c r="AZ239" s="4"/>
    </row>
    <row r="240" spans="52:52" x14ac:dyDescent="0.2">
      <c r="AZ240" s="4"/>
    </row>
    <row r="241" spans="52:52" x14ac:dyDescent="0.2">
      <c r="AZ241" s="4"/>
    </row>
    <row r="242" spans="52:52" x14ac:dyDescent="0.2">
      <c r="AZ242" s="4"/>
    </row>
    <row r="243" spans="52:52" x14ac:dyDescent="0.2">
      <c r="AZ243" s="4"/>
    </row>
    <row r="244" spans="52:52" x14ac:dyDescent="0.2">
      <c r="AZ244" s="4"/>
    </row>
    <row r="245" spans="52:52" x14ac:dyDescent="0.2">
      <c r="AZ245" s="4"/>
    </row>
    <row r="246" spans="52:52" x14ac:dyDescent="0.2">
      <c r="AZ246" s="4"/>
    </row>
    <row r="247" spans="52:52" x14ac:dyDescent="0.2">
      <c r="AZ247" s="4"/>
    </row>
    <row r="248" spans="52:52" x14ac:dyDescent="0.2">
      <c r="AZ248" s="4"/>
    </row>
    <row r="249" spans="52:52" x14ac:dyDescent="0.2">
      <c r="AZ249" s="4"/>
    </row>
    <row r="250" spans="52:52" x14ac:dyDescent="0.2">
      <c r="AZ250" s="4"/>
    </row>
    <row r="251" spans="52:52" x14ac:dyDescent="0.2">
      <c r="AZ251" s="4"/>
    </row>
    <row r="252" spans="52:52" x14ac:dyDescent="0.2">
      <c r="AZ252" s="4"/>
    </row>
    <row r="253" spans="52:52" x14ac:dyDescent="0.2">
      <c r="AZ253" s="4"/>
    </row>
    <row r="254" spans="52:52" x14ac:dyDescent="0.2">
      <c r="AZ254" s="4"/>
    </row>
    <row r="255" spans="52:52" x14ac:dyDescent="0.2">
      <c r="AZ255" s="4"/>
    </row>
    <row r="256" spans="52:52" x14ac:dyDescent="0.2">
      <c r="AZ256" s="4"/>
    </row>
    <row r="257" spans="52:52" x14ac:dyDescent="0.2">
      <c r="AZ257" s="4"/>
    </row>
    <row r="258" spans="52:52" x14ac:dyDescent="0.2">
      <c r="AZ258" s="4"/>
    </row>
    <row r="259" spans="52:52" x14ac:dyDescent="0.2">
      <c r="AZ259" s="4"/>
    </row>
    <row r="260" spans="52:52" x14ac:dyDescent="0.2">
      <c r="AZ260" s="4"/>
    </row>
    <row r="261" spans="52:52" x14ac:dyDescent="0.2">
      <c r="AZ261" s="4"/>
    </row>
    <row r="262" spans="52:52" x14ac:dyDescent="0.2">
      <c r="AZ262" s="4"/>
    </row>
    <row r="263" spans="52:52" x14ac:dyDescent="0.2">
      <c r="AZ263" s="4"/>
    </row>
    <row r="264" spans="52:52" x14ac:dyDescent="0.2">
      <c r="AZ264" s="4"/>
    </row>
    <row r="265" spans="52:52" x14ac:dyDescent="0.2">
      <c r="AZ265" s="4"/>
    </row>
    <row r="266" spans="52:52" x14ac:dyDescent="0.2">
      <c r="AZ266" s="4"/>
    </row>
    <row r="267" spans="52:52" x14ac:dyDescent="0.2">
      <c r="AZ267" s="4"/>
    </row>
    <row r="268" spans="52:52" x14ac:dyDescent="0.2">
      <c r="AZ268" s="4"/>
    </row>
    <row r="269" spans="52:52" x14ac:dyDescent="0.2">
      <c r="AZ269" s="4"/>
    </row>
    <row r="270" spans="52:52" x14ac:dyDescent="0.2">
      <c r="AZ270" s="4"/>
    </row>
    <row r="271" spans="52:52" x14ac:dyDescent="0.2">
      <c r="AZ271" s="4"/>
    </row>
    <row r="272" spans="52:52" x14ac:dyDescent="0.2">
      <c r="AZ272" s="4"/>
    </row>
    <row r="273" spans="52:52" x14ac:dyDescent="0.2">
      <c r="AZ273" s="4"/>
    </row>
    <row r="274" spans="52:52" x14ac:dyDescent="0.2">
      <c r="AZ274" s="4"/>
    </row>
    <row r="275" spans="52:52" x14ac:dyDescent="0.2">
      <c r="AZ275" s="4"/>
    </row>
    <row r="276" spans="52:52" x14ac:dyDescent="0.2">
      <c r="AZ276" s="4"/>
    </row>
    <row r="277" spans="52:52" x14ac:dyDescent="0.2">
      <c r="AZ277" s="4"/>
    </row>
    <row r="278" spans="52:52" x14ac:dyDescent="0.2">
      <c r="AZ278" s="4"/>
    </row>
    <row r="279" spans="52:52" x14ac:dyDescent="0.2">
      <c r="AZ279" s="4"/>
    </row>
    <row r="280" spans="52:52" x14ac:dyDescent="0.2">
      <c r="AZ280" s="4"/>
    </row>
    <row r="281" spans="52:52" x14ac:dyDescent="0.2">
      <c r="AZ281" s="4"/>
    </row>
    <row r="282" spans="52:52" x14ac:dyDescent="0.2">
      <c r="AZ282" s="4"/>
    </row>
    <row r="283" spans="52:52" x14ac:dyDescent="0.2">
      <c r="AZ283" s="4"/>
    </row>
    <row r="284" spans="52:52" x14ac:dyDescent="0.2">
      <c r="AZ284" s="4"/>
    </row>
    <row r="285" spans="52:52" x14ac:dyDescent="0.2">
      <c r="AZ285" s="4"/>
    </row>
    <row r="286" spans="52:52" x14ac:dyDescent="0.2">
      <c r="AZ286" s="4"/>
    </row>
    <row r="287" spans="52:52" x14ac:dyDescent="0.2">
      <c r="AZ287" s="4"/>
    </row>
    <row r="288" spans="52:52" x14ac:dyDescent="0.2">
      <c r="AZ288" s="4"/>
    </row>
    <row r="289" spans="52:52" x14ac:dyDescent="0.2">
      <c r="AZ289" s="4"/>
    </row>
    <row r="290" spans="52:52" x14ac:dyDescent="0.2">
      <c r="AZ290" s="4"/>
    </row>
    <row r="291" spans="52:52" x14ac:dyDescent="0.2">
      <c r="AZ291" s="4"/>
    </row>
    <row r="292" spans="52:52" x14ac:dyDescent="0.2">
      <c r="AZ292" s="4"/>
    </row>
    <row r="293" spans="52:52" x14ac:dyDescent="0.2">
      <c r="AZ293" s="4"/>
    </row>
    <row r="294" spans="52:52" x14ac:dyDescent="0.2">
      <c r="AZ294" s="4"/>
    </row>
    <row r="295" spans="52:52" x14ac:dyDescent="0.2">
      <c r="AZ295" s="4"/>
    </row>
    <row r="296" spans="52:52" x14ac:dyDescent="0.2">
      <c r="AZ296" s="4"/>
    </row>
    <row r="297" spans="52:52" x14ac:dyDescent="0.2">
      <c r="AZ297" s="4"/>
    </row>
    <row r="298" spans="52:52" x14ac:dyDescent="0.2">
      <c r="AZ298" s="4"/>
    </row>
    <row r="299" spans="52:52" x14ac:dyDescent="0.2">
      <c r="AZ299" s="4"/>
    </row>
    <row r="300" spans="52:52" x14ac:dyDescent="0.2">
      <c r="AZ300" s="4"/>
    </row>
    <row r="301" spans="52:52" x14ac:dyDescent="0.2">
      <c r="AZ301" s="4"/>
    </row>
    <row r="302" spans="52:52" x14ac:dyDescent="0.2">
      <c r="AZ302" s="4"/>
    </row>
    <row r="303" spans="52:52" x14ac:dyDescent="0.2">
      <c r="AZ303" s="4"/>
    </row>
    <row r="304" spans="52:52" x14ac:dyDescent="0.2">
      <c r="AZ304" s="4"/>
    </row>
    <row r="305" spans="52:52" x14ac:dyDescent="0.2">
      <c r="AZ305" s="4"/>
    </row>
    <row r="306" spans="52:52" x14ac:dyDescent="0.2">
      <c r="AZ306" s="4"/>
    </row>
    <row r="307" spans="52:52" x14ac:dyDescent="0.2">
      <c r="AZ307" s="4"/>
    </row>
    <row r="308" spans="52:52" x14ac:dyDescent="0.2">
      <c r="AZ308" s="4"/>
    </row>
    <row r="309" spans="52:52" x14ac:dyDescent="0.2">
      <c r="AZ309" s="4"/>
    </row>
    <row r="310" spans="52:52" x14ac:dyDescent="0.2">
      <c r="AZ310" s="4"/>
    </row>
    <row r="311" spans="52:52" x14ac:dyDescent="0.2">
      <c r="AZ311" s="4"/>
    </row>
    <row r="312" spans="52:52" x14ac:dyDescent="0.2">
      <c r="AZ312" s="4"/>
    </row>
    <row r="313" spans="52:52" x14ac:dyDescent="0.2">
      <c r="AZ313" s="4"/>
    </row>
    <row r="314" spans="52:52" x14ac:dyDescent="0.2">
      <c r="AZ314" s="4"/>
    </row>
    <row r="315" spans="52:52" x14ac:dyDescent="0.2">
      <c r="AZ315" s="4"/>
    </row>
    <row r="316" spans="52:52" x14ac:dyDescent="0.2">
      <c r="AZ316" s="4"/>
    </row>
    <row r="317" spans="52:52" x14ac:dyDescent="0.2">
      <c r="AZ317" s="4"/>
    </row>
    <row r="318" spans="52:52" x14ac:dyDescent="0.2">
      <c r="AZ318" s="4"/>
    </row>
    <row r="319" spans="52:52" x14ac:dyDescent="0.2">
      <c r="AZ319" s="4"/>
    </row>
    <row r="320" spans="52:52" x14ac:dyDescent="0.2">
      <c r="AZ320" s="4"/>
    </row>
    <row r="321" spans="52:52" x14ac:dyDescent="0.2">
      <c r="AZ321" s="4"/>
    </row>
    <row r="322" spans="52:52" x14ac:dyDescent="0.2">
      <c r="AZ322" s="4"/>
    </row>
    <row r="323" spans="52:52" x14ac:dyDescent="0.2">
      <c r="AZ323" s="4"/>
    </row>
    <row r="324" spans="52:52" x14ac:dyDescent="0.2">
      <c r="AZ324" s="4"/>
    </row>
    <row r="325" spans="52:52" x14ac:dyDescent="0.2">
      <c r="AZ325" s="4"/>
    </row>
    <row r="326" spans="52:52" x14ac:dyDescent="0.2">
      <c r="AZ326" s="4"/>
    </row>
    <row r="327" spans="52:52" x14ac:dyDescent="0.2">
      <c r="AZ327" s="4"/>
    </row>
    <row r="328" spans="52:52" x14ac:dyDescent="0.2">
      <c r="AZ328" s="4"/>
    </row>
    <row r="329" spans="52:52" x14ac:dyDescent="0.2">
      <c r="AZ329" s="4"/>
    </row>
    <row r="330" spans="52:52" x14ac:dyDescent="0.2">
      <c r="AZ330" s="4"/>
    </row>
    <row r="331" spans="52:52" x14ac:dyDescent="0.2">
      <c r="AZ331" s="4"/>
    </row>
    <row r="332" spans="52:52" x14ac:dyDescent="0.2">
      <c r="AZ332" s="4"/>
    </row>
    <row r="333" spans="52:52" x14ac:dyDescent="0.2">
      <c r="AZ333" s="4"/>
    </row>
    <row r="334" spans="52:52" x14ac:dyDescent="0.2">
      <c r="AZ334" s="4"/>
    </row>
    <row r="335" spans="52:52" x14ac:dyDescent="0.2">
      <c r="AZ335" s="4"/>
    </row>
    <row r="336" spans="52:52" x14ac:dyDescent="0.2">
      <c r="AZ336" s="4"/>
    </row>
    <row r="337" spans="52:52" x14ac:dyDescent="0.2">
      <c r="AZ337" s="4"/>
    </row>
    <row r="338" spans="52:52" x14ac:dyDescent="0.2">
      <c r="AZ338" s="4"/>
    </row>
    <row r="339" spans="52:52" x14ac:dyDescent="0.2">
      <c r="AZ339" s="4"/>
    </row>
    <row r="340" spans="52:52" x14ac:dyDescent="0.2">
      <c r="AZ340" s="4"/>
    </row>
    <row r="341" spans="52:52" x14ac:dyDescent="0.2">
      <c r="AZ341" s="4"/>
    </row>
    <row r="342" spans="52:52" x14ac:dyDescent="0.2">
      <c r="AZ342" s="4"/>
    </row>
    <row r="343" spans="52:52" x14ac:dyDescent="0.2">
      <c r="AZ343" s="4"/>
    </row>
    <row r="344" spans="52:52" x14ac:dyDescent="0.2">
      <c r="AZ344" s="4"/>
    </row>
    <row r="345" spans="52:52" x14ac:dyDescent="0.2">
      <c r="AZ345" s="4"/>
    </row>
    <row r="346" spans="52:52" x14ac:dyDescent="0.2">
      <c r="AZ346" s="4"/>
    </row>
    <row r="347" spans="52:52" x14ac:dyDescent="0.2">
      <c r="AZ347" s="4"/>
    </row>
    <row r="348" spans="52:52" x14ac:dyDescent="0.2">
      <c r="AZ348" s="4"/>
    </row>
    <row r="349" spans="52:52" x14ac:dyDescent="0.2">
      <c r="AZ349" s="4"/>
    </row>
    <row r="350" spans="52:52" x14ac:dyDescent="0.2">
      <c r="AZ350" s="4"/>
    </row>
    <row r="351" spans="52:52" x14ac:dyDescent="0.2">
      <c r="AZ351" s="4"/>
    </row>
    <row r="352" spans="52:52" x14ac:dyDescent="0.2">
      <c r="AZ352" s="4"/>
    </row>
    <row r="353" spans="52:52" x14ac:dyDescent="0.2">
      <c r="AZ353" s="4"/>
    </row>
    <row r="354" spans="52:52" x14ac:dyDescent="0.2">
      <c r="AZ354" s="4"/>
    </row>
    <row r="355" spans="52:52" x14ac:dyDescent="0.2">
      <c r="AZ355" s="4"/>
    </row>
    <row r="356" spans="52:52" x14ac:dyDescent="0.2">
      <c r="AZ356" s="4"/>
    </row>
    <row r="357" spans="52:52" x14ac:dyDescent="0.2">
      <c r="AZ357" s="4"/>
    </row>
    <row r="358" spans="52:52" x14ac:dyDescent="0.2">
      <c r="AZ358" s="4"/>
    </row>
    <row r="359" spans="52:52" x14ac:dyDescent="0.2">
      <c r="AZ359" s="4"/>
    </row>
    <row r="360" spans="52:52" x14ac:dyDescent="0.2">
      <c r="AZ360" s="4"/>
    </row>
    <row r="361" spans="52:52" x14ac:dyDescent="0.2">
      <c r="AZ361" s="4"/>
    </row>
    <row r="362" spans="52:52" x14ac:dyDescent="0.2">
      <c r="AZ362" s="4"/>
    </row>
    <row r="363" spans="52:52" x14ac:dyDescent="0.2">
      <c r="AZ363" s="4"/>
    </row>
    <row r="364" spans="52:52" x14ac:dyDescent="0.2">
      <c r="AZ364" s="4"/>
    </row>
    <row r="365" spans="52:52" x14ac:dyDescent="0.2">
      <c r="AZ365" s="4"/>
    </row>
    <row r="366" spans="52:52" x14ac:dyDescent="0.2">
      <c r="AZ366" s="4"/>
    </row>
    <row r="367" spans="52:52" x14ac:dyDescent="0.2">
      <c r="AZ367" s="4"/>
    </row>
    <row r="368" spans="52:52" x14ac:dyDescent="0.2">
      <c r="AZ368" s="4"/>
    </row>
    <row r="369" spans="52:52" x14ac:dyDescent="0.2">
      <c r="AZ369" s="4"/>
    </row>
    <row r="370" spans="52:52" x14ac:dyDescent="0.2">
      <c r="AZ370" s="4"/>
    </row>
    <row r="371" spans="52:52" x14ac:dyDescent="0.2">
      <c r="AZ371" s="4"/>
    </row>
    <row r="372" spans="52:52" x14ac:dyDescent="0.2">
      <c r="AZ372" s="4"/>
    </row>
    <row r="373" spans="52:52" x14ac:dyDescent="0.2">
      <c r="AZ373" s="4"/>
    </row>
    <row r="374" spans="52:52" x14ac:dyDescent="0.2">
      <c r="AZ374" s="4"/>
    </row>
    <row r="375" spans="52:52" x14ac:dyDescent="0.2">
      <c r="AZ375" s="4"/>
    </row>
    <row r="376" spans="52:52" x14ac:dyDescent="0.2">
      <c r="AZ376" s="4"/>
    </row>
    <row r="377" spans="52:52" x14ac:dyDescent="0.2">
      <c r="AZ377" s="4"/>
    </row>
    <row r="378" spans="52:52" x14ac:dyDescent="0.2">
      <c r="AZ378" s="4"/>
    </row>
    <row r="379" spans="52:52" x14ac:dyDescent="0.2">
      <c r="AZ379" s="4"/>
    </row>
    <row r="380" spans="52:52" x14ac:dyDescent="0.2">
      <c r="AZ380" s="4"/>
    </row>
    <row r="381" spans="52:52" x14ac:dyDescent="0.2">
      <c r="AZ381" s="4"/>
    </row>
    <row r="382" spans="52:52" x14ac:dyDescent="0.2">
      <c r="AZ382" s="4"/>
    </row>
    <row r="383" spans="52:52" x14ac:dyDescent="0.2">
      <c r="AZ383" s="4"/>
    </row>
    <row r="384" spans="52:52" x14ac:dyDescent="0.2">
      <c r="AZ384" s="4"/>
    </row>
    <row r="385" spans="52:52" x14ac:dyDescent="0.2">
      <c r="AZ385" s="4"/>
    </row>
    <row r="386" spans="52:52" x14ac:dyDescent="0.2">
      <c r="AZ386" s="4"/>
    </row>
    <row r="387" spans="52:52" x14ac:dyDescent="0.2">
      <c r="AZ387" s="4"/>
    </row>
    <row r="388" spans="52:52" x14ac:dyDescent="0.2">
      <c r="AZ388" s="4"/>
    </row>
    <row r="389" spans="52:52" x14ac:dyDescent="0.2">
      <c r="AZ389" s="4"/>
    </row>
    <row r="390" spans="52:52" x14ac:dyDescent="0.2">
      <c r="AZ390" s="4"/>
    </row>
    <row r="391" spans="52:52" x14ac:dyDescent="0.2">
      <c r="AZ391" s="4"/>
    </row>
    <row r="392" spans="52:52" x14ac:dyDescent="0.2">
      <c r="AZ392" s="4"/>
    </row>
    <row r="393" spans="52:52" x14ac:dyDescent="0.2">
      <c r="AZ393" s="4"/>
    </row>
    <row r="394" spans="52:52" x14ac:dyDescent="0.2">
      <c r="AZ394" s="4"/>
    </row>
    <row r="395" spans="52:52" x14ac:dyDescent="0.2">
      <c r="AZ395" s="4"/>
    </row>
    <row r="396" spans="52:52" x14ac:dyDescent="0.2">
      <c r="AZ396" s="4"/>
    </row>
    <row r="397" spans="52:52" x14ac:dyDescent="0.2">
      <c r="AZ397" s="4"/>
    </row>
    <row r="398" spans="52:52" x14ac:dyDescent="0.2">
      <c r="AZ398" s="4"/>
    </row>
    <row r="399" spans="52:52" x14ac:dyDescent="0.2">
      <c r="AZ399" s="4"/>
    </row>
    <row r="400" spans="52:52" x14ac:dyDescent="0.2">
      <c r="AZ400" s="4"/>
    </row>
    <row r="401" spans="52:52" x14ac:dyDescent="0.2">
      <c r="AZ401" s="4"/>
    </row>
    <row r="402" spans="52:52" x14ac:dyDescent="0.2">
      <c r="AZ402" s="4"/>
    </row>
    <row r="403" spans="52:52" x14ac:dyDescent="0.2">
      <c r="AZ403" s="4"/>
    </row>
    <row r="404" spans="52:52" x14ac:dyDescent="0.2">
      <c r="AZ404" s="4"/>
    </row>
    <row r="405" spans="52:52" x14ac:dyDescent="0.2">
      <c r="AZ405" s="4"/>
    </row>
    <row r="406" spans="52:52" x14ac:dyDescent="0.2">
      <c r="AZ406" s="4"/>
    </row>
    <row r="407" spans="52:52" x14ac:dyDescent="0.2">
      <c r="AZ407" s="4"/>
    </row>
    <row r="408" spans="52:52" x14ac:dyDescent="0.2">
      <c r="AZ408" s="4"/>
    </row>
    <row r="409" spans="52:52" x14ac:dyDescent="0.2">
      <c r="AZ409" s="4"/>
    </row>
    <row r="410" spans="52:52" x14ac:dyDescent="0.2">
      <c r="AZ410" s="4"/>
    </row>
    <row r="411" spans="52:52" x14ac:dyDescent="0.2">
      <c r="AZ411" s="4"/>
    </row>
    <row r="412" spans="52:52" x14ac:dyDescent="0.2">
      <c r="AZ412" s="4"/>
    </row>
    <row r="413" spans="52:52" x14ac:dyDescent="0.2">
      <c r="AZ413" s="4"/>
    </row>
    <row r="414" spans="52:52" x14ac:dyDescent="0.2">
      <c r="AZ414" s="4"/>
    </row>
    <row r="415" spans="52:52" x14ac:dyDescent="0.2">
      <c r="AZ415" s="4"/>
    </row>
    <row r="416" spans="52:52" x14ac:dyDescent="0.2">
      <c r="AZ416" s="4"/>
    </row>
    <row r="417" spans="52:52" x14ac:dyDescent="0.2">
      <c r="AZ417" s="4"/>
    </row>
    <row r="418" spans="52:52" x14ac:dyDescent="0.2">
      <c r="AZ418" s="4"/>
    </row>
    <row r="419" spans="52:52" x14ac:dyDescent="0.2">
      <c r="AZ419" s="4"/>
    </row>
    <row r="420" spans="52:52" x14ac:dyDescent="0.2">
      <c r="AZ420" s="4"/>
    </row>
    <row r="421" spans="52:52" x14ac:dyDescent="0.2">
      <c r="AZ421" s="4"/>
    </row>
    <row r="422" spans="52:52" x14ac:dyDescent="0.2">
      <c r="AZ422" s="4"/>
    </row>
    <row r="423" spans="52:52" x14ac:dyDescent="0.2">
      <c r="AZ423" s="4"/>
    </row>
    <row r="424" spans="52:52" x14ac:dyDescent="0.2">
      <c r="AZ424" s="4"/>
    </row>
    <row r="425" spans="52:52" x14ac:dyDescent="0.2">
      <c r="AZ425" s="4"/>
    </row>
    <row r="426" spans="52:52" x14ac:dyDescent="0.2">
      <c r="AZ426" s="4"/>
    </row>
    <row r="427" spans="52:52" x14ac:dyDescent="0.2">
      <c r="AZ427" s="4"/>
    </row>
    <row r="428" spans="52:52" x14ac:dyDescent="0.2">
      <c r="AZ428" s="4"/>
    </row>
    <row r="429" spans="52:52" x14ac:dyDescent="0.2">
      <c r="AZ429" s="4"/>
    </row>
    <row r="430" spans="52:52" x14ac:dyDescent="0.2">
      <c r="AZ430" s="4"/>
    </row>
    <row r="431" spans="52:52" x14ac:dyDescent="0.2">
      <c r="AZ431" s="4"/>
    </row>
    <row r="432" spans="52:52" x14ac:dyDescent="0.2">
      <c r="AZ432" s="4"/>
    </row>
    <row r="433" spans="52:52" x14ac:dyDescent="0.2">
      <c r="AZ433" s="4"/>
    </row>
    <row r="434" spans="52:52" x14ac:dyDescent="0.2">
      <c r="AZ434" s="4"/>
    </row>
    <row r="435" spans="52:52" x14ac:dyDescent="0.2">
      <c r="AZ435" s="4"/>
    </row>
    <row r="436" spans="52:52" x14ac:dyDescent="0.2">
      <c r="AZ436" s="4"/>
    </row>
    <row r="437" spans="52:52" x14ac:dyDescent="0.2">
      <c r="AZ437" s="4"/>
    </row>
    <row r="438" spans="52:52" x14ac:dyDescent="0.2">
      <c r="AZ438" s="4"/>
    </row>
    <row r="439" spans="52:52" x14ac:dyDescent="0.2">
      <c r="AZ439" s="4"/>
    </row>
    <row r="440" spans="52:52" x14ac:dyDescent="0.2">
      <c r="AZ440" s="4"/>
    </row>
    <row r="441" spans="52:52" x14ac:dyDescent="0.2">
      <c r="AZ441" s="4"/>
    </row>
    <row r="442" spans="52:52" x14ac:dyDescent="0.2">
      <c r="AZ442" s="4"/>
    </row>
    <row r="443" spans="52:52" x14ac:dyDescent="0.2">
      <c r="AZ443" s="4"/>
    </row>
    <row r="444" spans="52:52" x14ac:dyDescent="0.2">
      <c r="AZ444" s="4"/>
    </row>
    <row r="445" spans="52:52" x14ac:dyDescent="0.2">
      <c r="AZ445" s="4"/>
    </row>
    <row r="446" spans="52:52" x14ac:dyDescent="0.2">
      <c r="AZ446" s="4"/>
    </row>
    <row r="447" spans="52:52" x14ac:dyDescent="0.2">
      <c r="AZ447" s="4"/>
    </row>
    <row r="448" spans="52:52" x14ac:dyDescent="0.2">
      <c r="AZ448" s="4"/>
    </row>
    <row r="449" spans="52:52" x14ac:dyDescent="0.2">
      <c r="AZ449" s="4"/>
    </row>
    <row r="450" spans="52:52" x14ac:dyDescent="0.2">
      <c r="AZ450" s="4"/>
    </row>
    <row r="451" spans="52:52" x14ac:dyDescent="0.2">
      <c r="AZ451" s="4"/>
    </row>
    <row r="452" spans="52:52" x14ac:dyDescent="0.2">
      <c r="AZ452" s="4"/>
    </row>
    <row r="453" spans="52:52" x14ac:dyDescent="0.2">
      <c r="AZ453" s="4"/>
    </row>
    <row r="454" spans="52:52" x14ac:dyDescent="0.2">
      <c r="AZ454" s="4"/>
    </row>
    <row r="455" spans="52:52" x14ac:dyDescent="0.2">
      <c r="AZ455" s="4"/>
    </row>
    <row r="456" spans="52:52" x14ac:dyDescent="0.2">
      <c r="AZ456" s="4"/>
    </row>
    <row r="457" spans="52:52" x14ac:dyDescent="0.2">
      <c r="AZ457" s="4"/>
    </row>
    <row r="458" spans="52:52" x14ac:dyDescent="0.2">
      <c r="AZ458" s="4"/>
    </row>
    <row r="459" spans="52:52" x14ac:dyDescent="0.2">
      <c r="AZ459" s="4"/>
    </row>
    <row r="460" spans="52:52" x14ac:dyDescent="0.2">
      <c r="AZ460" s="4"/>
    </row>
    <row r="461" spans="52:52" x14ac:dyDescent="0.2">
      <c r="AZ461" s="4"/>
    </row>
    <row r="462" spans="52:52" x14ac:dyDescent="0.2">
      <c r="AZ462" s="4"/>
    </row>
    <row r="463" spans="52:52" x14ac:dyDescent="0.2">
      <c r="AZ463" s="4"/>
    </row>
    <row r="464" spans="52:52" x14ac:dyDescent="0.2">
      <c r="AZ464" s="4"/>
    </row>
    <row r="465" spans="52:52" x14ac:dyDescent="0.2">
      <c r="AZ465" s="4"/>
    </row>
    <row r="466" spans="52:52" x14ac:dyDescent="0.2">
      <c r="AZ466" s="4"/>
    </row>
    <row r="467" spans="52:52" x14ac:dyDescent="0.2">
      <c r="AZ467" s="4"/>
    </row>
    <row r="468" spans="52:52" x14ac:dyDescent="0.2">
      <c r="AZ468" s="4"/>
    </row>
    <row r="469" spans="52:52" x14ac:dyDescent="0.2">
      <c r="AZ469" s="4"/>
    </row>
    <row r="470" spans="52:52" x14ac:dyDescent="0.2">
      <c r="AZ470" s="4"/>
    </row>
    <row r="471" spans="52:52" x14ac:dyDescent="0.2">
      <c r="AZ471" s="4"/>
    </row>
    <row r="472" spans="52:52" x14ac:dyDescent="0.2">
      <c r="AZ472" s="4"/>
    </row>
    <row r="473" spans="52:52" x14ac:dyDescent="0.2">
      <c r="AZ473" s="4"/>
    </row>
    <row r="474" spans="52:52" x14ac:dyDescent="0.2">
      <c r="AZ474" s="4"/>
    </row>
    <row r="475" spans="52:52" x14ac:dyDescent="0.2">
      <c r="AZ475" s="4"/>
    </row>
    <row r="476" spans="52:52" x14ac:dyDescent="0.2">
      <c r="AZ476" s="4"/>
    </row>
    <row r="477" spans="52:52" x14ac:dyDescent="0.2">
      <c r="AZ477" s="4"/>
    </row>
    <row r="478" spans="52:52" x14ac:dyDescent="0.2">
      <c r="AZ478" s="4"/>
    </row>
    <row r="479" spans="52:52" x14ac:dyDescent="0.2">
      <c r="AZ479" s="4"/>
    </row>
    <row r="480" spans="52:52" x14ac:dyDescent="0.2">
      <c r="AZ480" s="4"/>
    </row>
    <row r="481" spans="52:52" x14ac:dyDescent="0.2">
      <c r="AZ481" s="4"/>
    </row>
    <row r="482" spans="52:52" x14ac:dyDescent="0.2">
      <c r="AZ482" s="4"/>
    </row>
    <row r="483" spans="52:52" x14ac:dyDescent="0.2">
      <c r="AZ483" s="4"/>
    </row>
    <row r="484" spans="52:52" x14ac:dyDescent="0.2">
      <c r="AZ484" s="4"/>
    </row>
    <row r="485" spans="52:52" x14ac:dyDescent="0.2">
      <c r="AZ485" s="4"/>
    </row>
    <row r="486" spans="52:52" x14ac:dyDescent="0.2">
      <c r="AZ486" s="4"/>
    </row>
    <row r="487" spans="52:52" x14ac:dyDescent="0.2">
      <c r="AZ487" s="4"/>
    </row>
    <row r="488" spans="52:52" x14ac:dyDescent="0.2">
      <c r="AZ488" s="4"/>
    </row>
    <row r="489" spans="52:52" x14ac:dyDescent="0.2">
      <c r="AZ489" s="4"/>
    </row>
    <row r="490" spans="52:52" x14ac:dyDescent="0.2">
      <c r="AZ490" s="4"/>
    </row>
    <row r="491" spans="52:52" x14ac:dyDescent="0.2">
      <c r="AZ491" s="4"/>
    </row>
    <row r="492" spans="52:52" x14ac:dyDescent="0.2">
      <c r="AZ492" s="4"/>
    </row>
    <row r="493" spans="52:52" x14ac:dyDescent="0.2">
      <c r="AZ493" s="4"/>
    </row>
    <row r="494" spans="52:52" x14ac:dyDescent="0.2">
      <c r="AZ494" s="4"/>
    </row>
    <row r="495" spans="52:52" x14ac:dyDescent="0.2">
      <c r="AZ495" s="4"/>
    </row>
    <row r="496" spans="52:52" x14ac:dyDescent="0.2">
      <c r="AZ496" s="4"/>
    </row>
    <row r="497" spans="52:52" x14ac:dyDescent="0.2">
      <c r="AZ497" s="4"/>
    </row>
    <row r="498" spans="52:52" x14ac:dyDescent="0.2">
      <c r="AZ498" s="4"/>
    </row>
    <row r="499" spans="52:52" x14ac:dyDescent="0.2">
      <c r="AZ499" s="4"/>
    </row>
    <row r="500" spans="52:52" x14ac:dyDescent="0.2">
      <c r="AZ500" s="4"/>
    </row>
    <row r="501" spans="52:52" x14ac:dyDescent="0.2">
      <c r="AZ501" s="4"/>
    </row>
    <row r="502" spans="52:52" x14ac:dyDescent="0.2">
      <c r="AZ502" s="4"/>
    </row>
    <row r="503" spans="52:52" x14ac:dyDescent="0.2">
      <c r="AZ503" s="4"/>
    </row>
    <row r="504" spans="52:52" x14ac:dyDescent="0.2">
      <c r="AZ504" s="4"/>
    </row>
    <row r="505" spans="52:52" x14ac:dyDescent="0.2">
      <c r="AZ505" s="4"/>
    </row>
    <row r="506" spans="52:52" x14ac:dyDescent="0.2">
      <c r="AZ506" s="4"/>
    </row>
    <row r="507" spans="52:52" x14ac:dyDescent="0.2">
      <c r="AZ507" s="4"/>
    </row>
    <row r="508" spans="52:52" x14ac:dyDescent="0.2">
      <c r="AZ508" s="4"/>
    </row>
    <row r="509" spans="52:52" x14ac:dyDescent="0.2">
      <c r="AZ509" s="4"/>
    </row>
    <row r="510" spans="52:52" x14ac:dyDescent="0.2">
      <c r="AZ510" s="4"/>
    </row>
    <row r="511" spans="52:52" x14ac:dyDescent="0.2">
      <c r="AZ511" s="4"/>
    </row>
    <row r="512" spans="52:52" x14ac:dyDescent="0.2">
      <c r="AZ512" s="4"/>
    </row>
    <row r="513" spans="52:52" x14ac:dyDescent="0.2">
      <c r="AZ513" s="4"/>
    </row>
    <row r="514" spans="52:52" x14ac:dyDescent="0.2">
      <c r="AZ514" s="4"/>
    </row>
    <row r="515" spans="52:52" x14ac:dyDescent="0.2">
      <c r="AZ515" s="4"/>
    </row>
    <row r="516" spans="52:52" x14ac:dyDescent="0.2">
      <c r="AZ516" s="4"/>
    </row>
    <row r="517" spans="52:52" x14ac:dyDescent="0.2">
      <c r="AZ517" s="4"/>
    </row>
    <row r="518" spans="52:52" x14ac:dyDescent="0.2">
      <c r="AZ518" s="4"/>
    </row>
    <row r="519" spans="52:52" x14ac:dyDescent="0.2">
      <c r="AZ519" s="4"/>
    </row>
    <row r="520" spans="52:52" x14ac:dyDescent="0.2">
      <c r="AZ520" s="4"/>
    </row>
    <row r="521" spans="52:52" x14ac:dyDescent="0.2">
      <c r="AZ521" s="4"/>
    </row>
    <row r="522" spans="52:52" x14ac:dyDescent="0.2">
      <c r="AZ522" s="4"/>
    </row>
    <row r="523" spans="52:52" x14ac:dyDescent="0.2">
      <c r="AZ523" s="4"/>
    </row>
    <row r="524" spans="52:52" x14ac:dyDescent="0.2">
      <c r="AZ524" s="4"/>
    </row>
    <row r="525" spans="52:52" x14ac:dyDescent="0.2">
      <c r="AZ525" s="4"/>
    </row>
    <row r="526" spans="52:52" x14ac:dyDescent="0.2">
      <c r="AZ526" s="4"/>
    </row>
    <row r="527" spans="52:52" x14ac:dyDescent="0.2">
      <c r="AZ527" s="4"/>
    </row>
    <row r="528" spans="52:52" x14ac:dyDescent="0.2">
      <c r="AZ528" s="4"/>
    </row>
    <row r="529" spans="52:52" x14ac:dyDescent="0.2">
      <c r="AZ529" s="4"/>
    </row>
    <row r="530" spans="52:52" x14ac:dyDescent="0.2">
      <c r="AZ530" s="4"/>
    </row>
    <row r="531" spans="52:52" x14ac:dyDescent="0.2">
      <c r="AZ531" s="4"/>
    </row>
    <row r="532" spans="52:52" x14ac:dyDescent="0.2">
      <c r="AZ532" s="4"/>
    </row>
    <row r="533" spans="52:52" x14ac:dyDescent="0.2">
      <c r="AZ533" s="4"/>
    </row>
    <row r="534" spans="52:52" x14ac:dyDescent="0.2">
      <c r="AZ534" s="4"/>
    </row>
    <row r="535" spans="52:52" x14ac:dyDescent="0.2">
      <c r="AZ535" s="4"/>
    </row>
    <row r="536" spans="52:52" x14ac:dyDescent="0.2">
      <c r="AZ536" s="4"/>
    </row>
    <row r="537" spans="52:52" x14ac:dyDescent="0.2">
      <c r="AZ537" s="4"/>
    </row>
    <row r="538" spans="52:52" x14ac:dyDescent="0.2">
      <c r="AZ538" s="4"/>
    </row>
    <row r="539" spans="52:52" x14ac:dyDescent="0.2">
      <c r="AZ539" s="4"/>
    </row>
    <row r="540" spans="52:52" x14ac:dyDescent="0.2">
      <c r="AZ540" s="4"/>
    </row>
    <row r="541" spans="52:52" x14ac:dyDescent="0.2">
      <c r="AZ541" s="4"/>
    </row>
    <row r="542" spans="52:52" x14ac:dyDescent="0.2">
      <c r="AZ542" s="4"/>
    </row>
    <row r="543" spans="52:52" x14ac:dyDescent="0.2">
      <c r="AZ543" s="4"/>
    </row>
    <row r="544" spans="52:52" x14ac:dyDescent="0.2">
      <c r="AZ544" s="4"/>
    </row>
    <row r="545" spans="52:52" x14ac:dyDescent="0.2">
      <c r="AZ545" s="4"/>
    </row>
    <row r="546" spans="52:52" x14ac:dyDescent="0.2">
      <c r="AZ546" s="4"/>
    </row>
    <row r="547" spans="52:52" x14ac:dyDescent="0.2">
      <c r="AZ547" s="4"/>
    </row>
    <row r="548" spans="52:52" x14ac:dyDescent="0.2">
      <c r="AZ548" s="4"/>
    </row>
    <row r="549" spans="52:52" x14ac:dyDescent="0.2">
      <c r="AZ549" s="4"/>
    </row>
    <row r="550" spans="52:52" x14ac:dyDescent="0.2">
      <c r="AZ550" s="4"/>
    </row>
    <row r="551" spans="52:52" x14ac:dyDescent="0.2">
      <c r="AZ551" s="4"/>
    </row>
    <row r="552" spans="52:52" x14ac:dyDescent="0.2">
      <c r="AZ552" s="4"/>
    </row>
    <row r="553" spans="52:52" x14ac:dyDescent="0.2">
      <c r="AZ553" s="4"/>
    </row>
    <row r="554" spans="52:52" x14ac:dyDescent="0.2">
      <c r="AZ554" s="4"/>
    </row>
    <row r="555" spans="52:52" x14ac:dyDescent="0.2">
      <c r="AZ555" s="4"/>
    </row>
    <row r="556" spans="52:52" x14ac:dyDescent="0.2">
      <c r="AZ556" s="4"/>
    </row>
    <row r="557" spans="52:52" x14ac:dyDescent="0.2">
      <c r="AZ557" s="4"/>
    </row>
    <row r="558" spans="52:52" x14ac:dyDescent="0.2">
      <c r="AZ558" s="4"/>
    </row>
    <row r="559" spans="52:52" x14ac:dyDescent="0.2">
      <c r="AZ559" s="4"/>
    </row>
    <row r="560" spans="52:52" x14ac:dyDescent="0.2">
      <c r="AZ560" s="4"/>
    </row>
    <row r="561" spans="52:52" x14ac:dyDescent="0.2">
      <c r="AZ561" s="4"/>
    </row>
    <row r="562" spans="52:52" x14ac:dyDescent="0.2">
      <c r="AZ562" s="4"/>
    </row>
    <row r="563" spans="52:52" x14ac:dyDescent="0.2">
      <c r="AZ563" s="4"/>
    </row>
    <row r="564" spans="52:52" x14ac:dyDescent="0.2">
      <c r="AZ564" s="4"/>
    </row>
    <row r="565" spans="52:52" x14ac:dyDescent="0.2">
      <c r="AZ565" s="4"/>
    </row>
    <row r="566" spans="52:52" x14ac:dyDescent="0.2">
      <c r="AZ566" s="4"/>
    </row>
    <row r="567" spans="52:52" x14ac:dyDescent="0.2">
      <c r="AZ567" s="4"/>
    </row>
    <row r="568" spans="52:52" x14ac:dyDescent="0.2">
      <c r="AZ568" s="4"/>
    </row>
    <row r="569" spans="52:52" x14ac:dyDescent="0.2">
      <c r="AZ569" s="4"/>
    </row>
    <row r="570" spans="52:52" x14ac:dyDescent="0.2">
      <c r="AZ570" s="4"/>
    </row>
    <row r="571" spans="52:52" x14ac:dyDescent="0.2">
      <c r="AZ571" s="4"/>
    </row>
    <row r="572" spans="52:52" x14ac:dyDescent="0.2">
      <c r="AZ572" s="4"/>
    </row>
    <row r="573" spans="52:52" x14ac:dyDescent="0.2">
      <c r="AZ573" s="4"/>
    </row>
    <row r="574" spans="52:52" x14ac:dyDescent="0.2">
      <c r="AZ574" s="4"/>
    </row>
    <row r="575" spans="52:52" x14ac:dyDescent="0.2">
      <c r="AZ575" s="4"/>
    </row>
    <row r="576" spans="52:52" x14ac:dyDescent="0.2">
      <c r="AZ576" s="4"/>
    </row>
    <row r="577" spans="52:52" x14ac:dyDescent="0.2">
      <c r="AZ577" s="4"/>
    </row>
    <row r="578" spans="52:52" x14ac:dyDescent="0.2">
      <c r="AZ578" s="4"/>
    </row>
    <row r="579" spans="52:52" x14ac:dyDescent="0.2">
      <c r="AZ579" s="4"/>
    </row>
    <row r="580" spans="52:52" x14ac:dyDescent="0.2">
      <c r="AZ580" s="4"/>
    </row>
    <row r="581" spans="52:52" x14ac:dyDescent="0.2">
      <c r="AZ581" s="4"/>
    </row>
    <row r="582" spans="52:52" x14ac:dyDescent="0.2">
      <c r="AZ582" s="4"/>
    </row>
    <row r="583" spans="52:52" x14ac:dyDescent="0.2">
      <c r="AZ583" s="4"/>
    </row>
    <row r="584" spans="52:52" x14ac:dyDescent="0.2">
      <c r="AZ584" s="4"/>
    </row>
    <row r="585" spans="52:52" x14ac:dyDescent="0.2">
      <c r="AZ585" s="4"/>
    </row>
    <row r="586" spans="52:52" x14ac:dyDescent="0.2">
      <c r="AZ586" s="4"/>
    </row>
    <row r="587" spans="52:52" x14ac:dyDescent="0.2">
      <c r="AZ587" s="4"/>
    </row>
    <row r="588" spans="52:52" x14ac:dyDescent="0.2">
      <c r="AZ588" s="4"/>
    </row>
    <row r="589" spans="52:52" x14ac:dyDescent="0.2">
      <c r="AZ589" s="4"/>
    </row>
    <row r="590" spans="52:52" x14ac:dyDescent="0.2">
      <c r="AZ590" s="4"/>
    </row>
    <row r="591" spans="52:52" x14ac:dyDescent="0.2">
      <c r="AZ591" s="4"/>
    </row>
    <row r="592" spans="52:52" x14ac:dyDescent="0.2">
      <c r="AZ592" s="4"/>
    </row>
    <row r="593" spans="52:52" x14ac:dyDescent="0.2">
      <c r="AZ593" s="4"/>
    </row>
    <row r="594" spans="52:52" x14ac:dyDescent="0.2">
      <c r="AZ594" s="4"/>
    </row>
    <row r="595" spans="52:52" x14ac:dyDescent="0.2">
      <c r="AZ595" s="4"/>
    </row>
    <row r="596" spans="52:52" x14ac:dyDescent="0.2">
      <c r="AZ596" s="4"/>
    </row>
    <row r="597" spans="52:52" x14ac:dyDescent="0.2">
      <c r="AZ597" s="4"/>
    </row>
    <row r="598" spans="52:52" x14ac:dyDescent="0.2">
      <c r="AZ598" s="4"/>
    </row>
    <row r="599" spans="52:52" x14ac:dyDescent="0.2">
      <c r="AZ599" s="4"/>
    </row>
    <row r="600" spans="52:52" x14ac:dyDescent="0.2">
      <c r="AZ600" s="4"/>
    </row>
    <row r="601" spans="52:52" x14ac:dyDescent="0.2">
      <c r="AZ601" s="4"/>
    </row>
    <row r="602" spans="52:52" x14ac:dyDescent="0.2">
      <c r="AZ602" s="4"/>
    </row>
    <row r="603" spans="52:52" x14ac:dyDescent="0.2">
      <c r="AZ603" s="4"/>
    </row>
    <row r="604" spans="52:52" x14ac:dyDescent="0.2">
      <c r="AZ604" s="4"/>
    </row>
    <row r="605" spans="52:52" x14ac:dyDescent="0.2">
      <c r="AZ605" s="4"/>
    </row>
    <row r="606" spans="52:52" x14ac:dyDescent="0.2">
      <c r="AZ606" s="4"/>
    </row>
    <row r="607" spans="52:52" x14ac:dyDescent="0.2">
      <c r="AZ607" s="4"/>
    </row>
    <row r="608" spans="52:52" x14ac:dyDescent="0.2">
      <c r="AZ608" s="4"/>
    </row>
    <row r="609" spans="52:52" x14ac:dyDescent="0.2">
      <c r="AZ609" s="4"/>
    </row>
    <row r="610" spans="52:52" x14ac:dyDescent="0.2">
      <c r="AZ610" s="4"/>
    </row>
    <row r="611" spans="52:52" x14ac:dyDescent="0.2">
      <c r="AZ611" s="4"/>
    </row>
    <row r="612" spans="52:52" x14ac:dyDescent="0.2">
      <c r="AZ612" s="4"/>
    </row>
    <row r="613" spans="52:52" x14ac:dyDescent="0.2">
      <c r="AZ613" s="4"/>
    </row>
    <row r="614" spans="52:52" x14ac:dyDescent="0.2">
      <c r="AZ614" s="4"/>
    </row>
    <row r="615" spans="52:52" x14ac:dyDescent="0.2">
      <c r="AZ615" s="4"/>
    </row>
    <row r="616" spans="52:52" x14ac:dyDescent="0.2">
      <c r="AZ616" s="4"/>
    </row>
    <row r="617" spans="52:52" x14ac:dyDescent="0.2">
      <c r="AZ617" s="4"/>
    </row>
    <row r="618" spans="52:52" x14ac:dyDescent="0.2">
      <c r="AZ618" s="4"/>
    </row>
    <row r="619" spans="52:52" x14ac:dyDescent="0.2">
      <c r="AZ619" s="4"/>
    </row>
    <row r="620" spans="52:52" x14ac:dyDescent="0.2">
      <c r="AZ620" s="4"/>
    </row>
    <row r="621" spans="52:52" x14ac:dyDescent="0.2">
      <c r="AZ621" s="4"/>
    </row>
    <row r="622" spans="52:52" x14ac:dyDescent="0.2">
      <c r="AZ622" s="4"/>
    </row>
    <row r="623" spans="52:52" x14ac:dyDescent="0.2">
      <c r="AZ623" s="4"/>
    </row>
    <row r="624" spans="52:52" x14ac:dyDescent="0.2">
      <c r="AZ624" s="4"/>
    </row>
    <row r="625" spans="52:52" x14ac:dyDescent="0.2">
      <c r="AZ625" s="4"/>
    </row>
    <row r="626" spans="52:52" x14ac:dyDescent="0.2">
      <c r="AZ626" s="4"/>
    </row>
    <row r="627" spans="52:52" x14ac:dyDescent="0.2">
      <c r="AZ627" s="4"/>
    </row>
    <row r="628" spans="52:52" x14ac:dyDescent="0.2">
      <c r="AZ628" s="4"/>
    </row>
    <row r="629" spans="52:52" x14ac:dyDescent="0.2">
      <c r="AZ629" s="4"/>
    </row>
    <row r="630" spans="52:52" x14ac:dyDescent="0.2">
      <c r="AZ630" s="4"/>
    </row>
    <row r="631" spans="52:52" x14ac:dyDescent="0.2">
      <c r="AZ631" s="4"/>
    </row>
    <row r="632" spans="52:52" x14ac:dyDescent="0.2">
      <c r="AZ632" s="4"/>
    </row>
    <row r="633" spans="52:52" x14ac:dyDescent="0.2">
      <c r="AZ633" s="4"/>
    </row>
    <row r="634" spans="52:52" x14ac:dyDescent="0.2">
      <c r="AZ634" s="4"/>
    </row>
    <row r="635" spans="52:52" x14ac:dyDescent="0.2">
      <c r="AZ635" s="4"/>
    </row>
    <row r="636" spans="52:52" x14ac:dyDescent="0.2">
      <c r="AZ636" s="4"/>
    </row>
    <row r="637" spans="52:52" x14ac:dyDescent="0.2">
      <c r="AZ637" s="4"/>
    </row>
    <row r="638" spans="52:52" x14ac:dyDescent="0.2">
      <c r="AZ638" s="4"/>
    </row>
    <row r="639" spans="52:52" x14ac:dyDescent="0.2">
      <c r="AZ639" s="4"/>
    </row>
    <row r="640" spans="52:52" x14ac:dyDescent="0.2">
      <c r="AZ640" s="4"/>
    </row>
    <row r="641" spans="52:52" x14ac:dyDescent="0.2">
      <c r="AZ641" s="4"/>
    </row>
    <row r="642" spans="52:52" x14ac:dyDescent="0.2">
      <c r="AZ642" s="4"/>
    </row>
    <row r="643" spans="52:52" x14ac:dyDescent="0.2">
      <c r="AZ643" s="4"/>
    </row>
    <row r="644" spans="52:52" x14ac:dyDescent="0.2">
      <c r="AZ644" s="4"/>
    </row>
    <row r="645" spans="52:52" x14ac:dyDescent="0.2">
      <c r="AZ645" s="4"/>
    </row>
    <row r="646" spans="52:52" x14ac:dyDescent="0.2">
      <c r="AZ646" s="4"/>
    </row>
    <row r="647" spans="52:52" x14ac:dyDescent="0.2">
      <c r="AZ647" s="4"/>
    </row>
    <row r="648" spans="52:52" x14ac:dyDescent="0.2">
      <c r="AZ648" s="4"/>
    </row>
    <row r="649" spans="52:52" x14ac:dyDescent="0.2">
      <c r="AZ649" s="4"/>
    </row>
    <row r="650" spans="52:52" x14ac:dyDescent="0.2">
      <c r="AZ650" s="4"/>
    </row>
    <row r="651" spans="52:52" x14ac:dyDescent="0.2">
      <c r="AZ651" s="4"/>
    </row>
    <row r="652" spans="52:52" x14ac:dyDescent="0.2">
      <c r="AZ652" s="4"/>
    </row>
    <row r="653" spans="52:52" x14ac:dyDescent="0.2">
      <c r="AZ653" s="4"/>
    </row>
    <row r="654" spans="52:52" x14ac:dyDescent="0.2">
      <c r="AZ654" s="4"/>
    </row>
    <row r="655" spans="52:52" x14ac:dyDescent="0.2">
      <c r="AZ655" s="4"/>
    </row>
    <row r="656" spans="52:52" x14ac:dyDescent="0.2">
      <c r="AZ656" s="4"/>
    </row>
    <row r="657" spans="52:52" x14ac:dyDescent="0.2">
      <c r="AZ657" s="4"/>
    </row>
    <row r="658" spans="52:52" x14ac:dyDescent="0.2">
      <c r="AZ658" s="4"/>
    </row>
    <row r="659" spans="52:52" x14ac:dyDescent="0.2">
      <c r="AZ659" s="4"/>
    </row>
    <row r="660" spans="52:52" x14ac:dyDescent="0.2">
      <c r="AZ660" s="4"/>
    </row>
    <row r="661" spans="52:52" x14ac:dyDescent="0.2">
      <c r="AZ661" s="4"/>
    </row>
    <row r="662" spans="52:52" x14ac:dyDescent="0.2">
      <c r="AZ662" s="4"/>
    </row>
    <row r="663" spans="52:52" x14ac:dyDescent="0.2">
      <c r="AZ663" s="4"/>
    </row>
    <row r="664" spans="52:52" x14ac:dyDescent="0.2">
      <c r="AZ664" s="4"/>
    </row>
    <row r="665" spans="52:52" x14ac:dyDescent="0.2">
      <c r="AZ665" s="4"/>
    </row>
    <row r="666" spans="52:52" x14ac:dyDescent="0.2">
      <c r="AZ666" s="4"/>
    </row>
    <row r="667" spans="52:52" x14ac:dyDescent="0.2">
      <c r="AZ667" s="4"/>
    </row>
    <row r="668" spans="52:52" x14ac:dyDescent="0.2">
      <c r="AZ668" s="4"/>
    </row>
    <row r="669" spans="52:52" x14ac:dyDescent="0.2">
      <c r="AZ669" s="4"/>
    </row>
    <row r="670" spans="52:52" x14ac:dyDescent="0.2">
      <c r="AZ670" s="4"/>
    </row>
    <row r="671" spans="52:52" x14ac:dyDescent="0.2">
      <c r="AZ671" s="4"/>
    </row>
    <row r="672" spans="52:52" x14ac:dyDescent="0.2">
      <c r="AZ672" s="4"/>
    </row>
    <row r="673" spans="52:52" x14ac:dyDescent="0.2">
      <c r="AZ673" s="4"/>
    </row>
    <row r="674" spans="52:52" x14ac:dyDescent="0.2">
      <c r="AZ674" s="4"/>
    </row>
    <row r="675" spans="52:52" x14ac:dyDescent="0.2">
      <c r="AZ675" s="4"/>
    </row>
    <row r="676" spans="52:52" x14ac:dyDescent="0.2">
      <c r="AZ676" s="4"/>
    </row>
    <row r="677" spans="52:52" x14ac:dyDescent="0.2">
      <c r="AZ677" s="4"/>
    </row>
    <row r="678" spans="52:52" x14ac:dyDescent="0.2">
      <c r="AZ678" s="4"/>
    </row>
    <row r="679" spans="52:52" x14ac:dyDescent="0.2">
      <c r="AZ679" s="4"/>
    </row>
    <row r="680" spans="52:52" x14ac:dyDescent="0.2">
      <c r="AZ680" s="4"/>
    </row>
    <row r="681" spans="52:52" x14ac:dyDescent="0.2">
      <c r="AZ681" s="4"/>
    </row>
    <row r="682" spans="52:52" x14ac:dyDescent="0.2">
      <c r="AZ682" s="4"/>
    </row>
    <row r="683" spans="52:52" x14ac:dyDescent="0.2">
      <c r="AZ683" s="4"/>
    </row>
    <row r="684" spans="52:52" x14ac:dyDescent="0.2">
      <c r="AZ684" s="4"/>
    </row>
    <row r="685" spans="52:52" x14ac:dyDescent="0.2">
      <c r="AZ685" s="4"/>
    </row>
    <row r="686" spans="52:52" x14ac:dyDescent="0.2">
      <c r="AZ686" s="4"/>
    </row>
    <row r="687" spans="52:52" x14ac:dyDescent="0.2">
      <c r="AZ687" s="4"/>
    </row>
    <row r="688" spans="52:52" x14ac:dyDescent="0.2">
      <c r="AZ688" s="4"/>
    </row>
    <row r="689" spans="52:52" x14ac:dyDescent="0.2">
      <c r="AZ689" s="4"/>
    </row>
    <row r="690" spans="52:52" x14ac:dyDescent="0.2">
      <c r="AZ690" s="4"/>
    </row>
    <row r="691" spans="52:52" x14ac:dyDescent="0.2">
      <c r="AZ691" s="4"/>
    </row>
    <row r="692" spans="52:52" x14ac:dyDescent="0.2">
      <c r="AZ692" s="4"/>
    </row>
    <row r="693" spans="52:52" x14ac:dyDescent="0.2">
      <c r="AZ693" s="4"/>
    </row>
    <row r="694" spans="52:52" x14ac:dyDescent="0.2">
      <c r="AZ694" s="4"/>
    </row>
    <row r="695" spans="52:52" x14ac:dyDescent="0.2">
      <c r="AZ695" s="4"/>
    </row>
    <row r="696" spans="52:52" x14ac:dyDescent="0.2">
      <c r="AZ696" s="4"/>
    </row>
    <row r="697" spans="52:52" x14ac:dyDescent="0.2">
      <c r="AZ697" s="4"/>
    </row>
    <row r="698" spans="52:52" x14ac:dyDescent="0.2">
      <c r="AZ698" s="4"/>
    </row>
    <row r="699" spans="52:52" x14ac:dyDescent="0.2">
      <c r="AZ699" s="4"/>
    </row>
    <row r="700" spans="52:52" x14ac:dyDescent="0.2">
      <c r="AZ700" s="4"/>
    </row>
    <row r="701" spans="52:52" x14ac:dyDescent="0.2">
      <c r="AZ701" s="4"/>
    </row>
    <row r="702" spans="52:52" x14ac:dyDescent="0.2">
      <c r="AZ702" s="4"/>
    </row>
    <row r="703" spans="52:52" x14ac:dyDescent="0.2">
      <c r="AZ703" s="4"/>
    </row>
    <row r="704" spans="52:52" x14ac:dyDescent="0.2">
      <c r="AZ704" s="4"/>
    </row>
    <row r="705" spans="52:52" x14ac:dyDescent="0.2">
      <c r="AZ705" s="4"/>
    </row>
    <row r="706" spans="52:52" x14ac:dyDescent="0.2">
      <c r="AZ706" s="4"/>
    </row>
    <row r="707" spans="52:52" x14ac:dyDescent="0.2">
      <c r="AZ707" s="4"/>
    </row>
    <row r="708" spans="52:52" x14ac:dyDescent="0.2">
      <c r="AZ708" s="4"/>
    </row>
    <row r="709" spans="52:52" x14ac:dyDescent="0.2">
      <c r="AZ709" s="4"/>
    </row>
    <row r="710" spans="52:52" x14ac:dyDescent="0.2">
      <c r="AZ710" s="4"/>
    </row>
    <row r="711" spans="52:52" x14ac:dyDescent="0.2">
      <c r="AZ711" s="4"/>
    </row>
    <row r="712" spans="52:52" x14ac:dyDescent="0.2">
      <c r="AZ712" s="4"/>
    </row>
    <row r="713" spans="52:52" x14ac:dyDescent="0.2">
      <c r="AZ713" s="4"/>
    </row>
    <row r="714" spans="52:52" x14ac:dyDescent="0.2">
      <c r="AZ714" s="4"/>
    </row>
    <row r="715" spans="52:52" x14ac:dyDescent="0.2">
      <c r="AZ715" s="4"/>
    </row>
    <row r="716" spans="52:52" x14ac:dyDescent="0.2">
      <c r="AZ716" s="4"/>
    </row>
    <row r="717" spans="52:52" x14ac:dyDescent="0.2">
      <c r="AZ717" s="4"/>
    </row>
    <row r="718" spans="52:52" x14ac:dyDescent="0.2">
      <c r="AZ718" s="4"/>
    </row>
    <row r="719" spans="52:52" x14ac:dyDescent="0.2">
      <c r="AZ719" s="4"/>
    </row>
    <row r="720" spans="52:52" x14ac:dyDescent="0.2">
      <c r="AZ720" s="4"/>
    </row>
    <row r="721" spans="52:52" x14ac:dyDescent="0.2">
      <c r="AZ721" s="4"/>
    </row>
    <row r="722" spans="52:52" x14ac:dyDescent="0.2">
      <c r="AZ722" s="4"/>
    </row>
    <row r="723" spans="52:52" x14ac:dyDescent="0.2">
      <c r="AZ723" s="4"/>
    </row>
    <row r="724" spans="52:52" x14ac:dyDescent="0.2">
      <c r="AZ724" s="4"/>
    </row>
    <row r="725" spans="52:52" x14ac:dyDescent="0.2">
      <c r="AZ725" s="4"/>
    </row>
    <row r="726" spans="52:52" x14ac:dyDescent="0.2">
      <c r="AZ726" s="4"/>
    </row>
    <row r="727" spans="52:52" x14ac:dyDescent="0.2">
      <c r="AZ727" s="4"/>
    </row>
    <row r="728" spans="52:52" x14ac:dyDescent="0.2">
      <c r="AZ728" s="4"/>
    </row>
    <row r="729" spans="52:52" x14ac:dyDescent="0.2">
      <c r="AZ729" s="4"/>
    </row>
    <row r="730" spans="52:52" x14ac:dyDescent="0.2">
      <c r="AZ730" s="4"/>
    </row>
    <row r="731" spans="52:52" x14ac:dyDescent="0.2">
      <c r="AZ731" s="4"/>
    </row>
    <row r="732" spans="52:52" x14ac:dyDescent="0.2">
      <c r="AZ732" s="4"/>
    </row>
    <row r="733" spans="52:52" x14ac:dyDescent="0.2">
      <c r="AZ733" s="4"/>
    </row>
    <row r="734" spans="52:52" x14ac:dyDescent="0.2">
      <c r="AZ734" s="4"/>
    </row>
    <row r="735" spans="52:52" x14ac:dyDescent="0.2">
      <c r="AZ735" s="4"/>
    </row>
    <row r="736" spans="52:52" x14ac:dyDescent="0.2">
      <c r="AZ736" s="4"/>
    </row>
    <row r="737" spans="52:52" x14ac:dyDescent="0.2">
      <c r="AZ737" s="4"/>
    </row>
    <row r="738" spans="52:52" x14ac:dyDescent="0.2">
      <c r="AZ738" s="4"/>
    </row>
    <row r="739" spans="52:52" x14ac:dyDescent="0.2">
      <c r="AZ739" s="4"/>
    </row>
    <row r="740" spans="52:52" x14ac:dyDescent="0.2">
      <c r="AZ740" s="4"/>
    </row>
    <row r="741" spans="52:52" x14ac:dyDescent="0.2">
      <c r="AZ741" s="4"/>
    </row>
    <row r="742" spans="52:52" x14ac:dyDescent="0.2">
      <c r="AZ742" s="4"/>
    </row>
    <row r="743" spans="52:52" x14ac:dyDescent="0.2">
      <c r="AZ743" s="4"/>
    </row>
    <row r="744" spans="52:52" x14ac:dyDescent="0.2">
      <c r="AZ744" s="4"/>
    </row>
    <row r="745" spans="52:52" x14ac:dyDescent="0.2">
      <c r="AZ745" s="4"/>
    </row>
    <row r="746" spans="52:52" x14ac:dyDescent="0.2">
      <c r="AZ746" s="4"/>
    </row>
    <row r="747" spans="52:52" x14ac:dyDescent="0.2">
      <c r="AZ747" s="4"/>
    </row>
    <row r="748" spans="52:52" x14ac:dyDescent="0.2">
      <c r="AZ748" s="4"/>
    </row>
    <row r="749" spans="52:52" x14ac:dyDescent="0.2">
      <c r="AZ749" s="4"/>
    </row>
    <row r="750" spans="52:52" x14ac:dyDescent="0.2">
      <c r="AZ750" s="4"/>
    </row>
    <row r="751" spans="52:52" x14ac:dyDescent="0.2">
      <c r="AZ751" s="4"/>
    </row>
    <row r="752" spans="52:52" x14ac:dyDescent="0.2">
      <c r="AZ752" s="4"/>
    </row>
    <row r="753" spans="52:52" x14ac:dyDescent="0.2">
      <c r="AZ753" s="4"/>
    </row>
    <row r="754" spans="52:52" x14ac:dyDescent="0.2">
      <c r="AZ754" s="4"/>
    </row>
    <row r="755" spans="52:52" x14ac:dyDescent="0.2">
      <c r="AZ755" s="4"/>
    </row>
    <row r="756" spans="52:52" x14ac:dyDescent="0.2">
      <c r="AZ756" s="4"/>
    </row>
    <row r="757" spans="52:52" x14ac:dyDescent="0.2">
      <c r="AZ757" s="4"/>
    </row>
    <row r="758" spans="52:52" x14ac:dyDescent="0.2">
      <c r="AZ758" s="4"/>
    </row>
    <row r="759" spans="52:52" x14ac:dyDescent="0.2">
      <c r="AZ759" s="4"/>
    </row>
    <row r="760" spans="52:52" x14ac:dyDescent="0.2">
      <c r="AZ760" s="4"/>
    </row>
    <row r="761" spans="52:52" x14ac:dyDescent="0.2">
      <c r="AZ761" s="4"/>
    </row>
    <row r="762" spans="52:52" x14ac:dyDescent="0.2">
      <c r="AZ762" s="4"/>
    </row>
    <row r="763" spans="52:52" x14ac:dyDescent="0.2">
      <c r="AZ763" s="4"/>
    </row>
    <row r="764" spans="52:52" x14ac:dyDescent="0.2">
      <c r="AZ764" s="4"/>
    </row>
    <row r="765" spans="52:52" x14ac:dyDescent="0.2">
      <c r="AZ765" s="4"/>
    </row>
    <row r="766" spans="52:52" x14ac:dyDescent="0.2">
      <c r="AZ766" s="4"/>
    </row>
    <row r="767" spans="52:52" x14ac:dyDescent="0.2">
      <c r="AZ767" s="4"/>
    </row>
    <row r="768" spans="52:52" x14ac:dyDescent="0.2">
      <c r="AZ768" s="4"/>
    </row>
    <row r="769" spans="52:52" x14ac:dyDescent="0.2">
      <c r="AZ769" s="4"/>
    </row>
    <row r="770" spans="52:52" x14ac:dyDescent="0.2">
      <c r="AZ770" s="4"/>
    </row>
    <row r="771" spans="52:52" x14ac:dyDescent="0.2">
      <c r="AZ771" s="4"/>
    </row>
    <row r="772" spans="52:52" x14ac:dyDescent="0.2">
      <c r="AZ772" s="4"/>
    </row>
    <row r="773" spans="52:52" x14ac:dyDescent="0.2">
      <c r="AZ773" s="4"/>
    </row>
    <row r="774" spans="52:52" x14ac:dyDescent="0.2">
      <c r="AZ774" s="4"/>
    </row>
    <row r="775" spans="52:52" x14ac:dyDescent="0.2">
      <c r="AZ775" s="4"/>
    </row>
    <row r="776" spans="52:52" x14ac:dyDescent="0.2">
      <c r="AZ776" s="4"/>
    </row>
    <row r="777" spans="52:52" x14ac:dyDescent="0.2">
      <c r="AZ777" s="4"/>
    </row>
    <row r="778" spans="52:52" x14ac:dyDescent="0.2">
      <c r="AZ778" s="4"/>
    </row>
    <row r="779" spans="52:52" x14ac:dyDescent="0.2">
      <c r="AZ779" s="4"/>
    </row>
    <row r="780" spans="52:52" x14ac:dyDescent="0.2">
      <c r="AZ780" s="4"/>
    </row>
    <row r="781" spans="52:52" x14ac:dyDescent="0.2">
      <c r="AZ781" s="4"/>
    </row>
    <row r="782" spans="52:52" x14ac:dyDescent="0.2">
      <c r="AZ782" s="4"/>
    </row>
    <row r="783" spans="52:52" x14ac:dyDescent="0.2">
      <c r="AZ783" s="4"/>
    </row>
    <row r="784" spans="52:52" x14ac:dyDescent="0.2">
      <c r="AZ784" s="4"/>
    </row>
    <row r="785" spans="52:52" x14ac:dyDescent="0.2">
      <c r="AZ785" s="4"/>
    </row>
    <row r="786" spans="52:52" x14ac:dyDescent="0.2">
      <c r="AZ786" s="4"/>
    </row>
    <row r="787" spans="52:52" x14ac:dyDescent="0.2">
      <c r="AZ787" s="4"/>
    </row>
    <row r="788" spans="52:52" x14ac:dyDescent="0.2">
      <c r="AZ788" s="4"/>
    </row>
    <row r="789" spans="52:52" x14ac:dyDescent="0.2">
      <c r="AZ789" s="4"/>
    </row>
    <row r="790" spans="52:52" x14ac:dyDescent="0.2">
      <c r="AZ790" s="4"/>
    </row>
    <row r="791" spans="52:52" x14ac:dyDescent="0.2">
      <c r="AZ791" s="4"/>
    </row>
    <row r="792" spans="52:52" x14ac:dyDescent="0.2">
      <c r="AZ792" s="4"/>
    </row>
    <row r="793" spans="52:52" x14ac:dyDescent="0.2">
      <c r="AZ793" s="4"/>
    </row>
    <row r="794" spans="52:52" x14ac:dyDescent="0.2">
      <c r="AZ794" s="4"/>
    </row>
    <row r="795" spans="52:52" x14ac:dyDescent="0.2">
      <c r="AZ795" s="4"/>
    </row>
    <row r="796" spans="52:52" x14ac:dyDescent="0.2">
      <c r="AZ796" s="4"/>
    </row>
    <row r="797" spans="52:52" x14ac:dyDescent="0.2">
      <c r="AZ797" s="4"/>
    </row>
    <row r="798" spans="52:52" x14ac:dyDescent="0.2">
      <c r="AZ798" s="4"/>
    </row>
    <row r="799" spans="52:52" x14ac:dyDescent="0.2">
      <c r="AZ799" s="4"/>
    </row>
    <row r="800" spans="52:52" x14ac:dyDescent="0.2">
      <c r="AZ800" s="4"/>
    </row>
    <row r="801" spans="52:52" x14ac:dyDescent="0.2">
      <c r="AZ801" s="4"/>
    </row>
    <row r="802" spans="52:52" x14ac:dyDescent="0.2">
      <c r="AZ802" s="4"/>
    </row>
    <row r="803" spans="52:52" x14ac:dyDescent="0.2">
      <c r="AZ803" s="4"/>
    </row>
    <row r="804" spans="52:52" x14ac:dyDescent="0.2">
      <c r="AZ804" s="4"/>
    </row>
    <row r="805" spans="52:52" x14ac:dyDescent="0.2">
      <c r="AZ805" s="4"/>
    </row>
    <row r="806" spans="52:52" x14ac:dyDescent="0.2">
      <c r="AZ806" s="4"/>
    </row>
    <row r="807" spans="52:52" x14ac:dyDescent="0.2">
      <c r="AZ807" s="4"/>
    </row>
    <row r="808" spans="52:52" x14ac:dyDescent="0.2">
      <c r="AZ808" s="4"/>
    </row>
    <row r="809" spans="52:52" x14ac:dyDescent="0.2">
      <c r="AZ809" s="4"/>
    </row>
    <row r="810" spans="52:52" x14ac:dyDescent="0.2">
      <c r="AZ810" s="4"/>
    </row>
    <row r="811" spans="52:52" x14ac:dyDescent="0.2">
      <c r="AZ811" s="4"/>
    </row>
    <row r="812" spans="52:52" x14ac:dyDescent="0.2">
      <c r="AZ812" s="4"/>
    </row>
    <row r="813" spans="52:52" x14ac:dyDescent="0.2">
      <c r="AZ813" s="4"/>
    </row>
    <row r="814" spans="52:52" x14ac:dyDescent="0.2">
      <c r="AZ814" s="4"/>
    </row>
    <row r="815" spans="52:52" x14ac:dyDescent="0.2">
      <c r="AZ815" s="4"/>
    </row>
    <row r="816" spans="52:52" x14ac:dyDescent="0.2">
      <c r="AZ816" s="4"/>
    </row>
    <row r="817" spans="52:52" x14ac:dyDescent="0.2">
      <c r="AZ817" s="4"/>
    </row>
    <row r="818" spans="52:52" x14ac:dyDescent="0.2">
      <c r="AZ818" s="4"/>
    </row>
    <row r="819" spans="52:52" x14ac:dyDescent="0.2">
      <c r="AZ819" s="4"/>
    </row>
    <row r="820" spans="52:52" x14ac:dyDescent="0.2">
      <c r="AZ820" s="4"/>
    </row>
    <row r="821" spans="52:52" x14ac:dyDescent="0.2">
      <c r="AZ821" s="4"/>
    </row>
    <row r="822" spans="52:52" x14ac:dyDescent="0.2">
      <c r="AZ822" s="4"/>
    </row>
    <row r="823" spans="52:52" x14ac:dyDescent="0.2">
      <c r="AZ823" s="4"/>
    </row>
    <row r="824" spans="52:52" x14ac:dyDescent="0.2">
      <c r="AZ824" s="4"/>
    </row>
    <row r="825" spans="52:52" x14ac:dyDescent="0.2">
      <c r="AZ825" s="4"/>
    </row>
    <row r="826" spans="52:52" x14ac:dyDescent="0.2">
      <c r="AZ826" s="4"/>
    </row>
    <row r="827" spans="52:52" x14ac:dyDescent="0.2">
      <c r="AZ827" s="4"/>
    </row>
    <row r="828" spans="52:52" x14ac:dyDescent="0.2">
      <c r="AZ828" s="4"/>
    </row>
    <row r="829" spans="52:52" x14ac:dyDescent="0.2">
      <c r="AZ829" s="4"/>
    </row>
    <row r="830" spans="52:52" x14ac:dyDescent="0.2">
      <c r="AZ830" s="4"/>
    </row>
    <row r="831" spans="52:52" x14ac:dyDescent="0.2">
      <c r="AZ831" s="4"/>
    </row>
    <row r="832" spans="52:52" x14ac:dyDescent="0.2">
      <c r="AZ832" s="4"/>
    </row>
    <row r="833" spans="52:52" x14ac:dyDescent="0.2">
      <c r="AZ833" s="4"/>
    </row>
    <row r="834" spans="52:52" x14ac:dyDescent="0.2">
      <c r="AZ834" s="4"/>
    </row>
    <row r="835" spans="52:52" x14ac:dyDescent="0.2">
      <c r="AZ835" s="4"/>
    </row>
    <row r="836" spans="52:52" x14ac:dyDescent="0.2">
      <c r="AZ836" s="4"/>
    </row>
    <row r="837" spans="52:52" x14ac:dyDescent="0.2">
      <c r="AZ837" s="4"/>
    </row>
    <row r="838" spans="52:52" x14ac:dyDescent="0.2">
      <c r="AZ838" s="4"/>
    </row>
    <row r="839" spans="52:52" x14ac:dyDescent="0.2">
      <c r="AZ839" s="4"/>
    </row>
    <row r="840" spans="52:52" x14ac:dyDescent="0.2">
      <c r="AZ840" s="4"/>
    </row>
    <row r="841" spans="52:52" x14ac:dyDescent="0.2">
      <c r="AZ841" s="4"/>
    </row>
    <row r="842" spans="52:52" x14ac:dyDescent="0.2">
      <c r="AZ842" s="4"/>
    </row>
    <row r="843" spans="52:52" x14ac:dyDescent="0.2">
      <c r="AZ843" s="4"/>
    </row>
    <row r="844" spans="52:52" x14ac:dyDescent="0.2">
      <c r="AZ844" s="4"/>
    </row>
    <row r="845" spans="52:52" x14ac:dyDescent="0.2">
      <c r="AZ845" s="4"/>
    </row>
    <row r="846" spans="52:52" x14ac:dyDescent="0.2">
      <c r="AZ846" s="4"/>
    </row>
    <row r="847" spans="52:52" x14ac:dyDescent="0.2">
      <c r="AZ847" s="4"/>
    </row>
    <row r="848" spans="52:52" x14ac:dyDescent="0.2">
      <c r="AZ848" s="4"/>
    </row>
    <row r="849" spans="52:52" x14ac:dyDescent="0.2">
      <c r="AZ849" s="4"/>
    </row>
    <row r="850" spans="52:52" x14ac:dyDescent="0.2">
      <c r="AZ850" s="4"/>
    </row>
    <row r="851" spans="52:52" x14ac:dyDescent="0.2">
      <c r="AZ851" s="4"/>
    </row>
    <row r="852" spans="52:52" x14ac:dyDescent="0.2">
      <c r="AZ852" s="4"/>
    </row>
    <row r="853" spans="52:52" x14ac:dyDescent="0.2">
      <c r="AZ853" s="4"/>
    </row>
    <row r="854" spans="52:52" x14ac:dyDescent="0.2">
      <c r="AZ854" s="4"/>
    </row>
    <row r="855" spans="52:52" x14ac:dyDescent="0.2">
      <c r="AZ855" s="4"/>
    </row>
    <row r="856" spans="52:52" x14ac:dyDescent="0.2">
      <c r="AZ856" s="4"/>
    </row>
    <row r="857" spans="52:52" x14ac:dyDescent="0.2">
      <c r="AZ857" s="4"/>
    </row>
    <row r="858" spans="52:52" x14ac:dyDescent="0.2">
      <c r="AZ858" s="4"/>
    </row>
    <row r="859" spans="52:52" x14ac:dyDescent="0.2">
      <c r="AZ859" s="4"/>
    </row>
    <row r="860" spans="52:52" x14ac:dyDescent="0.2">
      <c r="AZ860" s="4"/>
    </row>
    <row r="861" spans="52:52" x14ac:dyDescent="0.2">
      <c r="AZ861" s="4"/>
    </row>
    <row r="862" spans="52:52" x14ac:dyDescent="0.2">
      <c r="AZ862" s="4"/>
    </row>
    <row r="863" spans="52:52" x14ac:dyDescent="0.2">
      <c r="AZ863" s="4"/>
    </row>
    <row r="864" spans="52:52" x14ac:dyDescent="0.2">
      <c r="AZ864" s="4"/>
    </row>
    <row r="865" spans="52:52" x14ac:dyDescent="0.2">
      <c r="AZ865" s="4"/>
    </row>
    <row r="866" spans="52:52" x14ac:dyDescent="0.2">
      <c r="AZ866" s="4"/>
    </row>
    <row r="867" spans="52:52" x14ac:dyDescent="0.2">
      <c r="AZ867" s="4"/>
    </row>
    <row r="868" spans="52:52" x14ac:dyDescent="0.2">
      <c r="AZ868" s="4"/>
    </row>
    <row r="869" spans="52:52" x14ac:dyDescent="0.2">
      <c r="AZ869" s="4"/>
    </row>
    <row r="870" spans="52:52" x14ac:dyDescent="0.2">
      <c r="AZ870" s="4"/>
    </row>
    <row r="871" spans="52:52" x14ac:dyDescent="0.2">
      <c r="AZ871" s="4"/>
    </row>
    <row r="872" spans="52:52" x14ac:dyDescent="0.2">
      <c r="AZ872" s="4"/>
    </row>
    <row r="873" spans="52:52" x14ac:dyDescent="0.2">
      <c r="AZ873" s="4"/>
    </row>
    <row r="874" spans="52:52" x14ac:dyDescent="0.2">
      <c r="AZ874" s="4"/>
    </row>
    <row r="875" spans="52:52" x14ac:dyDescent="0.2">
      <c r="AZ875" s="4"/>
    </row>
    <row r="876" spans="52:52" x14ac:dyDescent="0.2">
      <c r="AZ876" s="4"/>
    </row>
    <row r="877" spans="52:52" x14ac:dyDescent="0.2">
      <c r="AZ877" s="4"/>
    </row>
    <row r="878" spans="52:52" x14ac:dyDescent="0.2">
      <c r="AZ878" s="4"/>
    </row>
    <row r="879" spans="52:52" x14ac:dyDescent="0.2">
      <c r="AZ879" s="4"/>
    </row>
    <row r="880" spans="52:52" x14ac:dyDescent="0.2">
      <c r="AZ880" s="4"/>
    </row>
    <row r="881" spans="52:52" x14ac:dyDescent="0.2">
      <c r="AZ881" s="4"/>
    </row>
    <row r="882" spans="52:52" x14ac:dyDescent="0.2">
      <c r="AZ882" s="4"/>
    </row>
    <row r="883" spans="52:52" x14ac:dyDescent="0.2">
      <c r="AZ883" s="4"/>
    </row>
    <row r="884" spans="52:52" x14ac:dyDescent="0.2">
      <c r="AZ884" s="4"/>
    </row>
    <row r="885" spans="52:52" x14ac:dyDescent="0.2">
      <c r="AZ885" s="4"/>
    </row>
    <row r="886" spans="52:52" x14ac:dyDescent="0.2">
      <c r="AZ886" s="4"/>
    </row>
    <row r="887" spans="52:52" x14ac:dyDescent="0.2">
      <c r="AZ887" s="4"/>
    </row>
    <row r="888" spans="52:52" x14ac:dyDescent="0.2">
      <c r="AZ888" s="4"/>
    </row>
    <row r="889" spans="52:52" x14ac:dyDescent="0.2">
      <c r="AZ889" s="4"/>
    </row>
    <row r="890" spans="52:52" x14ac:dyDescent="0.2">
      <c r="AZ890" s="4"/>
    </row>
    <row r="891" spans="52:52" x14ac:dyDescent="0.2">
      <c r="AZ891" s="4"/>
    </row>
    <row r="892" spans="52:52" x14ac:dyDescent="0.2">
      <c r="AZ892" s="4"/>
    </row>
    <row r="893" spans="52:52" x14ac:dyDescent="0.2">
      <c r="AZ893" s="4"/>
    </row>
    <row r="894" spans="52:52" x14ac:dyDescent="0.2">
      <c r="AZ894" s="4"/>
    </row>
    <row r="895" spans="52:52" x14ac:dyDescent="0.2">
      <c r="AZ895" s="4"/>
    </row>
    <row r="896" spans="52:52" x14ac:dyDescent="0.2">
      <c r="AZ896" s="4"/>
    </row>
    <row r="897" spans="52:52" x14ac:dyDescent="0.2">
      <c r="AZ897" s="4"/>
    </row>
    <row r="898" spans="52:52" x14ac:dyDescent="0.2">
      <c r="AZ898" s="4"/>
    </row>
    <row r="899" spans="52:52" x14ac:dyDescent="0.2">
      <c r="AZ899" s="4"/>
    </row>
    <row r="900" spans="52:52" x14ac:dyDescent="0.2">
      <c r="AZ900" s="4"/>
    </row>
    <row r="901" spans="52:52" x14ac:dyDescent="0.2">
      <c r="AZ901" s="4"/>
    </row>
    <row r="902" spans="52:52" x14ac:dyDescent="0.2">
      <c r="AZ902" s="4"/>
    </row>
    <row r="903" spans="52:52" x14ac:dyDescent="0.2">
      <c r="AZ903" s="4"/>
    </row>
    <row r="904" spans="52:52" x14ac:dyDescent="0.2">
      <c r="AZ904" s="4"/>
    </row>
    <row r="905" spans="52:52" x14ac:dyDescent="0.2">
      <c r="AZ905" s="4"/>
    </row>
    <row r="906" spans="52:52" x14ac:dyDescent="0.2">
      <c r="AZ906" s="4"/>
    </row>
    <row r="907" spans="52:52" x14ac:dyDescent="0.2">
      <c r="AZ907" s="4"/>
    </row>
    <row r="908" spans="52:52" x14ac:dyDescent="0.2">
      <c r="AZ908" s="4"/>
    </row>
    <row r="909" spans="52:52" x14ac:dyDescent="0.2">
      <c r="AZ909" s="4"/>
    </row>
    <row r="910" spans="52:52" x14ac:dyDescent="0.2">
      <c r="AZ910" s="4"/>
    </row>
    <row r="911" spans="52:52" x14ac:dyDescent="0.2">
      <c r="AZ911" s="4"/>
    </row>
    <row r="912" spans="52:52" x14ac:dyDescent="0.2">
      <c r="AZ912" s="4"/>
    </row>
    <row r="913" spans="52:52" x14ac:dyDescent="0.2">
      <c r="AZ913" s="4"/>
    </row>
    <row r="914" spans="52:52" x14ac:dyDescent="0.2">
      <c r="AZ914" s="4"/>
    </row>
    <row r="915" spans="52:52" x14ac:dyDescent="0.2">
      <c r="AZ915" s="4"/>
    </row>
    <row r="916" spans="52:52" x14ac:dyDescent="0.2">
      <c r="AZ916" s="4"/>
    </row>
    <row r="917" spans="52:52" x14ac:dyDescent="0.2">
      <c r="AZ917" s="4"/>
    </row>
    <row r="918" spans="52:52" x14ac:dyDescent="0.2">
      <c r="AZ918" s="4"/>
    </row>
    <row r="919" spans="52:52" x14ac:dyDescent="0.2">
      <c r="AZ919" s="4"/>
    </row>
    <row r="920" spans="52:52" x14ac:dyDescent="0.2">
      <c r="AZ920" s="4"/>
    </row>
    <row r="921" spans="52:52" x14ac:dyDescent="0.2">
      <c r="AZ921" s="4"/>
    </row>
    <row r="922" spans="52:52" x14ac:dyDescent="0.2">
      <c r="AZ922" s="4"/>
    </row>
    <row r="923" spans="52:52" x14ac:dyDescent="0.2">
      <c r="AZ923" s="4"/>
    </row>
    <row r="924" spans="52:52" x14ac:dyDescent="0.2">
      <c r="AZ924" s="4"/>
    </row>
    <row r="925" spans="52:52" x14ac:dyDescent="0.2">
      <c r="AZ925" s="4"/>
    </row>
    <row r="926" spans="52:52" x14ac:dyDescent="0.2">
      <c r="AZ926" s="4"/>
    </row>
    <row r="927" spans="52:52" x14ac:dyDescent="0.2">
      <c r="AZ927" s="4"/>
    </row>
    <row r="928" spans="52:52" x14ac:dyDescent="0.2">
      <c r="AZ928" s="4"/>
    </row>
    <row r="929" spans="52:52" x14ac:dyDescent="0.2">
      <c r="AZ929" s="4"/>
    </row>
    <row r="930" spans="52:52" x14ac:dyDescent="0.2">
      <c r="AZ930" s="4"/>
    </row>
    <row r="931" spans="52:52" x14ac:dyDescent="0.2">
      <c r="AZ931" s="4"/>
    </row>
    <row r="932" spans="52:52" x14ac:dyDescent="0.2">
      <c r="AZ932" s="4"/>
    </row>
    <row r="933" spans="52:52" x14ac:dyDescent="0.2">
      <c r="AZ933" s="4"/>
    </row>
    <row r="934" spans="52:52" x14ac:dyDescent="0.2">
      <c r="AZ934" s="4"/>
    </row>
    <row r="935" spans="52:52" x14ac:dyDescent="0.2">
      <c r="AZ935" s="4"/>
    </row>
    <row r="936" spans="52:52" x14ac:dyDescent="0.2">
      <c r="AZ936" s="4"/>
    </row>
    <row r="937" spans="52:52" x14ac:dyDescent="0.2">
      <c r="AZ937" s="4"/>
    </row>
    <row r="938" spans="52:52" x14ac:dyDescent="0.2">
      <c r="AZ938" s="4"/>
    </row>
    <row r="939" spans="52:52" x14ac:dyDescent="0.2">
      <c r="AZ939" s="4"/>
    </row>
    <row r="940" spans="52:52" x14ac:dyDescent="0.2">
      <c r="AZ940" s="4"/>
    </row>
    <row r="941" spans="52:52" x14ac:dyDescent="0.2">
      <c r="AZ941" s="4"/>
    </row>
    <row r="942" spans="52:52" x14ac:dyDescent="0.2">
      <c r="AZ942" s="4"/>
    </row>
    <row r="943" spans="52:52" x14ac:dyDescent="0.2">
      <c r="AZ943" s="4"/>
    </row>
    <row r="944" spans="52:52" x14ac:dyDescent="0.2">
      <c r="AZ944" s="4"/>
    </row>
    <row r="945" spans="52:52" x14ac:dyDescent="0.2">
      <c r="AZ945" s="4"/>
    </row>
    <row r="946" spans="52:52" x14ac:dyDescent="0.2">
      <c r="AZ946" s="4"/>
    </row>
    <row r="947" spans="52:52" x14ac:dyDescent="0.2">
      <c r="AZ947" s="4"/>
    </row>
    <row r="948" spans="52:52" x14ac:dyDescent="0.2">
      <c r="AZ948" s="4"/>
    </row>
    <row r="949" spans="52:52" x14ac:dyDescent="0.2">
      <c r="AZ949" s="4"/>
    </row>
    <row r="950" spans="52:52" x14ac:dyDescent="0.2">
      <c r="AZ950" s="4"/>
    </row>
    <row r="951" spans="52:52" x14ac:dyDescent="0.2">
      <c r="AZ951" s="4"/>
    </row>
    <row r="952" spans="52:52" x14ac:dyDescent="0.2">
      <c r="AZ952" s="4"/>
    </row>
    <row r="953" spans="52:52" x14ac:dyDescent="0.2">
      <c r="AZ953" s="4"/>
    </row>
    <row r="954" spans="52:52" x14ac:dyDescent="0.2">
      <c r="AZ954" s="4"/>
    </row>
    <row r="955" spans="52:52" x14ac:dyDescent="0.2">
      <c r="AZ955" s="4"/>
    </row>
    <row r="956" spans="52:52" x14ac:dyDescent="0.2">
      <c r="AZ956" s="4"/>
    </row>
    <row r="957" spans="52:52" x14ac:dyDescent="0.2">
      <c r="AZ957" s="4"/>
    </row>
    <row r="958" spans="52:52" x14ac:dyDescent="0.2">
      <c r="AZ958" s="4"/>
    </row>
    <row r="959" spans="52:52" x14ac:dyDescent="0.2">
      <c r="AZ959" s="4"/>
    </row>
    <row r="960" spans="52:52" x14ac:dyDescent="0.2">
      <c r="AZ960" s="4"/>
    </row>
    <row r="961" spans="52:52" x14ac:dyDescent="0.2">
      <c r="AZ961" s="4"/>
    </row>
    <row r="962" spans="52:52" x14ac:dyDescent="0.2">
      <c r="AZ962" s="4"/>
    </row>
    <row r="963" spans="52:52" x14ac:dyDescent="0.2">
      <c r="AZ963" s="4"/>
    </row>
    <row r="964" spans="52:52" x14ac:dyDescent="0.2">
      <c r="AZ964" s="4"/>
    </row>
    <row r="965" spans="52:52" x14ac:dyDescent="0.2">
      <c r="AZ965" s="4"/>
    </row>
    <row r="966" spans="52:52" x14ac:dyDescent="0.2">
      <c r="AZ966" s="4"/>
    </row>
    <row r="967" spans="52:52" x14ac:dyDescent="0.2">
      <c r="AZ967" s="4"/>
    </row>
    <row r="968" spans="52:52" x14ac:dyDescent="0.2">
      <c r="AZ968" s="4"/>
    </row>
    <row r="969" spans="52:52" x14ac:dyDescent="0.2">
      <c r="AZ969" s="4"/>
    </row>
    <row r="970" spans="52:52" x14ac:dyDescent="0.2">
      <c r="AZ970" s="4"/>
    </row>
    <row r="971" spans="52:52" x14ac:dyDescent="0.2">
      <c r="AZ971" s="4"/>
    </row>
    <row r="972" spans="52:52" x14ac:dyDescent="0.2">
      <c r="AZ972" s="4"/>
    </row>
    <row r="973" spans="52:52" x14ac:dyDescent="0.2">
      <c r="AZ973" s="4"/>
    </row>
    <row r="974" spans="52:52" x14ac:dyDescent="0.2">
      <c r="AZ974" s="4"/>
    </row>
    <row r="975" spans="52:52" x14ac:dyDescent="0.2">
      <c r="AZ975" s="4"/>
    </row>
    <row r="976" spans="52:52" x14ac:dyDescent="0.2">
      <c r="AZ976" s="4"/>
    </row>
    <row r="977" spans="52:52" x14ac:dyDescent="0.2">
      <c r="AZ977" s="4"/>
    </row>
    <row r="978" spans="52:52" x14ac:dyDescent="0.2">
      <c r="AZ978" s="4"/>
    </row>
    <row r="979" spans="52:52" x14ac:dyDescent="0.2">
      <c r="AZ979" s="4"/>
    </row>
    <row r="980" spans="52:52" x14ac:dyDescent="0.2">
      <c r="AZ980" s="4"/>
    </row>
    <row r="981" spans="52:52" x14ac:dyDescent="0.2">
      <c r="AZ981" s="4"/>
    </row>
    <row r="982" spans="52:52" x14ac:dyDescent="0.2">
      <c r="AZ982" s="4"/>
    </row>
    <row r="983" spans="52:52" x14ac:dyDescent="0.2">
      <c r="AZ983" s="4"/>
    </row>
    <row r="984" spans="52:52" x14ac:dyDescent="0.2">
      <c r="AZ984" s="4"/>
    </row>
    <row r="985" spans="52:52" x14ac:dyDescent="0.2">
      <c r="AZ985" s="4"/>
    </row>
    <row r="986" spans="52:52" x14ac:dyDescent="0.2">
      <c r="AZ986" s="4"/>
    </row>
    <row r="987" spans="52:52" x14ac:dyDescent="0.2">
      <c r="AZ987" s="4"/>
    </row>
    <row r="988" spans="52:52" x14ac:dyDescent="0.2">
      <c r="AZ988" s="4"/>
    </row>
    <row r="989" spans="52:52" x14ac:dyDescent="0.2">
      <c r="AZ989" s="4"/>
    </row>
    <row r="990" spans="52:52" x14ac:dyDescent="0.2">
      <c r="AZ990" s="4"/>
    </row>
    <row r="991" spans="52:52" x14ac:dyDescent="0.2">
      <c r="AZ991" s="4"/>
    </row>
    <row r="992" spans="52:52" x14ac:dyDescent="0.2">
      <c r="AZ992" s="4"/>
    </row>
    <row r="993" spans="52:52" x14ac:dyDescent="0.2">
      <c r="AZ993" s="4"/>
    </row>
    <row r="994" spans="52:52" x14ac:dyDescent="0.2">
      <c r="AZ994" s="4"/>
    </row>
    <row r="995" spans="52:52" x14ac:dyDescent="0.2">
      <c r="AZ995" s="4"/>
    </row>
    <row r="996" spans="52:52" x14ac:dyDescent="0.2">
      <c r="AZ996" s="4"/>
    </row>
    <row r="997" spans="52:52" x14ac:dyDescent="0.2">
      <c r="AZ997" s="4"/>
    </row>
    <row r="998" spans="52:52" x14ac:dyDescent="0.2">
      <c r="AZ998" s="4"/>
    </row>
    <row r="999" spans="52:52" x14ac:dyDescent="0.2">
      <c r="AZ999" s="4"/>
    </row>
    <row r="1000" spans="52:52" x14ac:dyDescent="0.2">
      <c r="AZ1000" s="4"/>
    </row>
    <row r="1001" spans="52:52" x14ac:dyDescent="0.2">
      <c r="AZ1001" s="4"/>
    </row>
    <row r="1002" spans="52:52" x14ac:dyDescent="0.2">
      <c r="AZ1002" s="4"/>
    </row>
    <row r="1003" spans="52:52" x14ac:dyDescent="0.2">
      <c r="AZ1003" s="4"/>
    </row>
    <row r="1004" spans="52:52" x14ac:dyDescent="0.2">
      <c r="AZ1004" s="4"/>
    </row>
    <row r="1005" spans="52:52" x14ac:dyDescent="0.2">
      <c r="AZ1005" s="4"/>
    </row>
    <row r="1006" spans="52:52" x14ac:dyDescent="0.2">
      <c r="AZ1006" s="4"/>
    </row>
    <row r="1007" spans="52:52" x14ac:dyDescent="0.2">
      <c r="AZ1007" s="4"/>
    </row>
    <row r="1008" spans="52:52" x14ac:dyDescent="0.2">
      <c r="AZ1008" s="4"/>
    </row>
    <row r="1009" spans="52:52" x14ac:dyDescent="0.2">
      <c r="AZ1009" s="4"/>
    </row>
    <row r="1010" spans="52:52" x14ac:dyDescent="0.2">
      <c r="AZ1010" s="4"/>
    </row>
    <row r="1011" spans="52:52" x14ac:dyDescent="0.2">
      <c r="AZ1011" s="4"/>
    </row>
    <row r="1012" spans="52:52" x14ac:dyDescent="0.2">
      <c r="AZ1012" s="4"/>
    </row>
  </sheetData>
  <mergeCells count="1">
    <mergeCell ref="C2:D2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8626-AA84-B44D-A9D4-C3CF1C398944}">
  <dimension ref="A13:AB5019"/>
  <sheetViews>
    <sheetView topLeftCell="H1" workbookViewId="0">
      <selection activeCell="P14" sqref="P14"/>
    </sheetView>
  </sheetViews>
  <sheetFormatPr baseColWidth="10" defaultRowHeight="16" x14ac:dyDescent="0.2"/>
  <cols>
    <col min="2" max="2" width="19.33203125" bestFit="1" customWidth="1"/>
    <col min="4" max="4" width="32.5" bestFit="1" customWidth="1"/>
    <col min="5" max="5" width="21.5" bestFit="1" customWidth="1"/>
    <col min="6" max="6" width="14.6640625" bestFit="1" customWidth="1"/>
    <col min="7" max="7" width="26.1640625" bestFit="1" customWidth="1"/>
    <col min="8" max="8" width="16.83203125" bestFit="1" customWidth="1"/>
    <col min="9" max="9" width="20.83203125" bestFit="1" customWidth="1"/>
    <col min="10" max="10" width="27.33203125" bestFit="1" customWidth="1"/>
    <col min="12" max="12" width="12.5" bestFit="1" customWidth="1"/>
    <col min="13" max="13" width="11" bestFit="1" customWidth="1"/>
    <col min="22" max="22" width="16.83203125" bestFit="1" customWidth="1"/>
    <col min="23" max="23" width="20.1640625" bestFit="1" customWidth="1"/>
    <col min="27" max="27" width="19.6640625" bestFit="1" customWidth="1"/>
  </cols>
  <sheetData>
    <row r="13" spans="1:16" ht="17" thickBot="1" x14ac:dyDescent="0.25">
      <c r="B13" s="26" t="s">
        <v>0</v>
      </c>
      <c r="D13" s="26" t="s">
        <v>75</v>
      </c>
      <c r="E13" s="35">
        <v>0.06</v>
      </c>
    </row>
    <row r="14" spans="1:16" ht="17" thickBot="1" x14ac:dyDescent="0.25">
      <c r="A14">
        <v>1</v>
      </c>
      <c r="B14" s="4">
        <f ca="1">'Varity A - Carménère'!BB10</f>
        <v>318639673.79791176</v>
      </c>
      <c r="P14" s="84" t="s">
        <v>137</v>
      </c>
    </row>
    <row r="15" spans="1:16" x14ac:dyDescent="0.2">
      <c r="A15">
        <v>2</v>
      </c>
      <c r="B15" s="4">
        <f ca="1">'Varity A - Carménère'!BB11</f>
        <v>316989481.9014008</v>
      </c>
      <c r="D15" s="26" t="s">
        <v>76</v>
      </c>
      <c r="E15" s="4">
        <f ca="1">NPV(E13,B14:B33)</f>
        <v>3288013967.647954</v>
      </c>
      <c r="G15" s="1"/>
    </row>
    <row r="16" spans="1:16" x14ac:dyDescent="0.2">
      <c r="A16">
        <v>3</v>
      </c>
      <c r="B16" s="4">
        <f ca="1">'Varity A - Carménère'!BB12</f>
        <v>368322684.39219457</v>
      </c>
    </row>
    <row r="17" spans="1:28" x14ac:dyDescent="0.2">
      <c r="A17">
        <v>4</v>
      </c>
      <c r="B17" s="4">
        <f ca="1">'Varity A - Carménère'!BB13</f>
        <v>226510843.23857063</v>
      </c>
      <c r="F17" s="33"/>
    </row>
    <row r="18" spans="1:28" ht="17" thickBot="1" x14ac:dyDescent="0.25">
      <c r="A18">
        <v>5</v>
      </c>
      <c r="B18" s="4">
        <f ca="1">'Varity A - Carménère'!BB14</f>
        <v>364876085.72615319</v>
      </c>
      <c r="D18" s="71" t="s">
        <v>77</v>
      </c>
      <c r="V18" s="63" t="s">
        <v>114</v>
      </c>
      <c r="W18" s="4">
        <f>I20</f>
        <v>3093024911.8689685</v>
      </c>
    </row>
    <row r="19" spans="1:28" x14ac:dyDescent="0.2">
      <c r="A19">
        <v>6</v>
      </c>
      <c r="B19" s="4">
        <f ca="1">'Varity A - Carménère'!BB15</f>
        <v>175168014.87960738</v>
      </c>
      <c r="D19" s="47" t="s">
        <v>78</v>
      </c>
      <c r="E19" s="47" t="s">
        <v>74</v>
      </c>
      <c r="F19" s="72" t="s">
        <v>112</v>
      </c>
      <c r="G19" s="72" t="s">
        <v>126</v>
      </c>
      <c r="H19" s="73" t="s">
        <v>123</v>
      </c>
      <c r="I19" s="73"/>
      <c r="J19" s="47" t="s">
        <v>103</v>
      </c>
      <c r="L19" s="74" t="s">
        <v>110</v>
      </c>
      <c r="M19" s="74" t="s">
        <v>101</v>
      </c>
      <c r="V19" s="63" t="s">
        <v>82</v>
      </c>
      <c r="W19">
        <f>I24</f>
        <v>181248324.92646453</v>
      </c>
      <c r="AB19" s="4"/>
    </row>
    <row r="20" spans="1:28" x14ac:dyDescent="0.2">
      <c r="A20">
        <v>7</v>
      </c>
      <c r="B20" s="4">
        <f ca="1">'Varity A - Carménère'!BB16</f>
        <v>193357837.11142686</v>
      </c>
      <c r="C20" s="58">
        <f ca="1">COUNTIF(E20:E1019,"&lt;1700000000")/1000</f>
        <v>0</v>
      </c>
      <c r="D20" s="34">
        <v>1</v>
      </c>
      <c r="E20" s="36">
        <f ca="1">E15</f>
        <v>3288013967.647954</v>
      </c>
      <c r="F20">
        <f ca="1">IF(E20&lt;1700000000,1,0)</f>
        <v>0</v>
      </c>
      <c r="G20" s="58">
        <f ca="1">SUM(F20:F1019)/1000</f>
        <v>0</v>
      </c>
      <c r="H20" s="1" t="s">
        <v>1</v>
      </c>
      <c r="I20" s="38">
        <v>3093024911.8689685</v>
      </c>
      <c r="J20" s="4">
        <f ca="1">E15-I20</f>
        <v>194989055.7789855</v>
      </c>
      <c r="L20" s="51">
        <v>2430459403.4243736</v>
      </c>
      <c r="M20" s="51">
        <v>0</v>
      </c>
      <c r="V20" s="63" t="s">
        <v>115</v>
      </c>
      <c r="W20">
        <v>1000</v>
      </c>
      <c r="AA20" s="4"/>
    </row>
    <row r="21" spans="1:28" x14ac:dyDescent="0.2">
      <c r="A21">
        <v>8</v>
      </c>
      <c r="B21" s="4">
        <f ca="1">'Varity A - Carménère'!BB17</f>
        <v>295923252.24884349</v>
      </c>
      <c r="D21" s="34">
        <v>2</v>
      </c>
      <c r="E21" s="36">
        <f t="dataTable" ref="E21:E1019" dt2D="0" dtr="0" r1="E19" ca="1"/>
        <v>3323321192.0120125</v>
      </c>
      <c r="F21">
        <f t="shared" ref="F21:F84" si="0">IF(E21&lt;1700000000,1,0)</f>
        <v>0</v>
      </c>
      <c r="H21" t="s">
        <v>79</v>
      </c>
      <c r="I21">
        <v>5731575.2885789843</v>
      </c>
      <c r="L21" s="51">
        <v>2468345807.3229465</v>
      </c>
      <c r="M21" s="51">
        <v>0</v>
      </c>
      <c r="V21" s="63" t="s">
        <v>116</v>
      </c>
      <c r="W21" s="35">
        <v>0.95</v>
      </c>
      <c r="AA21" s="4"/>
    </row>
    <row r="22" spans="1:28" x14ac:dyDescent="0.2">
      <c r="A22">
        <v>9</v>
      </c>
      <c r="B22" s="4">
        <f ca="1">'Varity A - Carménère'!BB18</f>
        <v>305122524.30014741</v>
      </c>
      <c r="D22" s="34">
        <v>3</v>
      </c>
      <c r="E22" s="36">
        <v>3298726643.7049189</v>
      </c>
      <c r="F22">
        <f t="shared" si="0"/>
        <v>0</v>
      </c>
      <c r="H22" t="s">
        <v>80</v>
      </c>
      <c r="I22">
        <v>3094829719.5013852</v>
      </c>
      <c r="L22" s="51">
        <v>2506232211.2215199</v>
      </c>
      <c r="M22" s="51">
        <v>0</v>
      </c>
      <c r="V22" s="63"/>
      <c r="AA22" s="4"/>
    </row>
    <row r="23" spans="1:28" x14ac:dyDescent="0.2">
      <c r="A23">
        <v>10</v>
      </c>
      <c r="B23" s="4">
        <f ca="1">'Varity A - Carménère'!BB19</f>
        <v>232325785.96210808</v>
      </c>
      <c r="D23" s="34">
        <v>4</v>
      </c>
      <c r="E23" s="36">
        <v>3136445039.0572438</v>
      </c>
      <c r="F23">
        <f t="shared" si="0"/>
        <v>0</v>
      </c>
      <c r="H23" t="s">
        <v>81</v>
      </c>
      <c r="I23" t="e">
        <v>#N/A</v>
      </c>
      <c r="L23" s="51">
        <v>2544118615.1200929</v>
      </c>
      <c r="M23" s="51">
        <v>0</v>
      </c>
      <c r="V23" s="47" t="s">
        <v>117</v>
      </c>
      <c r="W23">
        <f>_xlfn.CONFIDENCE.NORM(1-W21,W19,W20)</f>
        <v>11233681.140294574</v>
      </c>
      <c r="AA23" s="4"/>
    </row>
    <row r="24" spans="1:28" x14ac:dyDescent="0.2">
      <c r="A24">
        <v>11</v>
      </c>
      <c r="B24" s="4">
        <f ca="1">'Varity A - Carménère'!BB20</f>
        <v>340029426.27839983</v>
      </c>
      <c r="D24" s="34">
        <v>5</v>
      </c>
      <c r="E24" s="36">
        <v>3283875609.3334417</v>
      </c>
      <c r="F24">
        <f t="shared" si="0"/>
        <v>0</v>
      </c>
      <c r="H24" s="1" t="s">
        <v>82</v>
      </c>
      <c r="I24" s="1">
        <v>181248324.92646453</v>
      </c>
      <c r="L24" s="51">
        <v>2582005019.0186663</v>
      </c>
      <c r="M24" s="51">
        <v>1</v>
      </c>
      <c r="V24" s="63" t="s">
        <v>118</v>
      </c>
      <c r="W24" s="4">
        <f>W18-W23</f>
        <v>3081791230.7286739</v>
      </c>
      <c r="AA24" s="4"/>
    </row>
    <row r="25" spans="1:28" x14ac:dyDescent="0.2">
      <c r="A25">
        <v>12</v>
      </c>
      <c r="B25" s="4">
        <f ca="1">'Varity A - Carménère'!BB21</f>
        <v>191387499.6231057</v>
      </c>
      <c r="D25" s="34">
        <v>6</v>
      </c>
      <c r="E25" s="36">
        <v>3182394841.1576743</v>
      </c>
      <c r="F25">
        <f t="shared" si="0"/>
        <v>0</v>
      </c>
      <c r="H25" t="s">
        <v>83</v>
      </c>
      <c r="I25">
        <v>3.2850955288649268E+16</v>
      </c>
      <c r="L25" s="51">
        <v>2619891422.9172392</v>
      </c>
      <c r="M25" s="51">
        <v>3</v>
      </c>
      <c r="V25" s="63" t="s">
        <v>119</v>
      </c>
      <c r="W25" s="4">
        <f>W18+W23</f>
        <v>3104258593.009263</v>
      </c>
      <c r="AA25" s="4"/>
    </row>
    <row r="26" spans="1:28" x14ac:dyDescent="0.2">
      <c r="A26">
        <v>13</v>
      </c>
      <c r="B26" s="4">
        <f ca="1">'Varity A - Carménère'!BB22</f>
        <v>207888879.53738004</v>
      </c>
      <c r="D26" s="34">
        <v>7</v>
      </c>
      <c r="E26" s="36">
        <v>3362544257.0220265</v>
      </c>
      <c r="F26">
        <f t="shared" si="0"/>
        <v>0</v>
      </c>
      <c r="H26" s="1" t="s">
        <v>84</v>
      </c>
      <c r="I26" s="1">
        <v>-0.12840416935890708</v>
      </c>
      <c r="L26" s="51">
        <v>2657777826.8158121</v>
      </c>
      <c r="M26" s="51">
        <v>4</v>
      </c>
      <c r="V26" s="47" t="s">
        <v>134</v>
      </c>
      <c r="W26" s="4">
        <f>W25-W24</f>
        <v>22467362.280589104</v>
      </c>
      <c r="AA26" s="4"/>
    </row>
    <row r="27" spans="1:28" x14ac:dyDescent="0.2">
      <c r="A27">
        <v>14</v>
      </c>
      <c r="B27" s="4">
        <f ca="1">'Varity A - Carménère'!BB23</f>
        <v>377769255.99061775</v>
      </c>
      <c r="D27" s="34">
        <v>8</v>
      </c>
      <c r="E27" s="36">
        <v>3209244491.8474822</v>
      </c>
      <c r="F27">
        <f t="shared" si="0"/>
        <v>0</v>
      </c>
      <c r="H27" s="1" t="s">
        <v>85</v>
      </c>
      <c r="I27" s="1">
        <v>5.4353263588093739E-2</v>
      </c>
      <c r="L27" s="51">
        <v>2695664230.7143855</v>
      </c>
      <c r="M27" s="51">
        <v>10</v>
      </c>
      <c r="AA27" s="4"/>
    </row>
    <row r="28" spans="1:28" x14ac:dyDescent="0.2">
      <c r="A28">
        <v>15</v>
      </c>
      <c r="B28" s="4">
        <f ca="1">'Varity A - Carménère'!BB24</f>
        <v>372706726.72732389</v>
      </c>
      <c r="D28" s="34">
        <v>9</v>
      </c>
      <c r="E28" s="36">
        <v>3229354719.2669916</v>
      </c>
      <c r="F28">
        <f t="shared" si="0"/>
        <v>0</v>
      </c>
      <c r="H28" s="1" t="s">
        <v>86</v>
      </c>
      <c r="I28" s="38">
        <v>1152926686.659668</v>
      </c>
      <c r="L28" s="51">
        <v>2733550634.6129584</v>
      </c>
      <c r="M28" s="51">
        <v>9</v>
      </c>
      <c r="AA28" s="4"/>
    </row>
    <row r="29" spans="1:28" x14ac:dyDescent="0.2">
      <c r="A29">
        <v>16</v>
      </c>
      <c r="B29" s="4">
        <f ca="1">'Varity A - Carménère'!BB25</f>
        <v>309449854.4454869</v>
      </c>
      <c r="D29" s="34">
        <v>10</v>
      </c>
      <c r="E29" s="36">
        <v>3399455766.6424851</v>
      </c>
      <c r="F29">
        <f t="shared" si="0"/>
        <v>0</v>
      </c>
      <c r="H29" s="1" t="s">
        <v>87</v>
      </c>
      <c r="I29" s="38">
        <v>2521456534.094069</v>
      </c>
      <c r="L29" s="51">
        <v>2771437038.5115318</v>
      </c>
      <c r="M29" s="51">
        <v>16</v>
      </c>
      <c r="AA29" s="4"/>
    </row>
    <row r="30" spans="1:28" x14ac:dyDescent="0.2">
      <c r="A30">
        <v>17</v>
      </c>
      <c r="B30" s="4">
        <f ca="1">'Varity A - Carménère'!BB26</f>
        <v>299890373.91397643</v>
      </c>
      <c r="D30" s="34">
        <v>11</v>
      </c>
      <c r="E30" s="36">
        <v>2977770707.8037019</v>
      </c>
      <c r="F30">
        <f t="shared" si="0"/>
        <v>0</v>
      </c>
      <c r="H30" s="1" t="s">
        <v>88</v>
      </c>
      <c r="I30" s="38">
        <v>3674383220.753737</v>
      </c>
      <c r="L30" s="51">
        <v>2809323442.4101048</v>
      </c>
      <c r="M30" s="51">
        <v>12</v>
      </c>
      <c r="AA30" s="4"/>
    </row>
    <row r="31" spans="1:28" x14ac:dyDescent="0.2">
      <c r="A31">
        <v>18</v>
      </c>
      <c r="B31" s="4">
        <f ca="1">'Varity A - Carménère'!BB27</f>
        <v>217412847.60041654</v>
      </c>
      <c r="D31" s="34">
        <v>12</v>
      </c>
      <c r="E31" s="36">
        <v>3139404972.4047623</v>
      </c>
      <c r="F31">
        <f t="shared" si="0"/>
        <v>0</v>
      </c>
      <c r="H31" t="s">
        <v>89</v>
      </c>
      <c r="I31">
        <v>3093024911868.9683</v>
      </c>
      <c r="L31" s="51">
        <v>2847209846.3086782</v>
      </c>
      <c r="M31" s="51">
        <v>19</v>
      </c>
      <c r="AA31" s="4"/>
    </row>
    <row r="32" spans="1:28" ht="17" thickBot="1" x14ac:dyDescent="0.25">
      <c r="A32">
        <v>19</v>
      </c>
      <c r="B32" s="4">
        <f ca="1">'Varity A - Carménère'!BB28</f>
        <v>387019783.13943321</v>
      </c>
      <c r="D32" s="34">
        <v>13</v>
      </c>
      <c r="E32" s="36">
        <v>2979635236.8639646</v>
      </c>
      <c r="F32">
        <f t="shared" si="0"/>
        <v>0</v>
      </c>
      <c r="H32" s="37" t="s">
        <v>90</v>
      </c>
      <c r="I32" s="37">
        <v>1000</v>
      </c>
      <c r="L32" s="51">
        <v>2885096250.2072511</v>
      </c>
      <c r="M32" s="51">
        <v>30</v>
      </c>
      <c r="AA32" s="4"/>
    </row>
    <row r="33" spans="1:27" ht="17" thickBot="1" x14ac:dyDescent="0.25">
      <c r="A33">
        <v>20</v>
      </c>
      <c r="B33" s="4">
        <f ca="1">'Varity A - Carménère'!BB29</f>
        <v>206260157.92781398</v>
      </c>
      <c r="D33" s="34">
        <v>14</v>
      </c>
      <c r="E33" s="36">
        <v>3175612449.9342813</v>
      </c>
      <c r="F33">
        <f t="shared" si="0"/>
        <v>0</v>
      </c>
      <c r="H33" s="37"/>
      <c r="I33" s="37"/>
      <c r="L33" s="51">
        <v>2922982654.1058245</v>
      </c>
      <c r="M33" s="51">
        <v>33</v>
      </c>
      <c r="AA33" s="4"/>
    </row>
    <row r="34" spans="1:27" x14ac:dyDescent="0.2">
      <c r="D34" s="34">
        <v>15</v>
      </c>
      <c r="E34" s="36">
        <v>3121962343.3342161</v>
      </c>
      <c r="F34">
        <f t="shared" si="0"/>
        <v>0</v>
      </c>
      <c r="L34" s="51">
        <v>2960869058.0043974</v>
      </c>
      <c r="M34" s="51">
        <v>68</v>
      </c>
      <c r="AA34" s="4"/>
    </row>
    <row r="35" spans="1:27" x14ac:dyDescent="0.2">
      <c r="D35" s="34">
        <v>16</v>
      </c>
      <c r="E35" s="36">
        <v>2862867332.3420773</v>
      </c>
      <c r="F35">
        <f t="shared" si="0"/>
        <v>0</v>
      </c>
      <c r="L35" s="51">
        <v>2998755461.9029703</v>
      </c>
      <c r="M35" s="51">
        <v>70</v>
      </c>
      <c r="AA35" s="4"/>
    </row>
    <row r="36" spans="1:27" x14ac:dyDescent="0.2">
      <c r="D36" s="34">
        <v>17</v>
      </c>
      <c r="E36" s="36">
        <v>2858803134.2558508</v>
      </c>
      <c r="F36">
        <f t="shared" si="0"/>
        <v>0</v>
      </c>
      <c r="L36" s="51">
        <v>3036641865.8015437</v>
      </c>
      <c r="M36" s="51">
        <v>73</v>
      </c>
      <c r="AA36" s="4"/>
    </row>
    <row r="37" spans="1:27" x14ac:dyDescent="0.2">
      <c r="D37" s="34">
        <v>18</v>
      </c>
      <c r="E37" s="36">
        <v>3239351097.9351287</v>
      </c>
      <c r="F37">
        <f t="shared" si="0"/>
        <v>0</v>
      </c>
      <c r="L37" s="51">
        <v>3074528269.7001166</v>
      </c>
      <c r="M37" s="51">
        <v>82</v>
      </c>
      <c r="AA37" s="4"/>
    </row>
    <row r="38" spans="1:27" x14ac:dyDescent="0.2">
      <c r="D38" s="34">
        <v>19</v>
      </c>
      <c r="E38" s="36">
        <v>3067659747.8094716</v>
      </c>
      <c r="F38">
        <f t="shared" si="0"/>
        <v>0</v>
      </c>
      <c r="L38" s="51">
        <v>3112414673.59869</v>
      </c>
      <c r="M38" s="51">
        <v>84</v>
      </c>
      <c r="AA38" s="4"/>
    </row>
    <row r="39" spans="1:27" x14ac:dyDescent="0.2">
      <c r="D39" s="34">
        <v>20</v>
      </c>
      <c r="E39" s="36">
        <v>2826228573.7606025</v>
      </c>
      <c r="F39">
        <f t="shared" si="0"/>
        <v>0</v>
      </c>
      <c r="L39" s="51">
        <v>3150301077.497263</v>
      </c>
      <c r="M39" s="51">
        <v>94</v>
      </c>
      <c r="AA39" s="4"/>
    </row>
    <row r="40" spans="1:27" x14ac:dyDescent="0.2">
      <c r="D40" s="34">
        <v>21</v>
      </c>
      <c r="E40" s="36">
        <v>3347360382.2077866</v>
      </c>
      <c r="F40">
        <f t="shared" si="0"/>
        <v>0</v>
      </c>
      <c r="L40" s="51">
        <v>3188187481.3958359</v>
      </c>
      <c r="M40" s="51">
        <v>97</v>
      </c>
      <c r="AA40" s="4"/>
    </row>
    <row r="41" spans="1:27" x14ac:dyDescent="0.2">
      <c r="D41" s="34">
        <v>22</v>
      </c>
      <c r="E41" s="36">
        <v>3181357254.2255769</v>
      </c>
      <c r="F41">
        <f t="shared" si="0"/>
        <v>0</v>
      </c>
      <c r="L41" s="51">
        <v>3226073885.2944093</v>
      </c>
      <c r="M41" s="51">
        <v>57</v>
      </c>
      <c r="AA41" s="4"/>
    </row>
    <row r="42" spans="1:27" x14ac:dyDescent="0.2">
      <c r="D42" s="34">
        <v>23</v>
      </c>
      <c r="E42" s="36">
        <v>3199840933.4703469</v>
      </c>
      <c r="F42">
        <f t="shared" si="0"/>
        <v>0</v>
      </c>
      <c r="L42" s="51">
        <v>3263960289.1929822</v>
      </c>
      <c r="M42" s="51">
        <v>51</v>
      </c>
      <c r="AA42" s="4"/>
    </row>
    <row r="43" spans="1:27" x14ac:dyDescent="0.2">
      <c r="D43" s="34">
        <v>24</v>
      </c>
      <c r="E43" s="36">
        <v>3239621675.6104121</v>
      </c>
      <c r="F43">
        <f t="shared" si="0"/>
        <v>0</v>
      </c>
      <c r="L43" s="51">
        <v>3301846693.0915556</v>
      </c>
      <c r="M43" s="51">
        <v>55</v>
      </c>
      <c r="AA43" s="4"/>
    </row>
    <row r="44" spans="1:27" x14ac:dyDescent="0.2">
      <c r="D44" s="34">
        <v>25</v>
      </c>
      <c r="E44" s="36">
        <v>2934262651.9725804</v>
      </c>
      <c r="F44">
        <f t="shared" si="0"/>
        <v>0</v>
      </c>
      <c r="L44" s="51">
        <v>3339733096.9901285</v>
      </c>
      <c r="M44" s="51">
        <v>44</v>
      </c>
      <c r="AA44" s="4"/>
    </row>
    <row r="45" spans="1:27" x14ac:dyDescent="0.2">
      <c r="D45" s="34">
        <v>26</v>
      </c>
      <c r="E45" s="36">
        <v>3023839651.9572539</v>
      </c>
      <c r="F45">
        <f t="shared" si="0"/>
        <v>0</v>
      </c>
      <c r="L45" s="51">
        <v>3377619500.8887014</v>
      </c>
      <c r="M45" s="51">
        <v>27</v>
      </c>
      <c r="AA45" s="4"/>
    </row>
    <row r="46" spans="1:27" x14ac:dyDescent="0.2">
      <c r="D46" s="34">
        <v>27</v>
      </c>
      <c r="E46" s="36">
        <v>3273969840.8852859</v>
      </c>
      <c r="F46">
        <f t="shared" si="0"/>
        <v>0</v>
      </c>
      <c r="L46" s="51">
        <v>3415505904.7872748</v>
      </c>
      <c r="M46" s="51">
        <v>22</v>
      </c>
      <c r="AA46" s="4"/>
    </row>
    <row r="47" spans="1:27" x14ac:dyDescent="0.2">
      <c r="D47" s="34">
        <v>28</v>
      </c>
      <c r="E47" s="36">
        <v>3120051283.0065413</v>
      </c>
      <c r="F47">
        <f t="shared" si="0"/>
        <v>0</v>
      </c>
      <c r="L47" s="51">
        <v>3453392308.6858482</v>
      </c>
      <c r="M47" s="51">
        <v>10</v>
      </c>
      <c r="AA47" s="4"/>
    </row>
    <row r="48" spans="1:27" x14ac:dyDescent="0.2">
      <c r="D48" s="34">
        <v>29</v>
      </c>
      <c r="E48" s="36">
        <v>2981235523.2533646</v>
      </c>
      <c r="F48">
        <f t="shared" si="0"/>
        <v>0</v>
      </c>
      <c r="L48" s="51">
        <v>3491278712.5844212</v>
      </c>
      <c r="M48" s="51">
        <v>12</v>
      </c>
      <c r="AA48" s="4"/>
    </row>
    <row r="49" spans="4:27" x14ac:dyDescent="0.2">
      <c r="D49" s="34">
        <v>30</v>
      </c>
      <c r="E49" s="36">
        <v>3339865666.4604378</v>
      </c>
      <c r="F49">
        <f t="shared" si="0"/>
        <v>0</v>
      </c>
      <c r="L49" s="51">
        <v>3529165116.4829941</v>
      </c>
      <c r="M49" s="51">
        <v>3</v>
      </c>
      <c r="AA49" s="4"/>
    </row>
    <row r="50" spans="4:27" x14ac:dyDescent="0.2">
      <c r="D50" s="34">
        <v>31</v>
      </c>
      <c r="E50" s="36">
        <v>3315024697.8718543</v>
      </c>
      <c r="F50">
        <f t="shared" si="0"/>
        <v>0</v>
      </c>
      <c r="L50" s="51">
        <v>3567051520.381567</v>
      </c>
      <c r="M50" s="51">
        <v>5</v>
      </c>
      <c r="AA50" s="4"/>
    </row>
    <row r="51" spans="4:27" ht="17" thickBot="1" x14ac:dyDescent="0.25">
      <c r="D51" s="34">
        <v>32</v>
      </c>
      <c r="E51" s="36">
        <v>3141167489.9053245</v>
      </c>
      <c r="F51">
        <f t="shared" si="0"/>
        <v>0</v>
      </c>
      <c r="L51" s="52" t="s">
        <v>100</v>
      </c>
      <c r="M51" s="52">
        <v>9</v>
      </c>
      <c r="AA51" s="4"/>
    </row>
    <row r="52" spans="4:27" x14ac:dyDescent="0.2">
      <c r="D52" s="34">
        <v>33</v>
      </c>
      <c r="E52" s="36">
        <v>3029800126.0502381</v>
      </c>
      <c r="F52">
        <f t="shared" si="0"/>
        <v>0</v>
      </c>
      <c r="AA52" s="4"/>
    </row>
    <row r="53" spans="4:27" x14ac:dyDescent="0.2">
      <c r="D53" s="34">
        <v>34</v>
      </c>
      <c r="E53" s="36">
        <v>3185096589.8392591</v>
      </c>
      <c r="F53">
        <f t="shared" si="0"/>
        <v>0</v>
      </c>
      <c r="AA53" s="4"/>
    </row>
    <row r="54" spans="4:27" x14ac:dyDescent="0.2">
      <c r="D54" s="34">
        <v>35</v>
      </c>
      <c r="E54" s="36">
        <v>2739127534.4180994</v>
      </c>
      <c r="F54">
        <f t="shared" si="0"/>
        <v>0</v>
      </c>
      <c r="AA54" s="4"/>
    </row>
    <row r="55" spans="4:27" x14ac:dyDescent="0.2">
      <c r="D55" s="34">
        <v>36</v>
      </c>
      <c r="E55" s="36">
        <v>2838846451.6783595</v>
      </c>
      <c r="F55">
        <f t="shared" si="0"/>
        <v>0</v>
      </c>
      <c r="AA55" s="4"/>
    </row>
    <row r="56" spans="4:27" x14ac:dyDescent="0.2">
      <c r="D56" s="34">
        <v>37</v>
      </c>
      <c r="E56" s="36">
        <v>3164159575.2679939</v>
      </c>
      <c r="F56">
        <f t="shared" si="0"/>
        <v>0</v>
      </c>
      <c r="AA56" s="4"/>
    </row>
    <row r="57" spans="4:27" x14ac:dyDescent="0.2">
      <c r="D57" s="34">
        <v>38</v>
      </c>
      <c r="E57" s="36">
        <v>2983946582.1799684</v>
      </c>
      <c r="F57">
        <f t="shared" si="0"/>
        <v>0</v>
      </c>
      <c r="AA57" s="4"/>
    </row>
    <row r="58" spans="4:27" x14ac:dyDescent="0.2">
      <c r="D58" s="34">
        <v>39</v>
      </c>
      <c r="E58" s="36">
        <v>3149797662.7911534</v>
      </c>
      <c r="F58">
        <f t="shared" si="0"/>
        <v>0</v>
      </c>
      <c r="AA58" s="4"/>
    </row>
    <row r="59" spans="4:27" x14ac:dyDescent="0.2">
      <c r="D59" s="34">
        <v>40</v>
      </c>
      <c r="E59" s="36">
        <v>3050766856.9358172</v>
      </c>
      <c r="F59">
        <f t="shared" si="0"/>
        <v>0</v>
      </c>
      <c r="AA59" s="4"/>
    </row>
    <row r="60" spans="4:27" x14ac:dyDescent="0.2">
      <c r="D60" s="34">
        <v>41</v>
      </c>
      <c r="E60" s="36">
        <v>2839225862.8827081</v>
      </c>
      <c r="F60">
        <f t="shared" si="0"/>
        <v>0</v>
      </c>
      <c r="AA60" s="4"/>
    </row>
    <row r="61" spans="4:27" x14ac:dyDescent="0.2">
      <c r="D61" s="34">
        <v>42</v>
      </c>
      <c r="E61" s="36">
        <v>3129868446.9715571</v>
      </c>
      <c r="F61">
        <f t="shared" si="0"/>
        <v>0</v>
      </c>
      <c r="AA61" s="4"/>
    </row>
    <row r="62" spans="4:27" x14ac:dyDescent="0.2">
      <c r="D62" s="34">
        <v>43</v>
      </c>
      <c r="E62" s="36">
        <v>3105665594.1239071</v>
      </c>
      <c r="F62">
        <f t="shared" si="0"/>
        <v>0</v>
      </c>
      <c r="AA62" s="4"/>
    </row>
    <row r="63" spans="4:27" x14ac:dyDescent="0.2">
      <c r="D63" s="34">
        <v>44</v>
      </c>
      <c r="E63" s="36">
        <v>3196292310.5002384</v>
      </c>
      <c r="F63">
        <f t="shared" si="0"/>
        <v>0</v>
      </c>
      <c r="AA63" s="4"/>
    </row>
    <row r="64" spans="4:27" x14ac:dyDescent="0.2">
      <c r="D64" s="34">
        <v>45</v>
      </c>
      <c r="E64" s="36">
        <v>3065887593.7183633</v>
      </c>
      <c r="F64">
        <f t="shared" si="0"/>
        <v>0</v>
      </c>
      <c r="AA64" s="4"/>
    </row>
    <row r="65" spans="4:27" x14ac:dyDescent="0.2">
      <c r="D65" s="34">
        <v>46</v>
      </c>
      <c r="E65" s="36">
        <v>2902060964.2044787</v>
      </c>
      <c r="F65">
        <f t="shared" si="0"/>
        <v>0</v>
      </c>
      <c r="AA65" s="4"/>
    </row>
    <row r="66" spans="4:27" x14ac:dyDescent="0.2">
      <c r="D66" s="34">
        <v>47</v>
      </c>
      <c r="E66" s="36">
        <v>3403628595.9676275</v>
      </c>
      <c r="F66">
        <f t="shared" si="0"/>
        <v>0</v>
      </c>
      <c r="AA66" s="4"/>
    </row>
    <row r="67" spans="4:27" x14ac:dyDescent="0.2">
      <c r="D67" s="34">
        <v>48</v>
      </c>
      <c r="E67" s="36">
        <v>3416326130.4286838</v>
      </c>
      <c r="F67">
        <f t="shared" si="0"/>
        <v>0</v>
      </c>
      <c r="AA67" s="4"/>
    </row>
    <row r="68" spans="4:27" x14ac:dyDescent="0.2">
      <c r="D68" s="34">
        <v>49</v>
      </c>
      <c r="E68" s="36">
        <v>3060310164.5844955</v>
      </c>
      <c r="F68">
        <f t="shared" si="0"/>
        <v>0</v>
      </c>
      <c r="AA68" s="4"/>
    </row>
    <row r="69" spans="4:27" x14ac:dyDescent="0.2">
      <c r="D69" s="34">
        <v>50</v>
      </c>
      <c r="E69" s="36">
        <v>3231345850.3647108</v>
      </c>
      <c r="F69">
        <f t="shared" si="0"/>
        <v>0</v>
      </c>
      <c r="AA69" s="4"/>
    </row>
    <row r="70" spans="4:27" x14ac:dyDescent="0.2">
      <c r="D70" s="34">
        <v>51</v>
      </c>
      <c r="E70" s="36">
        <v>3068197995.311552</v>
      </c>
      <c r="F70">
        <f t="shared" si="0"/>
        <v>0</v>
      </c>
      <c r="AA70" s="4"/>
    </row>
    <row r="71" spans="4:27" x14ac:dyDescent="0.2">
      <c r="D71" s="34">
        <v>52</v>
      </c>
      <c r="E71" s="36">
        <v>3017963027.6850324</v>
      </c>
      <c r="F71">
        <f t="shared" si="0"/>
        <v>0</v>
      </c>
      <c r="AA71" s="4"/>
    </row>
    <row r="72" spans="4:27" x14ac:dyDescent="0.2">
      <c r="D72" s="34">
        <v>53</v>
      </c>
      <c r="E72" s="36">
        <v>3445742107.3253317</v>
      </c>
      <c r="F72">
        <f t="shared" si="0"/>
        <v>0</v>
      </c>
      <c r="AA72" s="4"/>
    </row>
    <row r="73" spans="4:27" x14ac:dyDescent="0.2">
      <c r="D73" s="34">
        <v>54</v>
      </c>
      <c r="E73" s="36">
        <v>3144670353.2645788</v>
      </c>
      <c r="F73">
        <f t="shared" si="0"/>
        <v>0</v>
      </c>
      <c r="AA73" s="4"/>
    </row>
    <row r="74" spans="4:27" x14ac:dyDescent="0.2">
      <c r="D74" s="34">
        <v>55</v>
      </c>
      <c r="E74" s="36">
        <v>3070167039.3117018</v>
      </c>
      <c r="F74">
        <f t="shared" si="0"/>
        <v>0</v>
      </c>
      <c r="AA74" s="4"/>
    </row>
    <row r="75" spans="4:27" x14ac:dyDescent="0.2">
      <c r="D75" s="34">
        <v>56</v>
      </c>
      <c r="E75" s="36">
        <v>3009046500.4489503</v>
      </c>
      <c r="F75">
        <f t="shared" si="0"/>
        <v>0</v>
      </c>
      <c r="AA75" s="4"/>
    </row>
    <row r="76" spans="4:27" x14ac:dyDescent="0.2">
      <c r="D76" s="34">
        <v>57</v>
      </c>
      <c r="E76" s="36">
        <v>2986936038.5339966</v>
      </c>
      <c r="F76">
        <f t="shared" si="0"/>
        <v>0</v>
      </c>
      <c r="AA76" s="4"/>
    </row>
    <row r="77" spans="4:27" x14ac:dyDescent="0.2">
      <c r="D77" s="34">
        <v>58</v>
      </c>
      <c r="E77" s="36">
        <v>3463707570.4168434</v>
      </c>
      <c r="F77">
        <f t="shared" si="0"/>
        <v>0</v>
      </c>
      <c r="AA77" s="4"/>
    </row>
    <row r="78" spans="4:27" x14ac:dyDescent="0.2">
      <c r="D78" s="34">
        <v>59</v>
      </c>
      <c r="E78" s="36">
        <v>3003174992.2815146</v>
      </c>
      <c r="F78">
        <f t="shared" si="0"/>
        <v>0</v>
      </c>
      <c r="AA78" s="4"/>
    </row>
    <row r="79" spans="4:27" x14ac:dyDescent="0.2">
      <c r="D79" s="34">
        <v>60</v>
      </c>
      <c r="E79" s="36">
        <v>3189308381.6104021</v>
      </c>
      <c r="F79">
        <f t="shared" si="0"/>
        <v>0</v>
      </c>
      <c r="AA79" s="4"/>
    </row>
    <row r="80" spans="4:27" x14ac:dyDescent="0.2">
      <c r="D80" s="34">
        <v>61</v>
      </c>
      <c r="E80" s="36">
        <v>3100071215.466249</v>
      </c>
      <c r="F80">
        <f t="shared" si="0"/>
        <v>0</v>
      </c>
      <c r="AA80" s="4"/>
    </row>
    <row r="81" spans="4:27" x14ac:dyDescent="0.2">
      <c r="D81" s="34">
        <v>62</v>
      </c>
      <c r="E81" s="36">
        <v>3174450564.4413366</v>
      </c>
      <c r="F81">
        <f t="shared" si="0"/>
        <v>0</v>
      </c>
      <c r="AA81" s="4"/>
    </row>
    <row r="82" spans="4:27" x14ac:dyDescent="0.2">
      <c r="D82" s="34">
        <v>63</v>
      </c>
      <c r="E82" s="36">
        <v>3265180759.363255</v>
      </c>
      <c r="F82">
        <f t="shared" si="0"/>
        <v>0</v>
      </c>
      <c r="AA82" s="4"/>
    </row>
    <row r="83" spans="4:27" x14ac:dyDescent="0.2">
      <c r="D83" s="34">
        <v>64</v>
      </c>
      <c r="E83" s="36">
        <v>3144973573.6753907</v>
      </c>
      <c r="F83">
        <f t="shared" si="0"/>
        <v>0</v>
      </c>
      <c r="AA83" s="4"/>
    </row>
    <row r="84" spans="4:27" x14ac:dyDescent="0.2">
      <c r="D84" s="34">
        <v>65</v>
      </c>
      <c r="E84" s="36">
        <v>3030616950.0494132</v>
      </c>
      <c r="F84">
        <f t="shared" si="0"/>
        <v>0</v>
      </c>
      <c r="AA84" s="4"/>
    </row>
    <row r="85" spans="4:27" x14ac:dyDescent="0.2">
      <c r="D85" s="34">
        <v>66</v>
      </c>
      <c r="E85" s="36">
        <v>3145706410.7707558</v>
      </c>
      <c r="F85">
        <f t="shared" ref="F85:F148" si="1">IF(E85&lt;1700000000,1,0)</f>
        <v>0</v>
      </c>
      <c r="AA85" s="4"/>
    </row>
    <row r="86" spans="4:27" x14ac:dyDescent="0.2">
      <c r="D86" s="34">
        <v>67</v>
      </c>
      <c r="E86" s="36">
        <v>3038536014.2019238</v>
      </c>
      <c r="F86">
        <f t="shared" si="1"/>
        <v>0</v>
      </c>
      <c r="AA86" s="4"/>
    </row>
    <row r="87" spans="4:27" x14ac:dyDescent="0.2">
      <c r="D87" s="34">
        <v>68</v>
      </c>
      <c r="E87" s="36">
        <v>3283449172.5661521</v>
      </c>
      <c r="F87">
        <f t="shared" si="1"/>
        <v>0</v>
      </c>
      <c r="AA87" s="4"/>
    </row>
    <row r="88" spans="4:27" x14ac:dyDescent="0.2">
      <c r="D88" s="34">
        <v>69</v>
      </c>
      <c r="E88" s="36">
        <v>2920265014.6791148</v>
      </c>
      <c r="F88">
        <f t="shared" si="1"/>
        <v>0</v>
      </c>
      <c r="AA88" s="4"/>
    </row>
    <row r="89" spans="4:27" x14ac:dyDescent="0.2">
      <c r="D89" s="34">
        <v>70</v>
      </c>
      <c r="E89" s="36">
        <v>3269193596.9198785</v>
      </c>
      <c r="F89">
        <f t="shared" si="1"/>
        <v>0</v>
      </c>
      <c r="AA89" s="4"/>
    </row>
    <row r="90" spans="4:27" x14ac:dyDescent="0.2">
      <c r="D90" s="34">
        <v>71</v>
      </c>
      <c r="E90" s="36">
        <v>3103798932.9671292</v>
      </c>
      <c r="F90">
        <f t="shared" si="1"/>
        <v>0</v>
      </c>
      <c r="AA90" s="4"/>
    </row>
    <row r="91" spans="4:27" x14ac:dyDescent="0.2">
      <c r="D91" s="34">
        <v>72</v>
      </c>
      <c r="E91" s="36">
        <v>3024033890.598968</v>
      </c>
      <c r="F91">
        <f t="shared" si="1"/>
        <v>0</v>
      </c>
      <c r="AA91" s="4"/>
    </row>
    <row r="92" spans="4:27" x14ac:dyDescent="0.2">
      <c r="D92" s="34">
        <v>73</v>
      </c>
      <c r="E92" s="36">
        <v>3030268359.5311308</v>
      </c>
      <c r="F92">
        <f t="shared" si="1"/>
        <v>0</v>
      </c>
      <c r="AA92" s="4"/>
    </row>
    <row r="93" spans="4:27" x14ac:dyDescent="0.2">
      <c r="D93" s="34">
        <v>74</v>
      </c>
      <c r="E93" s="36">
        <v>2921190504.2880759</v>
      </c>
      <c r="F93">
        <f t="shared" si="1"/>
        <v>0</v>
      </c>
      <c r="AA93" s="4"/>
    </row>
    <row r="94" spans="4:27" x14ac:dyDescent="0.2">
      <c r="D94" s="34">
        <v>75</v>
      </c>
      <c r="E94" s="36">
        <v>3277537498.0229254</v>
      </c>
      <c r="F94">
        <f t="shared" si="1"/>
        <v>0</v>
      </c>
      <c r="AA94" s="4"/>
    </row>
    <row r="95" spans="4:27" x14ac:dyDescent="0.2">
      <c r="D95" s="34">
        <v>76</v>
      </c>
      <c r="E95" s="36">
        <v>2929341885.2482796</v>
      </c>
      <c r="F95">
        <f t="shared" si="1"/>
        <v>0</v>
      </c>
      <c r="AA95" s="4"/>
    </row>
    <row r="96" spans="4:27" x14ac:dyDescent="0.2">
      <c r="D96" s="34">
        <v>77</v>
      </c>
      <c r="E96" s="36">
        <v>3169982375.7918735</v>
      </c>
      <c r="F96">
        <f t="shared" si="1"/>
        <v>0</v>
      </c>
      <c r="AA96" s="4"/>
    </row>
    <row r="97" spans="4:27" x14ac:dyDescent="0.2">
      <c r="D97" s="34">
        <v>78</v>
      </c>
      <c r="E97" s="36">
        <v>3282092479.1659527</v>
      </c>
      <c r="F97">
        <f t="shared" si="1"/>
        <v>0</v>
      </c>
      <c r="AA97" s="4"/>
    </row>
    <row r="98" spans="4:27" x14ac:dyDescent="0.2">
      <c r="D98" s="34">
        <v>79</v>
      </c>
      <c r="E98" s="36">
        <v>3458635502.1467347</v>
      </c>
      <c r="F98">
        <f t="shared" si="1"/>
        <v>0</v>
      </c>
      <c r="AA98" s="4"/>
    </row>
    <row r="99" spans="4:27" x14ac:dyDescent="0.2">
      <c r="D99" s="34">
        <v>80</v>
      </c>
      <c r="E99" s="36">
        <v>2933756681.6406198</v>
      </c>
      <c r="F99">
        <f t="shared" si="1"/>
        <v>0</v>
      </c>
      <c r="AA99" s="4"/>
    </row>
    <row r="100" spans="4:27" x14ac:dyDescent="0.2">
      <c r="D100" s="34">
        <v>81</v>
      </c>
      <c r="E100" s="36">
        <v>3256298829.6829267</v>
      </c>
      <c r="F100">
        <f t="shared" si="1"/>
        <v>0</v>
      </c>
      <c r="AA100" s="4"/>
    </row>
    <row r="101" spans="4:27" x14ac:dyDescent="0.2">
      <c r="D101" s="34">
        <v>82</v>
      </c>
      <c r="E101" s="36">
        <v>3062023110.9925175</v>
      </c>
      <c r="F101">
        <f t="shared" si="1"/>
        <v>0</v>
      </c>
      <c r="AA101" s="4"/>
    </row>
    <row r="102" spans="4:27" x14ac:dyDescent="0.2">
      <c r="D102" s="34">
        <v>83</v>
      </c>
      <c r="E102" s="36">
        <v>2837274046.2106385</v>
      </c>
      <c r="F102">
        <f t="shared" si="1"/>
        <v>0</v>
      </c>
      <c r="AA102" s="4"/>
    </row>
    <row r="103" spans="4:27" x14ac:dyDescent="0.2">
      <c r="D103" s="34">
        <v>84</v>
      </c>
      <c r="E103" s="36">
        <v>2953905130.7365327</v>
      </c>
      <c r="F103">
        <f t="shared" si="1"/>
        <v>0</v>
      </c>
      <c r="AA103" s="4"/>
    </row>
    <row r="104" spans="4:27" x14ac:dyDescent="0.2">
      <c r="D104" s="34">
        <v>85</v>
      </c>
      <c r="E104" s="36">
        <v>3168423659.8891678</v>
      </c>
      <c r="F104">
        <f t="shared" si="1"/>
        <v>0</v>
      </c>
      <c r="AA104" s="4"/>
    </row>
    <row r="105" spans="4:27" x14ac:dyDescent="0.2">
      <c r="D105" s="34">
        <v>86</v>
      </c>
      <c r="E105" s="36">
        <v>3151734824.1990371</v>
      </c>
      <c r="F105">
        <f t="shared" si="1"/>
        <v>0</v>
      </c>
      <c r="AA105" s="4"/>
    </row>
    <row r="106" spans="4:27" x14ac:dyDescent="0.2">
      <c r="D106" s="34">
        <v>87</v>
      </c>
      <c r="E106" s="36">
        <v>3156673088.5005836</v>
      </c>
      <c r="F106">
        <f t="shared" si="1"/>
        <v>0</v>
      </c>
      <c r="AA106" s="4"/>
    </row>
    <row r="107" spans="4:27" x14ac:dyDescent="0.2">
      <c r="D107" s="34">
        <v>88</v>
      </c>
      <c r="E107" s="36">
        <v>3196116464.4924097</v>
      </c>
      <c r="F107">
        <f t="shared" si="1"/>
        <v>0</v>
      </c>
      <c r="AA107" s="4"/>
    </row>
    <row r="108" spans="4:27" x14ac:dyDescent="0.2">
      <c r="D108" s="34">
        <v>89</v>
      </c>
      <c r="E108" s="36">
        <v>3161188274.6648197</v>
      </c>
      <c r="F108">
        <f t="shared" si="1"/>
        <v>0</v>
      </c>
      <c r="AA108" s="4"/>
    </row>
    <row r="109" spans="4:27" x14ac:dyDescent="0.2">
      <c r="D109" s="34">
        <v>90</v>
      </c>
      <c r="E109" s="36">
        <v>3237195199.33354</v>
      </c>
      <c r="F109">
        <f t="shared" si="1"/>
        <v>0</v>
      </c>
      <c r="AA109" s="4"/>
    </row>
    <row r="110" spans="4:27" x14ac:dyDescent="0.2">
      <c r="D110" s="34">
        <v>91</v>
      </c>
      <c r="E110" s="36">
        <v>3178612485.4528437</v>
      </c>
      <c r="F110">
        <f t="shared" si="1"/>
        <v>0</v>
      </c>
      <c r="AA110" s="4"/>
    </row>
    <row r="111" spans="4:27" x14ac:dyDescent="0.2">
      <c r="D111" s="34">
        <v>92</v>
      </c>
      <c r="E111" s="36">
        <v>2806284519.6527662</v>
      </c>
      <c r="F111">
        <f t="shared" si="1"/>
        <v>0</v>
      </c>
      <c r="AA111" s="4"/>
    </row>
    <row r="112" spans="4:27" x14ac:dyDescent="0.2">
      <c r="D112" s="34">
        <v>93</v>
      </c>
      <c r="E112" s="36">
        <v>2834410193.3004746</v>
      </c>
      <c r="F112">
        <f t="shared" si="1"/>
        <v>0</v>
      </c>
      <c r="AA112" s="4"/>
    </row>
    <row r="113" spans="4:27" x14ac:dyDescent="0.2">
      <c r="D113" s="34">
        <v>94</v>
      </c>
      <c r="E113" s="36">
        <v>3341589358.1877513</v>
      </c>
      <c r="F113">
        <f t="shared" si="1"/>
        <v>0</v>
      </c>
      <c r="AA113" s="4"/>
    </row>
    <row r="114" spans="4:27" x14ac:dyDescent="0.2">
      <c r="D114" s="34">
        <v>95</v>
      </c>
      <c r="E114" s="36">
        <v>2927506739.2250109</v>
      </c>
      <c r="F114">
        <f t="shared" si="1"/>
        <v>0</v>
      </c>
      <c r="AA114" s="4"/>
    </row>
    <row r="115" spans="4:27" x14ac:dyDescent="0.2">
      <c r="D115" s="34">
        <v>96</v>
      </c>
      <c r="E115" s="36">
        <v>3239500485.3815842</v>
      </c>
      <c r="F115">
        <f t="shared" si="1"/>
        <v>0</v>
      </c>
      <c r="AA115" s="4"/>
    </row>
    <row r="116" spans="4:27" x14ac:dyDescent="0.2">
      <c r="D116" s="34">
        <v>97</v>
      </c>
      <c r="E116" s="36">
        <v>3049768695.422936</v>
      </c>
      <c r="F116">
        <f t="shared" si="1"/>
        <v>0</v>
      </c>
      <c r="AA116" s="4"/>
    </row>
    <row r="117" spans="4:27" x14ac:dyDescent="0.2">
      <c r="D117" s="34">
        <v>98</v>
      </c>
      <c r="E117" s="36">
        <v>3400267505.192543</v>
      </c>
      <c r="F117">
        <f t="shared" si="1"/>
        <v>0</v>
      </c>
      <c r="AA117" s="4"/>
    </row>
    <row r="118" spans="4:27" x14ac:dyDescent="0.2">
      <c r="D118" s="34">
        <v>99</v>
      </c>
      <c r="E118" s="36">
        <v>3196460194.9319196</v>
      </c>
      <c r="F118">
        <f t="shared" si="1"/>
        <v>0</v>
      </c>
      <c r="AA118" s="4"/>
    </row>
    <row r="119" spans="4:27" x14ac:dyDescent="0.2">
      <c r="D119" s="34">
        <v>100</v>
      </c>
      <c r="E119" s="36">
        <v>3125173003.6655459</v>
      </c>
      <c r="F119">
        <f t="shared" si="1"/>
        <v>0</v>
      </c>
      <c r="AA119" s="4"/>
    </row>
    <row r="120" spans="4:27" x14ac:dyDescent="0.2">
      <c r="D120" s="34">
        <v>101</v>
      </c>
      <c r="E120" s="36">
        <v>2831423103.675416</v>
      </c>
      <c r="F120">
        <f t="shared" si="1"/>
        <v>0</v>
      </c>
      <c r="AA120" s="4"/>
    </row>
    <row r="121" spans="4:27" x14ac:dyDescent="0.2">
      <c r="D121" s="34">
        <v>102</v>
      </c>
      <c r="E121" s="36">
        <v>2857063245.4715576</v>
      </c>
      <c r="F121">
        <f t="shared" si="1"/>
        <v>0</v>
      </c>
      <c r="AA121" s="4"/>
    </row>
    <row r="122" spans="4:27" x14ac:dyDescent="0.2">
      <c r="D122" s="34">
        <v>103</v>
      </c>
      <c r="E122" s="36">
        <v>2999530181.2135181</v>
      </c>
      <c r="F122">
        <f t="shared" si="1"/>
        <v>0</v>
      </c>
      <c r="AA122" s="4"/>
    </row>
    <row r="123" spans="4:27" x14ac:dyDescent="0.2">
      <c r="D123" s="34">
        <v>104</v>
      </c>
      <c r="E123" s="36">
        <v>3371695068.4991212</v>
      </c>
      <c r="F123">
        <f t="shared" si="1"/>
        <v>0</v>
      </c>
      <c r="AA123" s="4"/>
    </row>
    <row r="124" spans="4:27" x14ac:dyDescent="0.2">
      <c r="D124" s="34">
        <v>105</v>
      </c>
      <c r="E124" s="36">
        <v>3190649769.9222388</v>
      </c>
      <c r="F124">
        <f t="shared" si="1"/>
        <v>0</v>
      </c>
      <c r="AA124" s="4"/>
    </row>
    <row r="125" spans="4:27" x14ac:dyDescent="0.2">
      <c r="D125" s="34">
        <v>106</v>
      </c>
      <c r="E125" s="36">
        <v>3052948408.3800149</v>
      </c>
      <c r="F125">
        <f t="shared" si="1"/>
        <v>0</v>
      </c>
      <c r="AA125" s="4"/>
    </row>
    <row r="126" spans="4:27" x14ac:dyDescent="0.2">
      <c r="D126" s="34">
        <v>107</v>
      </c>
      <c r="E126" s="36">
        <v>2978040825.245091</v>
      </c>
      <c r="F126">
        <f t="shared" si="1"/>
        <v>0</v>
      </c>
      <c r="AA126" s="4"/>
    </row>
    <row r="127" spans="4:27" x14ac:dyDescent="0.2">
      <c r="D127" s="34">
        <v>108</v>
      </c>
      <c r="E127" s="36">
        <v>3315954060.1230068</v>
      </c>
      <c r="F127">
        <f t="shared" si="1"/>
        <v>0</v>
      </c>
      <c r="AA127" s="4"/>
    </row>
    <row r="128" spans="4:27" x14ac:dyDescent="0.2">
      <c r="D128" s="34">
        <v>109</v>
      </c>
      <c r="E128" s="36">
        <v>3108829590.4455152</v>
      </c>
      <c r="F128">
        <f t="shared" si="1"/>
        <v>0</v>
      </c>
      <c r="AA128" s="4"/>
    </row>
    <row r="129" spans="4:27" x14ac:dyDescent="0.2">
      <c r="D129" s="34">
        <v>110</v>
      </c>
      <c r="E129" s="36">
        <v>3029515218.6795354</v>
      </c>
      <c r="F129">
        <f t="shared" si="1"/>
        <v>0</v>
      </c>
      <c r="AA129" s="4"/>
    </row>
    <row r="130" spans="4:27" x14ac:dyDescent="0.2">
      <c r="D130" s="34">
        <v>111</v>
      </c>
      <c r="E130" s="36">
        <v>3011161075.2585444</v>
      </c>
      <c r="F130">
        <f t="shared" si="1"/>
        <v>0</v>
      </c>
      <c r="AA130" s="4"/>
    </row>
    <row r="131" spans="4:27" x14ac:dyDescent="0.2">
      <c r="D131" s="34">
        <v>112</v>
      </c>
      <c r="E131" s="36">
        <v>3379040625.3359952</v>
      </c>
      <c r="F131">
        <f t="shared" si="1"/>
        <v>0</v>
      </c>
      <c r="AA131" s="4"/>
    </row>
    <row r="132" spans="4:27" x14ac:dyDescent="0.2">
      <c r="D132" s="34">
        <v>113</v>
      </c>
      <c r="E132" s="36">
        <v>2831186426.3807378</v>
      </c>
      <c r="F132">
        <f t="shared" si="1"/>
        <v>0</v>
      </c>
      <c r="AA132" s="4"/>
    </row>
    <row r="133" spans="4:27" x14ac:dyDescent="0.2">
      <c r="D133" s="34">
        <v>114</v>
      </c>
      <c r="E133" s="36">
        <v>3153333854.8568773</v>
      </c>
      <c r="F133">
        <f t="shared" si="1"/>
        <v>0</v>
      </c>
      <c r="AA133" s="4"/>
    </row>
    <row r="134" spans="4:27" x14ac:dyDescent="0.2">
      <c r="D134" s="34">
        <v>115</v>
      </c>
      <c r="E134" s="36">
        <v>3129301966.243289</v>
      </c>
      <c r="F134">
        <f t="shared" si="1"/>
        <v>0</v>
      </c>
      <c r="AA134" s="4"/>
    </row>
    <row r="135" spans="4:27" x14ac:dyDescent="0.2">
      <c r="D135" s="34">
        <v>116</v>
      </c>
      <c r="E135" s="36">
        <v>3232833193.0095482</v>
      </c>
      <c r="F135">
        <f t="shared" si="1"/>
        <v>0</v>
      </c>
      <c r="AA135" s="4"/>
    </row>
    <row r="136" spans="4:27" x14ac:dyDescent="0.2">
      <c r="D136" s="34">
        <v>117</v>
      </c>
      <c r="E136" s="36">
        <v>2742144891.7126722</v>
      </c>
      <c r="F136">
        <f t="shared" si="1"/>
        <v>0</v>
      </c>
      <c r="AA136" s="4"/>
    </row>
    <row r="137" spans="4:27" x14ac:dyDescent="0.2">
      <c r="D137" s="34">
        <v>118</v>
      </c>
      <c r="E137" s="36">
        <v>3165853195.8369117</v>
      </c>
      <c r="F137">
        <f t="shared" si="1"/>
        <v>0</v>
      </c>
      <c r="AA137" s="4"/>
    </row>
    <row r="138" spans="4:27" x14ac:dyDescent="0.2">
      <c r="D138" s="34">
        <v>119</v>
      </c>
      <c r="E138" s="36">
        <v>3227746861.5275631</v>
      </c>
      <c r="F138">
        <f t="shared" si="1"/>
        <v>0</v>
      </c>
      <c r="AA138" s="4"/>
    </row>
    <row r="139" spans="4:27" x14ac:dyDescent="0.2">
      <c r="D139" s="34">
        <v>120</v>
      </c>
      <c r="E139" s="36">
        <v>3371798397.0883713</v>
      </c>
      <c r="F139">
        <f t="shared" si="1"/>
        <v>0</v>
      </c>
      <c r="AA139" s="4"/>
    </row>
    <row r="140" spans="4:27" x14ac:dyDescent="0.2">
      <c r="D140" s="34">
        <v>121</v>
      </c>
      <c r="E140" s="36">
        <v>2859388744.1529927</v>
      </c>
      <c r="F140">
        <f t="shared" si="1"/>
        <v>0</v>
      </c>
      <c r="AA140" s="4"/>
    </row>
    <row r="141" spans="4:27" x14ac:dyDescent="0.2">
      <c r="D141" s="34">
        <v>122</v>
      </c>
      <c r="E141" s="36">
        <v>3394426022.1478062</v>
      </c>
      <c r="F141">
        <f t="shared" si="1"/>
        <v>0</v>
      </c>
      <c r="AA141" s="4"/>
    </row>
    <row r="142" spans="4:27" x14ac:dyDescent="0.2">
      <c r="D142" s="34">
        <v>123</v>
      </c>
      <c r="E142" s="36">
        <v>2980795719.0380931</v>
      </c>
      <c r="F142">
        <f t="shared" si="1"/>
        <v>0</v>
      </c>
      <c r="AA142" s="4"/>
    </row>
    <row r="143" spans="4:27" x14ac:dyDescent="0.2">
      <c r="D143" s="34">
        <v>124</v>
      </c>
      <c r="E143" s="36">
        <v>2901374387.3154254</v>
      </c>
      <c r="F143">
        <f t="shared" si="1"/>
        <v>0</v>
      </c>
      <c r="AA143" s="4"/>
    </row>
    <row r="144" spans="4:27" x14ac:dyDescent="0.2">
      <c r="D144" s="34">
        <v>125</v>
      </c>
      <c r="E144" s="36">
        <v>2984034031.5128894</v>
      </c>
      <c r="F144">
        <f t="shared" si="1"/>
        <v>0</v>
      </c>
      <c r="AA144" s="4"/>
    </row>
    <row r="145" spans="4:27" x14ac:dyDescent="0.2">
      <c r="D145" s="34">
        <v>126</v>
      </c>
      <c r="E145" s="36">
        <v>3279023602.9508109</v>
      </c>
      <c r="F145">
        <f t="shared" si="1"/>
        <v>0</v>
      </c>
      <c r="AA145" s="4"/>
    </row>
    <row r="146" spans="4:27" x14ac:dyDescent="0.2">
      <c r="D146" s="34">
        <v>127</v>
      </c>
      <c r="E146" s="36">
        <v>3485072014.7772427</v>
      </c>
      <c r="F146">
        <f t="shared" si="1"/>
        <v>0</v>
      </c>
      <c r="AA146" s="4"/>
    </row>
    <row r="147" spans="4:27" x14ac:dyDescent="0.2">
      <c r="D147" s="34">
        <v>128</v>
      </c>
      <c r="E147" s="36">
        <v>3053700493.8148952</v>
      </c>
      <c r="F147">
        <f t="shared" si="1"/>
        <v>0</v>
      </c>
      <c r="AA147" s="4"/>
    </row>
    <row r="148" spans="4:27" x14ac:dyDescent="0.2">
      <c r="D148" s="34">
        <v>129</v>
      </c>
      <c r="E148" s="36">
        <v>3152461323.2034001</v>
      </c>
      <c r="F148">
        <f t="shared" si="1"/>
        <v>0</v>
      </c>
      <c r="AA148" s="4"/>
    </row>
    <row r="149" spans="4:27" x14ac:dyDescent="0.2">
      <c r="D149" s="34">
        <v>130</v>
      </c>
      <c r="E149" s="36">
        <v>3503318018.2993388</v>
      </c>
      <c r="F149">
        <f t="shared" ref="F149:F212" si="2">IF(E149&lt;1700000000,1,0)</f>
        <v>0</v>
      </c>
      <c r="AA149" s="4"/>
    </row>
    <row r="150" spans="4:27" x14ac:dyDescent="0.2">
      <c r="D150" s="34">
        <v>131</v>
      </c>
      <c r="E150" s="36">
        <v>2934583849.9513478</v>
      </c>
      <c r="F150">
        <f t="shared" si="2"/>
        <v>0</v>
      </c>
      <c r="AA150" s="4"/>
    </row>
    <row r="151" spans="4:27" x14ac:dyDescent="0.2">
      <c r="D151" s="34">
        <v>132</v>
      </c>
      <c r="E151" s="36">
        <v>2954341929.5387597</v>
      </c>
      <c r="F151">
        <f t="shared" si="2"/>
        <v>0</v>
      </c>
      <c r="AA151" s="4"/>
    </row>
    <row r="152" spans="4:27" x14ac:dyDescent="0.2">
      <c r="D152" s="34">
        <v>133</v>
      </c>
      <c r="E152" s="36">
        <v>3360786232.4132094</v>
      </c>
      <c r="F152">
        <f t="shared" si="2"/>
        <v>0</v>
      </c>
      <c r="AA152" s="4"/>
    </row>
    <row r="153" spans="4:27" x14ac:dyDescent="0.2">
      <c r="D153" s="34">
        <v>134</v>
      </c>
      <c r="E153" s="36">
        <v>3294420645.0881224</v>
      </c>
      <c r="F153">
        <f t="shared" si="2"/>
        <v>0</v>
      </c>
      <c r="AA153" s="4"/>
    </row>
    <row r="154" spans="4:27" x14ac:dyDescent="0.2">
      <c r="D154" s="34">
        <v>135</v>
      </c>
      <c r="E154" s="36">
        <v>3389258005.1902871</v>
      </c>
      <c r="F154">
        <f t="shared" si="2"/>
        <v>0</v>
      </c>
      <c r="AA154" s="4"/>
    </row>
    <row r="155" spans="4:27" x14ac:dyDescent="0.2">
      <c r="D155" s="34">
        <v>136</v>
      </c>
      <c r="E155" s="36">
        <v>3518883271.8651733</v>
      </c>
      <c r="F155">
        <f t="shared" si="2"/>
        <v>0</v>
      </c>
      <c r="AA155" s="4"/>
    </row>
    <row r="156" spans="4:27" x14ac:dyDescent="0.2">
      <c r="D156" s="34">
        <v>137</v>
      </c>
      <c r="E156" s="36">
        <v>3324693552.6400156</v>
      </c>
      <c r="F156">
        <f t="shared" si="2"/>
        <v>0</v>
      </c>
      <c r="AA156" s="4"/>
    </row>
    <row r="157" spans="4:27" x14ac:dyDescent="0.2">
      <c r="D157" s="34">
        <v>138</v>
      </c>
      <c r="E157" s="36">
        <v>3251886421.5755625</v>
      </c>
      <c r="F157">
        <f t="shared" si="2"/>
        <v>0</v>
      </c>
      <c r="AA157" s="4"/>
    </row>
    <row r="158" spans="4:27" x14ac:dyDescent="0.2">
      <c r="D158" s="34">
        <v>139</v>
      </c>
      <c r="E158" s="36">
        <v>3018512673.3103595</v>
      </c>
      <c r="F158">
        <f t="shared" si="2"/>
        <v>0</v>
      </c>
      <c r="AA158" s="4"/>
    </row>
    <row r="159" spans="4:27" x14ac:dyDescent="0.2">
      <c r="D159" s="34">
        <v>140</v>
      </c>
      <c r="E159" s="36">
        <v>3059444744.1357245</v>
      </c>
      <c r="F159">
        <f t="shared" si="2"/>
        <v>0</v>
      </c>
      <c r="AA159" s="4"/>
    </row>
    <row r="160" spans="4:27" x14ac:dyDescent="0.2">
      <c r="D160" s="34">
        <v>141</v>
      </c>
      <c r="E160" s="36">
        <v>3154804542.6780071</v>
      </c>
      <c r="F160">
        <f t="shared" si="2"/>
        <v>0</v>
      </c>
      <c r="AA160" s="4"/>
    </row>
    <row r="161" spans="4:27" x14ac:dyDescent="0.2">
      <c r="D161" s="34">
        <v>142</v>
      </c>
      <c r="E161" s="36">
        <v>2509990586.8437576</v>
      </c>
      <c r="F161">
        <f t="shared" si="2"/>
        <v>0</v>
      </c>
      <c r="AA161" s="4"/>
    </row>
    <row r="162" spans="4:27" x14ac:dyDescent="0.2">
      <c r="D162" s="34">
        <v>143</v>
      </c>
      <c r="E162" s="36">
        <v>3300134920.1410375</v>
      </c>
      <c r="F162">
        <f t="shared" si="2"/>
        <v>0</v>
      </c>
      <c r="AA162" s="4"/>
    </row>
    <row r="163" spans="4:27" x14ac:dyDescent="0.2">
      <c r="D163" s="34">
        <v>144</v>
      </c>
      <c r="E163" s="36">
        <v>3146617637.4360442</v>
      </c>
      <c r="F163">
        <f t="shared" si="2"/>
        <v>0</v>
      </c>
      <c r="AA163" s="4"/>
    </row>
    <row r="164" spans="4:27" x14ac:dyDescent="0.2">
      <c r="D164" s="34">
        <v>145</v>
      </c>
      <c r="E164" s="36">
        <v>3005928540.0883484</v>
      </c>
      <c r="F164">
        <f t="shared" si="2"/>
        <v>0</v>
      </c>
      <c r="AA164" s="4"/>
    </row>
    <row r="165" spans="4:27" x14ac:dyDescent="0.2">
      <c r="D165" s="34">
        <v>146</v>
      </c>
      <c r="E165" s="36">
        <v>3126350316.7188578</v>
      </c>
      <c r="F165">
        <f t="shared" si="2"/>
        <v>0</v>
      </c>
      <c r="AA165" s="4"/>
    </row>
    <row r="166" spans="4:27" x14ac:dyDescent="0.2">
      <c r="D166" s="34">
        <v>147</v>
      </c>
      <c r="E166" s="36">
        <v>3305852379.7124314</v>
      </c>
      <c r="F166">
        <f t="shared" si="2"/>
        <v>0</v>
      </c>
      <c r="AA166" s="4"/>
    </row>
    <row r="167" spans="4:27" x14ac:dyDescent="0.2">
      <c r="D167" s="34">
        <v>148</v>
      </c>
      <c r="E167" s="36">
        <v>3202258708.3820009</v>
      </c>
      <c r="F167">
        <f t="shared" si="2"/>
        <v>0</v>
      </c>
      <c r="AA167" s="4"/>
    </row>
    <row r="168" spans="4:27" x14ac:dyDescent="0.2">
      <c r="D168" s="34">
        <v>149</v>
      </c>
      <c r="E168" s="36">
        <v>3119336544.5417442</v>
      </c>
      <c r="F168">
        <f t="shared" si="2"/>
        <v>0</v>
      </c>
      <c r="AA168" s="4"/>
    </row>
    <row r="169" spans="4:27" x14ac:dyDescent="0.2">
      <c r="D169" s="34">
        <v>150</v>
      </c>
      <c r="E169" s="36">
        <v>2737896807.6354914</v>
      </c>
      <c r="F169">
        <f t="shared" si="2"/>
        <v>0</v>
      </c>
      <c r="AA169" s="4"/>
    </row>
    <row r="170" spans="4:27" x14ac:dyDescent="0.2">
      <c r="D170" s="34">
        <v>151</v>
      </c>
      <c r="E170" s="36">
        <v>3041870601.86233</v>
      </c>
      <c r="F170">
        <f t="shared" si="2"/>
        <v>0</v>
      </c>
      <c r="AA170" s="4"/>
    </row>
    <row r="171" spans="4:27" x14ac:dyDescent="0.2">
      <c r="D171" s="34">
        <v>152</v>
      </c>
      <c r="E171" s="36">
        <v>2916554178.8279681</v>
      </c>
      <c r="F171">
        <f t="shared" si="2"/>
        <v>0</v>
      </c>
      <c r="AA171" s="4"/>
    </row>
    <row r="172" spans="4:27" x14ac:dyDescent="0.2">
      <c r="D172" s="34">
        <v>153</v>
      </c>
      <c r="E172" s="36">
        <v>3300771811.0958457</v>
      </c>
      <c r="F172">
        <f t="shared" si="2"/>
        <v>0</v>
      </c>
      <c r="AA172" s="4"/>
    </row>
    <row r="173" spans="4:27" x14ac:dyDescent="0.2">
      <c r="D173" s="34">
        <v>154</v>
      </c>
      <c r="E173" s="36">
        <v>3178757083.0556965</v>
      </c>
      <c r="F173">
        <f t="shared" si="2"/>
        <v>0</v>
      </c>
      <c r="AA173" s="4"/>
    </row>
    <row r="174" spans="4:27" x14ac:dyDescent="0.2">
      <c r="D174" s="34">
        <v>155</v>
      </c>
      <c r="E174" s="36">
        <v>2903387887.0272665</v>
      </c>
      <c r="F174">
        <f t="shared" si="2"/>
        <v>0</v>
      </c>
      <c r="AA174" s="4"/>
    </row>
    <row r="175" spans="4:27" x14ac:dyDescent="0.2">
      <c r="D175" s="34">
        <v>156</v>
      </c>
      <c r="E175" s="36">
        <v>2614491268.1950827</v>
      </c>
      <c r="F175">
        <f t="shared" si="2"/>
        <v>0</v>
      </c>
      <c r="AA175" s="4"/>
    </row>
    <row r="176" spans="4:27" x14ac:dyDescent="0.2">
      <c r="D176" s="34">
        <v>157</v>
      </c>
      <c r="E176" s="36">
        <v>3299527099.130188</v>
      </c>
      <c r="F176">
        <f t="shared" si="2"/>
        <v>0</v>
      </c>
      <c r="AA176" s="4"/>
    </row>
    <row r="177" spans="4:27" x14ac:dyDescent="0.2">
      <c r="D177" s="34">
        <v>158</v>
      </c>
      <c r="E177" s="36">
        <v>2794833947.4250827</v>
      </c>
      <c r="F177">
        <f t="shared" si="2"/>
        <v>0</v>
      </c>
      <c r="AA177" s="4"/>
    </row>
    <row r="178" spans="4:27" x14ac:dyDescent="0.2">
      <c r="D178" s="34">
        <v>159</v>
      </c>
      <c r="E178" s="36">
        <v>3166661474.1513104</v>
      </c>
      <c r="F178">
        <f t="shared" si="2"/>
        <v>0</v>
      </c>
      <c r="AA178" s="4"/>
    </row>
    <row r="179" spans="4:27" x14ac:dyDescent="0.2">
      <c r="D179" s="34">
        <v>160</v>
      </c>
      <c r="E179" s="36">
        <v>3413815454.8913727</v>
      </c>
      <c r="F179">
        <f t="shared" si="2"/>
        <v>0</v>
      </c>
      <c r="AA179" s="4"/>
    </row>
    <row r="180" spans="4:27" x14ac:dyDescent="0.2">
      <c r="D180" s="34">
        <v>161</v>
      </c>
      <c r="E180" s="36">
        <v>3091475190.0774255</v>
      </c>
      <c r="F180">
        <f t="shared" si="2"/>
        <v>0</v>
      </c>
      <c r="AA180" s="4"/>
    </row>
    <row r="181" spans="4:27" x14ac:dyDescent="0.2">
      <c r="D181" s="34">
        <v>162</v>
      </c>
      <c r="E181" s="36">
        <v>2739972247.0376906</v>
      </c>
      <c r="F181">
        <f t="shared" si="2"/>
        <v>0</v>
      </c>
      <c r="AA181" s="4"/>
    </row>
    <row r="182" spans="4:27" x14ac:dyDescent="0.2">
      <c r="D182" s="34">
        <v>163</v>
      </c>
      <c r="E182" s="36">
        <v>3068992090.104619</v>
      </c>
      <c r="F182">
        <f t="shared" si="2"/>
        <v>0</v>
      </c>
      <c r="AA182" s="4"/>
    </row>
    <row r="183" spans="4:27" x14ac:dyDescent="0.2">
      <c r="D183" s="34">
        <v>164</v>
      </c>
      <c r="E183" s="36">
        <v>3178010732.8055282</v>
      </c>
      <c r="F183">
        <f t="shared" si="2"/>
        <v>0</v>
      </c>
      <c r="AA183" s="4"/>
    </row>
    <row r="184" spans="4:27" x14ac:dyDescent="0.2">
      <c r="D184" s="34">
        <v>165</v>
      </c>
      <c r="E184" s="36">
        <v>3135459758.8376455</v>
      </c>
      <c r="F184">
        <f t="shared" si="2"/>
        <v>0</v>
      </c>
      <c r="AA184" s="4"/>
    </row>
    <row r="185" spans="4:27" x14ac:dyDescent="0.2">
      <c r="D185" s="34">
        <v>166</v>
      </c>
      <c r="E185" s="36">
        <v>2902295550.6415372</v>
      </c>
      <c r="F185">
        <f t="shared" si="2"/>
        <v>0</v>
      </c>
      <c r="AA185" s="4"/>
    </row>
    <row r="186" spans="4:27" x14ac:dyDescent="0.2">
      <c r="D186" s="34">
        <v>167</v>
      </c>
      <c r="E186" s="36">
        <v>2976878236.1306152</v>
      </c>
      <c r="F186">
        <f t="shared" si="2"/>
        <v>0</v>
      </c>
      <c r="AA186" s="4"/>
    </row>
    <row r="187" spans="4:27" x14ac:dyDescent="0.2">
      <c r="D187" s="34">
        <v>168</v>
      </c>
      <c r="E187" s="36">
        <v>3167160376.2923651</v>
      </c>
      <c r="F187">
        <f t="shared" si="2"/>
        <v>0</v>
      </c>
      <c r="AA187" s="4"/>
    </row>
    <row r="188" spans="4:27" x14ac:dyDescent="0.2">
      <c r="D188" s="34">
        <v>169</v>
      </c>
      <c r="E188" s="36">
        <v>3427363416.6131916</v>
      </c>
      <c r="F188">
        <f t="shared" si="2"/>
        <v>0</v>
      </c>
      <c r="AA188" s="4"/>
    </row>
    <row r="189" spans="4:27" x14ac:dyDescent="0.2">
      <c r="D189" s="34">
        <v>170</v>
      </c>
      <c r="E189" s="36">
        <v>3549051220.0488815</v>
      </c>
      <c r="F189">
        <f t="shared" si="2"/>
        <v>0</v>
      </c>
      <c r="AA189" s="4"/>
    </row>
    <row r="190" spans="4:27" x14ac:dyDescent="0.2">
      <c r="D190" s="34">
        <v>171</v>
      </c>
      <c r="E190" s="36">
        <v>3230860590.5672708</v>
      </c>
      <c r="F190">
        <f t="shared" si="2"/>
        <v>0</v>
      </c>
      <c r="AA190" s="4"/>
    </row>
    <row r="191" spans="4:27" x14ac:dyDescent="0.2">
      <c r="D191" s="34">
        <v>172</v>
      </c>
      <c r="E191" s="36">
        <v>3125426262.5108929</v>
      </c>
      <c r="F191">
        <f t="shared" si="2"/>
        <v>0</v>
      </c>
      <c r="AA191" s="4"/>
    </row>
    <row r="192" spans="4:27" x14ac:dyDescent="0.2">
      <c r="D192" s="34">
        <v>173</v>
      </c>
      <c r="E192" s="36">
        <v>3139543325.075635</v>
      </c>
      <c r="F192">
        <f t="shared" si="2"/>
        <v>0</v>
      </c>
      <c r="AA192" s="4"/>
    </row>
    <row r="193" spans="4:27" x14ac:dyDescent="0.2">
      <c r="D193" s="34">
        <v>174</v>
      </c>
      <c r="E193" s="36">
        <v>3084346192.4102211</v>
      </c>
      <c r="F193">
        <f t="shared" si="2"/>
        <v>0</v>
      </c>
      <c r="AA193" s="4"/>
    </row>
    <row r="194" spans="4:27" x14ac:dyDescent="0.2">
      <c r="D194" s="34">
        <v>175</v>
      </c>
      <c r="E194" s="36">
        <v>3200607816.8350382</v>
      </c>
      <c r="F194">
        <f t="shared" si="2"/>
        <v>0</v>
      </c>
      <c r="AA194" s="4"/>
    </row>
    <row r="195" spans="4:27" x14ac:dyDescent="0.2">
      <c r="D195" s="34">
        <v>176</v>
      </c>
      <c r="E195" s="36">
        <v>3133857135.6554022</v>
      </c>
      <c r="F195">
        <f t="shared" si="2"/>
        <v>0</v>
      </c>
      <c r="AA195" s="4"/>
    </row>
    <row r="196" spans="4:27" x14ac:dyDescent="0.2">
      <c r="D196" s="34">
        <v>177</v>
      </c>
      <c r="E196" s="36">
        <v>2965832021.2967629</v>
      </c>
      <c r="F196">
        <f t="shared" si="2"/>
        <v>0</v>
      </c>
      <c r="AA196" s="4"/>
    </row>
    <row r="197" spans="4:27" x14ac:dyDescent="0.2">
      <c r="D197" s="34">
        <v>178</v>
      </c>
      <c r="E197" s="36">
        <v>3243723474.2613263</v>
      </c>
      <c r="F197">
        <f t="shared" si="2"/>
        <v>0</v>
      </c>
      <c r="AA197" s="4"/>
    </row>
    <row r="198" spans="4:27" x14ac:dyDescent="0.2">
      <c r="D198" s="34">
        <v>179</v>
      </c>
      <c r="E198" s="36">
        <v>3299080789.0915246</v>
      </c>
      <c r="F198">
        <f t="shared" si="2"/>
        <v>0</v>
      </c>
      <c r="AA198" s="4"/>
    </row>
    <row r="199" spans="4:27" x14ac:dyDescent="0.2">
      <c r="D199" s="34">
        <v>180</v>
      </c>
      <c r="E199" s="36">
        <v>2867440426.100368</v>
      </c>
      <c r="F199">
        <f t="shared" si="2"/>
        <v>0</v>
      </c>
      <c r="AA199" s="4"/>
    </row>
    <row r="200" spans="4:27" x14ac:dyDescent="0.2">
      <c r="D200" s="34">
        <v>181</v>
      </c>
      <c r="E200" s="36">
        <v>3019612358.5222082</v>
      </c>
      <c r="F200">
        <f t="shared" si="2"/>
        <v>0</v>
      </c>
      <c r="AA200" s="4"/>
    </row>
    <row r="201" spans="4:27" x14ac:dyDescent="0.2">
      <c r="D201" s="34">
        <v>182</v>
      </c>
      <c r="E201" s="36">
        <v>2821534876.8151011</v>
      </c>
      <c r="F201">
        <f t="shared" si="2"/>
        <v>0</v>
      </c>
      <c r="AA201" s="4"/>
    </row>
    <row r="202" spans="4:27" x14ac:dyDescent="0.2">
      <c r="D202" s="34">
        <v>183</v>
      </c>
      <c r="E202" s="36">
        <v>3373517774.2711577</v>
      </c>
      <c r="F202">
        <f t="shared" si="2"/>
        <v>0</v>
      </c>
      <c r="AA202" s="4"/>
    </row>
    <row r="203" spans="4:27" x14ac:dyDescent="0.2">
      <c r="D203" s="34">
        <v>184</v>
      </c>
      <c r="E203" s="36">
        <v>2877356109.0513749</v>
      </c>
      <c r="F203">
        <f t="shared" si="2"/>
        <v>0</v>
      </c>
      <c r="AA203" s="4"/>
    </row>
    <row r="204" spans="4:27" x14ac:dyDescent="0.2">
      <c r="D204" s="34">
        <v>185</v>
      </c>
      <c r="E204" s="36">
        <v>3019147528.9356828</v>
      </c>
      <c r="F204">
        <f t="shared" si="2"/>
        <v>0</v>
      </c>
      <c r="AA204" s="4"/>
    </row>
    <row r="205" spans="4:27" x14ac:dyDescent="0.2">
      <c r="D205" s="34">
        <v>186</v>
      </c>
      <c r="E205" s="36">
        <v>3173310585.2471519</v>
      </c>
      <c r="F205">
        <f t="shared" si="2"/>
        <v>0</v>
      </c>
      <c r="AA205" s="4"/>
    </row>
    <row r="206" spans="4:27" x14ac:dyDescent="0.2">
      <c r="D206" s="34">
        <v>187</v>
      </c>
      <c r="E206" s="36">
        <v>2962556225.4183431</v>
      </c>
      <c r="F206">
        <f t="shared" si="2"/>
        <v>0</v>
      </c>
      <c r="AA206" s="4"/>
    </row>
    <row r="207" spans="4:27" x14ac:dyDescent="0.2">
      <c r="D207" s="34">
        <v>188</v>
      </c>
      <c r="E207" s="36">
        <v>3018616427.5865974</v>
      </c>
      <c r="F207">
        <f t="shared" si="2"/>
        <v>0</v>
      </c>
      <c r="AA207" s="4"/>
    </row>
    <row r="208" spans="4:27" x14ac:dyDescent="0.2">
      <c r="D208" s="34">
        <v>189</v>
      </c>
      <c r="E208" s="36">
        <v>3104471466.9057951</v>
      </c>
      <c r="F208">
        <f t="shared" si="2"/>
        <v>0</v>
      </c>
      <c r="AA208" s="4"/>
    </row>
    <row r="209" spans="4:27" x14ac:dyDescent="0.2">
      <c r="D209" s="34">
        <v>190</v>
      </c>
      <c r="E209" s="36">
        <v>2973333086.3107581</v>
      </c>
      <c r="F209">
        <f t="shared" si="2"/>
        <v>0</v>
      </c>
      <c r="AA209" s="4"/>
    </row>
    <row r="210" spans="4:27" x14ac:dyDescent="0.2">
      <c r="D210" s="34">
        <v>191</v>
      </c>
      <c r="E210" s="36">
        <v>3165752851.7023039</v>
      </c>
      <c r="F210">
        <f t="shared" si="2"/>
        <v>0</v>
      </c>
      <c r="AA210" s="4"/>
    </row>
    <row r="211" spans="4:27" x14ac:dyDescent="0.2">
      <c r="D211" s="34">
        <v>192</v>
      </c>
      <c r="E211" s="36">
        <v>3596537896.8648458</v>
      </c>
      <c r="F211">
        <f t="shared" si="2"/>
        <v>0</v>
      </c>
      <c r="AA211" s="4"/>
    </row>
    <row r="212" spans="4:27" x14ac:dyDescent="0.2">
      <c r="D212" s="34">
        <v>193</v>
      </c>
      <c r="E212" s="36">
        <v>3204422628.8228569</v>
      </c>
      <c r="F212">
        <f t="shared" si="2"/>
        <v>0</v>
      </c>
      <c r="AA212" s="4"/>
    </row>
    <row r="213" spans="4:27" x14ac:dyDescent="0.2">
      <c r="D213" s="34">
        <v>194</v>
      </c>
      <c r="E213" s="36">
        <v>2970687190.1390414</v>
      </c>
      <c r="F213">
        <f t="shared" ref="F213:F276" si="3">IF(E213&lt;1700000000,1,0)</f>
        <v>0</v>
      </c>
      <c r="AA213" s="4"/>
    </row>
    <row r="214" spans="4:27" x14ac:dyDescent="0.2">
      <c r="D214" s="34">
        <v>195</v>
      </c>
      <c r="E214" s="36">
        <v>2893945000.8501048</v>
      </c>
      <c r="F214">
        <f t="shared" si="3"/>
        <v>0</v>
      </c>
      <c r="AA214" s="4"/>
    </row>
    <row r="215" spans="4:27" x14ac:dyDescent="0.2">
      <c r="D215" s="34">
        <v>196</v>
      </c>
      <c r="E215" s="36">
        <v>3117981696.9928617</v>
      </c>
      <c r="F215">
        <f t="shared" si="3"/>
        <v>0</v>
      </c>
      <c r="AA215" s="4"/>
    </row>
    <row r="216" spans="4:27" x14ac:dyDescent="0.2">
      <c r="D216" s="34">
        <v>197</v>
      </c>
      <c r="E216" s="36">
        <v>2926458691.1276798</v>
      </c>
      <c r="F216">
        <f t="shared" si="3"/>
        <v>0</v>
      </c>
      <c r="AA216" s="4"/>
    </row>
    <row r="217" spans="4:27" x14ac:dyDescent="0.2">
      <c r="D217" s="34">
        <v>198</v>
      </c>
      <c r="E217" s="36">
        <v>3367971590.3743582</v>
      </c>
      <c r="F217">
        <f t="shared" si="3"/>
        <v>0</v>
      </c>
      <c r="AA217" s="4"/>
    </row>
    <row r="218" spans="4:27" x14ac:dyDescent="0.2">
      <c r="D218" s="34">
        <v>199</v>
      </c>
      <c r="E218" s="36">
        <v>3018092937.0120931</v>
      </c>
      <c r="F218">
        <f t="shared" si="3"/>
        <v>0</v>
      </c>
      <c r="AA218" s="4"/>
    </row>
    <row r="219" spans="4:27" x14ac:dyDescent="0.2">
      <c r="D219" s="34">
        <v>200</v>
      </c>
      <c r="E219" s="36">
        <v>3072283963.8785062</v>
      </c>
      <c r="F219">
        <f t="shared" si="3"/>
        <v>0</v>
      </c>
      <c r="AA219" s="4"/>
    </row>
    <row r="220" spans="4:27" x14ac:dyDescent="0.2">
      <c r="D220" s="34">
        <v>201</v>
      </c>
      <c r="E220" s="36">
        <v>3238791170.2817874</v>
      </c>
      <c r="F220">
        <f t="shared" si="3"/>
        <v>0</v>
      </c>
      <c r="AA220" s="4"/>
    </row>
    <row r="221" spans="4:27" x14ac:dyDescent="0.2">
      <c r="D221" s="34">
        <v>202</v>
      </c>
      <c r="E221" s="36">
        <v>3230667740.8508306</v>
      </c>
      <c r="F221">
        <f t="shared" si="3"/>
        <v>0</v>
      </c>
      <c r="AA221" s="4"/>
    </row>
    <row r="222" spans="4:27" x14ac:dyDescent="0.2">
      <c r="D222" s="34">
        <v>203</v>
      </c>
      <c r="E222" s="36">
        <v>3030500775.2434735</v>
      </c>
      <c r="F222">
        <f t="shared" si="3"/>
        <v>0</v>
      </c>
      <c r="AA222" s="4"/>
    </row>
    <row r="223" spans="4:27" x14ac:dyDescent="0.2">
      <c r="D223" s="34">
        <v>204</v>
      </c>
      <c r="E223" s="36">
        <v>3138025138.3153639</v>
      </c>
      <c r="F223">
        <f t="shared" si="3"/>
        <v>0</v>
      </c>
      <c r="AA223" s="4"/>
    </row>
    <row r="224" spans="4:27" x14ac:dyDescent="0.2">
      <c r="D224" s="34">
        <v>205</v>
      </c>
      <c r="E224" s="36">
        <v>2753644944.5275164</v>
      </c>
      <c r="F224">
        <f t="shared" si="3"/>
        <v>0</v>
      </c>
      <c r="AA224" s="4"/>
    </row>
    <row r="225" spans="4:27" x14ac:dyDescent="0.2">
      <c r="D225" s="34">
        <v>206</v>
      </c>
      <c r="E225" s="36">
        <v>3012100997.0690508</v>
      </c>
      <c r="F225">
        <f t="shared" si="3"/>
        <v>0</v>
      </c>
      <c r="AA225" s="4"/>
    </row>
    <row r="226" spans="4:27" x14ac:dyDescent="0.2">
      <c r="D226" s="34">
        <v>207</v>
      </c>
      <c r="E226" s="36">
        <v>3013527913.3637667</v>
      </c>
      <c r="F226">
        <f t="shared" si="3"/>
        <v>0</v>
      </c>
      <c r="AA226" s="4"/>
    </row>
    <row r="227" spans="4:27" x14ac:dyDescent="0.2">
      <c r="D227" s="34">
        <v>208</v>
      </c>
      <c r="E227" s="36">
        <v>2926121540.1904278</v>
      </c>
      <c r="F227">
        <f t="shared" si="3"/>
        <v>0</v>
      </c>
      <c r="AA227" s="4"/>
    </row>
    <row r="228" spans="4:27" x14ac:dyDescent="0.2">
      <c r="D228" s="34">
        <v>209</v>
      </c>
      <c r="E228" s="36">
        <v>2591029724.622541</v>
      </c>
      <c r="F228">
        <f t="shared" si="3"/>
        <v>0</v>
      </c>
      <c r="AA228" s="4"/>
    </row>
    <row r="229" spans="4:27" x14ac:dyDescent="0.2">
      <c r="D229" s="34">
        <v>210</v>
      </c>
      <c r="E229" s="36">
        <v>3446481113.4846277</v>
      </c>
      <c r="F229">
        <f t="shared" si="3"/>
        <v>0</v>
      </c>
      <c r="AA229" s="4"/>
    </row>
    <row r="230" spans="4:27" x14ac:dyDescent="0.2">
      <c r="D230" s="34">
        <v>211</v>
      </c>
      <c r="E230" s="36">
        <v>3172644614.7162099</v>
      </c>
      <c r="F230">
        <f t="shared" si="3"/>
        <v>0</v>
      </c>
      <c r="AA230" s="4"/>
    </row>
    <row r="231" spans="4:27" x14ac:dyDescent="0.2">
      <c r="D231" s="34">
        <v>212</v>
      </c>
      <c r="E231" s="36">
        <v>2988781871.1651478</v>
      </c>
      <c r="F231">
        <f t="shared" si="3"/>
        <v>0</v>
      </c>
      <c r="AA231" s="4"/>
    </row>
    <row r="232" spans="4:27" x14ac:dyDescent="0.2">
      <c r="D232" s="34">
        <v>213</v>
      </c>
      <c r="E232" s="36">
        <v>2942054987.8126354</v>
      </c>
      <c r="F232">
        <f t="shared" si="3"/>
        <v>0</v>
      </c>
      <c r="AA232" s="4"/>
    </row>
    <row r="233" spans="4:27" x14ac:dyDescent="0.2">
      <c r="D233" s="34">
        <v>214</v>
      </c>
      <c r="E233" s="36">
        <v>2909849369.9714541</v>
      </c>
      <c r="F233">
        <f t="shared" si="3"/>
        <v>0</v>
      </c>
      <c r="AA233" s="4"/>
    </row>
    <row r="234" spans="4:27" x14ac:dyDescent="0.2">
      <c r="D234" s="34">
        <v>215</v>
      </c>
      <c r="E234" s="36">
        <v>3122167119.1294427</v>
      </c>
      <c r="F234">
        <f t="shared" si="3"/>
        <v>0</v>
      </c>
      <c r="AA234" s="4"/>
    </row>
    <row r="235" spans="4:27" x14ac:dyDescent="0.2">
      <c r="D235" s="34">
        <v>216</v>
      </c>
      <c r="E235" s="36">
        <v>2915154591.4326134</v>
      </c>
      <c r="F235">
        <f t="shared" si="3"/>
        <v>0</v>
      </c>
      <c r="AA235" s="4"/>
    </row>
    <row r="236" spans="4:27" x14ac:dyDescent="0.2">
      <c r="D236" s="34">
        <v>217</v>
      </c>
      <c r="E236" s="36">
        <v>3476545716.3844261</v>
      </c>
      <c r="F236">
        <f t="shared" si="3"/>
        <v>0</v>
      </c>
      <c r="AA236" s="4"/>
    </row>
    <row r="237" spans="4:27" x14ac:dyDescent="0.2">
      <c r="D237" s="34">
        <v>218</v>
      </c>
      <c r="E237" s="36">
        <v>3242187543.8156643</v>
      </c>
      <c r="F237">
        <f t="shared" si="3"/>
        <v>0</v>
      </c>
      <c r="AA237" s="4"/>
    </row>
    <row r="238" spans="4:27" x14ac:dyDescent="0.2">
      <c r="D238" s="34">
        <v>219</v>
      </c>
      <c r="E238" s="36">
        <v>3350174486.5163593</v>
      </c>
      <c r="F238">
        <f t="shared" si="3"/>
        <v>0</v>
      </c>
      <c r="AA238" s="4"/>
    </row>
    <row r="239" spans="4:27" x14ac:dyDescent="0.2">
      <c r="D239" s="34">
        <v>220</v>
      </c>
      <c r="E239" s="36">
        <v>3322052094.3477635</v>
      </c>
      <c r="F239">
        <f t="shared" si="3"/>
        <v>0</v>
      </c>
      <c r="AA239" s="4"/>
    </row>
    <row r="240" spans="4:27" x14ac:dyDescent="0.2">
      <c r="D240" s="34">
        <v>221</v>
      </c>
      <c r="E240" s="36">
        <v>3439663695.799655</v>
      </c>
      <c r="F240">
        <f t="shared" si="3"/>
        <v>0</v>
      </c>
      <c r="AA240" s="4"/>
    </row>
    <row r="241" spans="4:27" x14ac:dyDescent="0.2">
      <c r="D241" s="34">
        <v>222</v>
      </c>
      <c r="E241" s="36">
        <v>3208741142.0155153</v>
      </c>
      <c r="F241">
        <f t="shared" si="3"/>
        <v>0</v>
      </c>
      <c r="AA241" s="4"/>
    </row>
    <row r="242" spans="4:27" x14ac:dyDescent="0.2">
      <c r="D242" s="34">
        <v>223</v>
      </c>
      <c r="E242" s="36">
        <v>3164177111.1436362</v>
      </c>
      <c r="F242">
        <f t="shared" si="3"/>
        <v>0</v>
      </c>
      <c r="AA242" s="4"/>
    </row>
    <row r="243" spans="4:27" x14ac:dyDescent="0.2">
      <c r="D243" s="34">
        <v>224</v>
      </c>
      <c r="E243" s="36">
        <v>3309007916.7879415</v>
      </c>
      <c r="F243">
        <f t="shared" si="3"/>
        <v>0</v>
      </c>
      <c r="AA243" s="4"/>
    </row>
    <row r="244" spans="4:27" x14ac:dyDescent="0.2">
      <c r="D244" s="34">
        <v>225</v>
      </c>
      <c r="E244" s="36">
        <v>3183528352.6939549</v>
      </c>
      <c r="F244">
        <f t="shared" si="3"/>
        <v>0</v>
      </c>
      <c r="AA244" s="4"/>
    </row>
    <row r="245" spans="4:27" x14ac:dyDescent="0.2">
      <c r="D245" s="34">
        <v>226</v>
      </c>
      <c r="E245" s="36">
        <v>3296739718.0228648</v>
      </c>
      <c r="F245">
        <f t="shared" si="3"/>
        <v>0</v>
      </c>
      <c r="AA245" s="4"/>
    </row>
    <row r="246" spans="4:27" x14ac:dyDescent="0.2">
      <c r="D246" s="34">
        <v>227</v>
      </c>
      <c r="E246" s="36">
        <v>3009945233.5143118</v>
      </c>
      <c r="F246">
        <f t="shared" si="3"/>
        <v>0</v>
      </c>
      <c r="AA246" s="4"/>
    </row>
    <row r="247" spans="4:27" x14ac:dyDescent="0.2">
      <c r="D247" s="34">
        <v>228</v>
      </c>
      <c r="E247" s="36">
        <v>2935074644.1257844</v>
      </c>
      <c r="F247">
        <f t="shared" si="3"/>
        <v>0</v>
      </c>
      <c r="AA247" s="4"/>
    </row>
    <row r="248" spans="4:27" x14ac:dyDescent="0.2">
      <c r="D248" s="34">
        <v>229</v>
      </c>
      <c r="E248" s="36">
        <v>2893775465.6860476</v>
      </c>
      <c r="F248">
        <f t="shared" si="3"/>
        <v>0</v>
      </c>
      <c r="AA248" s="4"/>
    </row>
    <row r="249" spans="4:27" x14ac:dyDescent="0.2">
      <c r="D249" s="34">
        <v>230</v>
      </c>
      <c r="E249" s="36">
        <v>3314113946.3755054</v>
      </c>
      <c r="F249">
        <f t="shared" si="3"/>
        <v>0</v>
      </c>
      <c r="AA249" s="4"/>
    </row>
    <row r="250" spans="4:27" x14ac:dyDescent="0.2">
      <c r="D250" s="34">
        <v>231</v>
      </c>
      <c r="E250" s="36">
        <v>2875801784.5714612</v>
      </c>
      <c r="F250">
        <f t="shared" si="3"/>
        <v>0</v>
      </c>
      <c r="AA250" s="4"/>
    </row>
    <row r="251" spans="4:27" x14ac:dyDescent="0.2">
      <c r="D251" s="34">
        <v>232</v>
      </c>
      <c r="E251" s="36">
        <v>2955046323.7431674</v>
      </c>
      <c r="F251">
        <f t="shared" si="3"/>
        <v>0</v>
      </c>
      <c r="AA251" s="4"/>
    </row>
    <row r="252" spans="4:27" x14ac:dyDescent="0.2">
      <c r="D252" s="34">
        <v>233</v>
      </c>
      <c r="E252" s="36">
        <v>3279449847.5917883</v>
      </c>
      <c r="F252">
        <f t="shared" si="3"/>
        <v>0</v>
      </c>
      <c r="AA252" s="4"/>
    </row>
    <row r="253" spans="4:27" x14ac:dyDescent="0.2">
      <c r="D253" s="34">
        <v>234</v>
      </c>
      <c r="E253" s="36">
        <v>3080040714.8512554</v>
      </c>
      <c r="F253">
        <f t="shared" si="3"/>
        <v>0</v>
      </c>
      <c r="AA253" s="4"/>
    </row>
    <row r="254" spans="4:27" x14ac:dyDescent="0.2">
      <c r="D254" s="34">
        <v>235</v>
      </c>
      <c r="E254" s="36">
        <v>2973012120.0998635</v>
      </c>
      <c r="F254">
        <f t="shared" si="3"/>
        <v>0</v>
      </c>
      <c r="AA254" s="4"/>
    </row>
    <row r="255" spans="4:27" x14ac:dyDescent="0.2">
      <c r="D255" s="34">
        <v>236</v>
      </c>
      <c r="E255" s="36">
        <v>2908969709.068603</v>
      </c>
      <c r="F255">
        <f t="shared" si="3"/>
        <v>0</v>
      </c>
      <c r="AA255" s="4"/>
    </row>
    <row r="256" spans="4:27" x14ac:dyDescent="0.2">
      <c r="D256" s="34">
        <v>237</v>
      </c>
      <c r="E256" s="36">
        <v>3236821947.1982093</v>
      </c>
      <c r="F256">
        <f t="shared" si="3"/>
        <v>0</v>
      </c>
      <c r="AA256" s="4"/>
    </row>
    <row r="257" spans="4:27" x14ac:dyDescent="0.2">
      <c r="D257" s="34">
        <v>238</v>
      </c>
      <c r="E257" s="36">
        <v>3093980921.7327242</v>
      </c>
      <c r="F257">
        <f t="shared" si="3"/>
        <v>0</v>
      </c>
      <c r="AA257" s="4"/>
    </row>
    <row r="258" spans="4:27" x14ac:dyDescent="0.2">
      <c r="D258" s="34">
        <v>239</v>
      </c>
      <c r="E258" s="36">
        <v>2700448493.3166451</v>
      </c>
      <c r="F258">
        <f t="shared" si="3"/>
        <v>0</v>
      </c>
      <c r="AA258" s="4"/>
    </row>
    <row r="259" spans="4:27" x14ac:dyDescent="0.2">
      <c r="D259" s="34">
        <v>240</v>
      </c>
      <c r="E259" s="36">
        <v>3408756467.9388275</v>
      </c>
      <c r="F259">
        <f t="shared" si="3"/>
        <v>0</v>
      </c>
      <c r="AA259" s="4"/>
    </row>
    <row r="260" spans="4:27" x14ac:dyDescent="0.2">
      <c r="D260" s="34">
        <v>241</v>
      </c>
      <c r="E260" s="36">
        <v>3154150166.2791257</v>
      </c>
      <c r="F260">
        <f t="shared" si="3"/>
        <v>0</v>
      </c>
      <c r="AA260" s="4"/>
    </row>
    <row r="261" spans="4:27" x14ac:dyDescent="0.2">
      <c r="D261" s="34">
        <v>242</v>
      </c>
      <c r="E261" s="36">
        <v>2740079810.8212137</v>
      </c>
      <c r="F261">
        <f t="shared" si="3"/>
        <v>0</v>
      </c>
      <c r="AA261" s="4"/>
    </row>
    <row r="262" spans="4:27" x14ac:dyDescent="0.2">
      <c r="D262" s="34">
        <v>243</v>
      </c>
      <c r="E262" s="36">
        <v>3150355533.190167</v>
      </c>
      <c r="F262">
        <f t="shared" si="3"/>
        <v>0</v>
      </c>
      <c r="AA262" s="4"/>
    </row>
    <row r="263" spans="4:27" x14ac:dyDescent="0.2">
      <c r="D263" s="34">
        <v>244</v>
      </c>
      <c r="E263" s="36">
        <v>3100820648.7760549</v>
      </c>
      <c r="F263">
        <f t="shared" si="3"/>
        <v>0</v>
      </c>
      <c r="AA263" s="4"/>
    </row>
    <row r="264" spans="4:27" x14ac:dyDescent="0.2">
      <c r="D264" s="34">
        <v>245</v>
      </c>
      <c r="E264" s="36">
        <v>2964470984.1560774</v>
      </c>
      <c r="F264">
        <f t="shared" si="3"/>
        <v>0</v>
      </c>
      <c r="AA264" s="4"/>
    </row>
    <row r="265" spans="4:27" x14ac:dyDescent="0.2">
      <c r="D265" s="34">
        <v>246</v>
      </c>
      <c r="E265" s="36">
        <v>3205400409.7479167</v>
      </c>
      <c r="F265">
        <f t="shared" si="3"/>
        <v>0</v>
      </c>
      <c r="AA265" s="4"/>
    </row>
    <row r="266" spans="4:27" x14ac:dyDescent="0.2">
      <c r="D266" s="34">
        <v>247</v>
      </c>
      <c r="E266" s="36">
        <v>3041993612.04739</v>
      </c>
      <c r="F266">
        <f t="shared" si="3"/>
        <v>0</v>
      </c>
      <c r="AA266" s="4"/>
    </row>
    <row r="267" spans="4:27" x14ac:dyDescent="0.2">
      <c r="D267" s="34">
        <v>248</v>
      </c>
      <c r="E267" s="36">
        <v>3205198625.8597546</v>
      </c>
      <c r="F267">
        <f t="shared" si="3"/>
        <v>0</v>
      </c>
      <c r="AA267" s="4"/>
    </row>
    <row r="268" spans="4:27" x14ac:dyDescent="0.2">
      <c r="D268" s="34">
        <v>249</v>
      </c>
      <c r="E268" s="36">
        <v>3442769659.1727214</v>
      </c>
      <c r="F268">
        <f t="shared" si="3"/>
        <v>0</v>
      </c>
      <c r="AA268" s="4"/>
    </row>
    <row r="269" spans="4:27" x14ac:dyDescent="0.2">
      <c r="D269" s="34">
        <v>250</v>
      </c>
      <c r="E269" s="36">
        <v>3184428982.8371806</v>
      </c>
      <c r="F269">
        <f t="shared" si="3"/>
        <v>0</v>
      </c>
      <c r="AA269" s="4"/>
    </row>
    <row r="270" spans="4:27" x14ac:dyDescent="0.2">
      <c r="D270" s="34">
        <v>251</v>
      </c>
      <c r="E270" s="36">
        <v>3140313732.0853243</v>
      </c>
      <c r="F270">
        <f t="shared" si="3"/>
        <v>0</v>
      </c>
      <c r="AA270" s="4"/>
    </row>
    <row r="271" spans="4:27" x14ac:dyDescent="0.2">
      <c r="D271" s="34">
        <v>252</v>
      </c>
      <c r="E271" s="36">
        <v>3040444804.3548846</v>
      </c>
      <c r="F271">
        <f t="shared" si="3"/>
        <v>0</v>
      </c>
      <c r="AA271" s="4"/>
    </row>
    <row r="272" spans="4:27" x14ac:dyDescent="0.2">
      <c r="D272" s="34">
        <v>253</v>
      </c>
      <c r="E272" s="36">
        <v>3261338262.6627116</v>
      </c>
      <c r="F272">
        <f t="shared" si="3"/>
        <v>0</v>
      </c>
      <c r="AA272" s="4"/>
    </row>
    <row r="273" spans="4:27" x14ac:dyDescent="0.2">
      <c r="D273" s="34">
        <v>254</v>
      </c>
      <c r="E273" s="36">
        <v>3236435868.9864831</v>
      </c>
      <c r="F273">
        <f t="shared" si="3"/>
        <v>0</v>
      </c>
      <c r="AA273" s="4"/>
    </row>
    <row r="274" spans="4:27" x14ac:dyDescent="0.2">
      <c r="D274" s="34">
        <v>255</v>
      </c>
      <c r="E274" s="36">
        <v>2997914363.8568792</v>
      </c>
      <c r="F274">
        <f t="shared" si="3"/>
        <v>0</v>
      </c>
      <c r="AA274" s="4"/>
    </row>
    <row r="275" spans="4:27" x14ac:dyDescent="0.2">
      <c r="D275" s="34">
        <v>256</v>
      </c>
      <c r="E275" s="36">
        <v>3194813064.5337915</v>
      </c>
      <c r="F275">
        <f t="shared" si="3"/>
        <v>0</v>
      </c>
      <c r="AA275" s="4"/>
    </row>
    <row r="276" spans="4:27" x14ac:dyDescent="0.2">
      <c r="D276" s="34">
        <v>257</v>
      </c>
      <c r="E276" s="36">
        <v>2731483571.6125879</v>
      </c>
      <c r="F276">
        <f t="shared" si="3"/>
        <v>0</v>
      </c>
      <c r="AA276" s="4"/>
    </row>
    <row r="277" spans="4:27" x14ac:dyDescent="0.2">
      <c r="D277" s="34">
        <v>258</v>
      </c>
      <c r="E277" s="36">
        <v>3101676243.6151261</v>
      </c>
      <c r="F277">
        <f t="shared" ref="F277:F340" si="4">IF(E277&lt;1700000000,1,0)</f>
        <v>0</v>
      </c>
      <c r="AA277" s="4"/>
    </row>
    <row r="278" spans="4:27" x14ac:dyDescent="0.2">
      <c r="D278" s="34">
        <v>259</v>
      </c>
      <c r="E278" s="36">
        <v>3343724348.4764767</v>
      </c>
      <c r="F278">
        <f t="shared" si="4"/>
        <v>0</v>
      </c>
      <c r="AA278" s="4"/>
    </row>
    <row r="279" spans="4:27" x14ac:dyDescent="0.2">
      <c r="D279" s="34">
        <v>260</v>
      </c>
      <c r="E279" s="36">
        <v>3208471085.3785119</v>
      </c>
      <c r="F279">
        <f t="shared" si="4"/>
        <v>0</v>
      </c>
      <c r="AA279" s="4"/>
    </row>
    <row r="280" spans="4:27" x14ac:dyDescent="0.2">
      <c r="D280" s="34">
        <v>261</v>
      </c>
      <c r="E280" s="36">
        <v>2740939410.5057435</v>
      </c>
      <c r="F280">
        <f t="shared" si="4"/>
        <v>0</v>
      </c>
      <c r="AA280" s="4"/>
    </row>
    <row r="281" spans="4:27" x14ac:dyDescent="0.2">
      <c r="D281" s="34">
        <v>262</v>
      </c>
      <c r="E281" s="36">
        <v>3440716079.2362056</v>
      </c>
      <c r="F281">
        <f t="shared" si="4"/>
        <v>0</v>
      </c>
      <c r="AA281" s="4"/>
    </row>
    <row r="282" spans="4:27" x14ac:dyDescent="0.2">
      <c r="D282" s="34">
        <v>263</v>
      </c>
      <c r="E282" s="36">
        <v>2971220596.9533024</v>
      </c>
      <c r="F282">
        <f t="shared" si="4"/>
        <v>0</v>
      </c>
      <c r="AA282" s="4"/>
    </row>
    <row r="283" spans="4:27" x14ac:dyDescent="0.2">
      <c r="D283" s="34">
        <v>264</v>
      </c>
      <c r="E283" s="36">
        <v>3088950937.6798215</v>
      </c>
      <c r="F283">
        <f t="shared" si="4"/>
        <v>0</v>
      </c>
      <c r="AA283" s="4"/>
    </row>
    <row r="284" spans="4:27" x14ac:dyDescent="0.2">
      <c r="D284" s="34">
        <v>265</v>
      </c>
      <c r="E284" s="36">
        <v>3352993100.7364759</v>
      </c>
      <c r="F284">
        <f t="shared" si="4"/>
        <v>0</v>
      </c>
      <c r="AA284" s="4"/>
    </row>
    <row r="285" spans="4:27" x14ac:dyDescent="0.2">
      <c r="D285" s="34">
        <v>266</v>
      </c>
      <c r="E285" s="36">
        <v>3236729993.6139894</v>
      </c>
      <c r="F285">
        <f t="shared" si="4"/>
        <v>0</v>
      </c>
      <c r="AA285" s="4"/>
    </row>
    <row r="286" spans="4:27" x14ac:dyDescent="0.2">
      <c r="D286" s="34">
        <v>267</v>
      </c>
      <c r="E286" s="36">
        <v>3015765474.0214005</v>
      </c>
      <c r="F286">
        <f t="shared" si="4"/>
        <v>0</v>
      </c>
      <c r="AA286" s="4"/>
    </row>
    <row r="287" spans="4:27" x14ac:dyDescent="0.2">
      <c r="D287" s="34">
        <v>268</v>
      </c>
      <c r="E287" s="36">
        <v>3178583555.1036844</v>
      </c>
      <c r="F287">
        <f t="shared" si="4"/>
        <v>0</v>
      </c>
      <c r="AA287" s="4"/>
    </row>
    <row r="288" spans="4:27" x14ac:dyDescent="0.2">
      <c r="D288" s="34">
        <v>269</v>
      </c>
      <c r="E288" s="36">
        <v>2803519959.3628182</v>
      </c>
      <c r="F288">
        <f t="shared" si="4"/>
        <v>0</v>
      </c>
      <c r="AA288" s="4"/>
    </row>
    <row r="289" spans="4:27" x14ac:dyDescent="0.2">
      <c r="D289" s="34">
        <v>270</v>
      </c>
      <c r="E289" s="36">
        <v>3148647635.4546862</v>
      </c>
      <c r="F289">
        <f t="shared" si="4"/>
        <v>0</v>
      </c>
      <c r="AA289" s="4"/>
    </row>
    <row r="290" spans="4:27" x14ac:dyDescent="0.2">
      <c r="D290" s="34">
        <v>271</v>
      </c>
      <c r="E290" s="36">
        <v>3179598705.5803657</v>
      </c>
      <c r="F290">
        <f t="shared" si="4"/>
        <v>0</v>
      </c>
      <c r="AA290" s="4"/>
    </row>
    <row r="291" spans="4:27" x14ac:dyDescent="0.2">
      <c r="D291" s="34">
        <v>272</v>
      </c>
      <c r="E291" s="36">
        <v>2955035032.7802749</v>
      </c>
      <c r="F291">
        <f t="shared" si="4"/>
        <v>0</v>
      </c>
      <c r="AA291" s="4"/>
    </row>
    <row r="292" spans="4:27" x14ac:dyDescent="0.2">
      <c r="D292" s="34">
        <v>273</v>
      </c>
      <c r="E292" s="36">
        <v>3328966906.5194106</v>
      </c>
      <c r="F292">
        <f t="shared" si="4"/>
        <v>0</v>
      </c>
      <c r="AA292" s="4"/>
    </row>
    <row r="293" spans="4:27" x14ac:dyDescent="0.2">
      <c r="D293" s="34">
        <v>274</v>
      </c>
      <c r="E293" s="36">
        <v>2845683296.6513615</v>
      </c>
      <c r="F293">
        <f t="shared" si="4"/>
        <v>0</v>
      </c>
      <c r="AA293" s="4"/>
    </row>
    <row r="294" spans="4:27" x14ac:dyDescent="0.2">
      <c r="D294" s="34">
        <v>275</v>
      </c>
      <c r="E294" s="36">
        <v>3097557382.6421151</v>
      </c>
      <c r="F294">
        <f t="shared" si="4"/>
        <v>0</v>
      </c>
      <c r="AA294" s="4"/>
    </row>
    <row r="295" spans="4:27" x14ac:dyDescent="0.2">
      <c r="D295" s="34">
        <v>276</v>
      </c>
      <c r="E295" s="36">
        <v>2894852700.3556561</v>
      </c>
      <c r="F295">
        <f t="shared" si="4"/>
        <v>0</v>
      </c>
      <c r="AA295" s="4"/>
    </row>
    <row r="296" spans="4:27" x14ac:dyDescent="0.2">
      <c r="D296" s="34">
        <v>277</v>
      </c>
      <c r="E296" s="36">
        <v>3249147100.2903218</v>
      </c>
      <c r="F296">
        <f t="shared" si="4"/>
        <v>0</v>
      </c>
      <c r="AA296" s="4"/>
    </row>
    <row r="297" spans="4:27" x14ac:dyDescent="0.2">
      <c r="D297" s="34">
        <v>278</v>
      </c>
      <c r="E297" s="36">
        <v>2914090352.5244474</v>
      </c>
      <c r="F297">
        <f t="shared" si="4"/>
        <v>0</v>
      </c>
      <c r="AA297" s="4"/>
    </row>
    <row r="298" spans="4:27" x14ac:dyDescent="0.2">
      <c r="D298" s="34">
        <v>279</v>
      </c>
      <c r="E298" s="36">
        <v>3474999971.7455711</v>
      </c>
      <c r="F298">
        <f t="shared" si="4"/>
        <v>0</v>
      </c>
      <c r="AA298" s="4"/>
    </row>
    <row r="299" spans="4:27" x14ac:dyDescent="0.2">
      <c r="D299" s="34">
        <v>280</v>
      </c>
      <c r="E299" s="36">
        <v>3066540547.8284874</v>
      </c>
      <c r="F299">
        <f t="shared" si="4"/>
        <v>0</v>
      </c>
      <c r="AA299" s="4"/>
    </row>
    <row r="300" spans="4:27" x14ac:dyDescent="0.2">
      <c r="D300" s="34">
        <v>281</v>
      </c>
      <c r="E300" s="36">
        <v>3187944950.7001848</v>
      </c>
      <c r="F300">
        <f t="shared" si="4"/>
        <v>0</v>
      </c>
      <c r="AA300" s="4"/>
    </row>
    <row r="301" spans="4:27" x14ac:dyDescent="0.2">
      <c r="D301" s="34">
        <v>282</v>
      </c>
      <c r="E301" s="36">
        <v>3021907820.7253351</v>
      </c>
      <c r="F301">
        <f t="shared" si="4"/>
        <v>0</v>
      </c>
      <c r="AA301" s="4"/>
    </row>
    <row r="302" spans="4:27" x14ac:dyDescent="0.2">
      <c r="D302" s="34">
        <v>283</v>
      </c>
      <c r="E302" s="36">
        <v>3217858993.6768799</v>
      </c>
      <c r="F302">
        <f t="shared" si="4"/>
        <v>0</v>
      </c>
      <c r="AA302" s="4"/>
    </row>
    <row r="303" spans="4:27" x14ac:dyDescent="0.2">
      <c r="D303" s="34">
        <v>284</v>
      </c>
      <c r="E303" s="36">
        <v>3266559488.3561692</v>
      </c>
      <c r="F303">
        <f t="shared" si="4"/>
        <v>0</v>
      </c>
      <c r="AA303" s="4"/>
    </row>
    <row r="304" spans="4:27" x14ac:dyDescent="0.2">
      <c r="D304" s="34">
        <v>285</v>
      </c>
      <c r="E304" s="36">
        <v>2997899645.3586993</v>
      </c>
      <c r="F304">
        <f t="shared" si="4"/>
        <v>0</v>
      </c>
      <c r="AA304" s="4"/>
    </row>
    <row r="305" spans="4:27" x14ac:dyDescent="0.2">
      <c r="D305" s="34">
        <v>286</v>
      </c>
      <c r="E305" s="36">
        <v>3117688457.4335284</v>
      </c>
      <c r="F305">
        <f t="shared" si="4"/>
        <v>0</v>
      </c>
      <c r="AA305" s="4"/>
    </row>
    <row r="306" spans="4:27" x14ac:dyDescent="0.2">
      <c r="D306" s="34">
        <v>287</v>
      </c>
      <c r="E306" s="36">
        <v>3461470148.6112676</v>
      </c>
      <c r="F306">
        <f t="shared" si="4"/>
        <v>0</v>
      </c>
      <c r="AA306" s="4"/>
    </row>
    <row r="307" spans="4:27" x14ac:dyDescent="0.2">
      <c r="D307" s="34">
        <v>288</v>
      </c>
      <c r="E307" s="36">
        <v>3347776793.3727322</v>
      </c>
      <c r="F307">
        <f t="shared" si="4"/>
        <v>0</v>
      </c>
      <c r="AA307" s="4"/>
    </row>
    <row r="308" spans="4:27" x14ac:dyDescent="0.2">
      <c r="D308" s="34">
        <v>289</v>
      </c>
      <c r="E308" s="36">
        <v>3195367745.5021434</v>
      </c>
      <c r="F308">
        <f t="shared" si="4"/>
        <v>0</v>
      </c>
      <c r="AA308" s="4"/>
    </row>
    <row r="309" spans="4:27" x14ac:dyDescent="0.2">
      <c r="D309" s="34">
        <v>290</v>
      </c>
      <c r="E309" s="36">
        <v>3158985590.4512634</v>
      </c>
      <c r="F309">
        <f t="shared" si="4"/>
        <v>0</v>
      </c>
      <c r="AA309" s="4"/>
    </row>
    <row r="310" spans="4:27" x14ac:dyDescent="0.2">
      <c r="D310" s="34">
        <v>291</v>
      </c>
      <c r="E310" s="36">
        <v>2954664672.1609707</v>
      </c>
      <c r="F310">
        <f t="shared" si="4"/>
        <v>0</v>
      </c>
      <c r="AA310" s="4"/>
    </row>
    <row r="311" spans="4:27" x14ac:dyDescent="0.2">
      <c r="D311" s="34">
        <v>292</v>
      </c>
      <c r="E311" s="36">
        <v>3359922584.2426915</v>
      </c>
      <c r="F311">
        <f t="shared" si="4"/>
        <v>0</v>
      </c>
      <c r="AA311" s="4"/>
    </row>
    <row r="312" spans="4:27" x14ac:dyDescent="0.2">
      <c r="D312" s="34">
        <v>293</v>
      </c>
      <c r="E312" s="36">
        <v>3236096150.4868526</v>
      </c>
      <c r="F312">
        <f t="shared" si="4"/>
        <v>0</v>
      </c>
      <c r="AA312" s="4"/>
    </row>
    <row r="313" spans="4:27" x14ac:dyDescent="0.2">
      <c r="D313" s="34">
        <v>294</v>
      </c>
      <c r="E313" s="36">
        <v>3434523906.330276</v>
      </c>
      <c r="F313">
        <f t="shared" si="4"/>
        <v>0</v>
      </c>
      <c r="AA313" s="4"/>
    </row>
    <row r="314" spans="4:27" x14ac:dyDescent="0.2">
      <c r="D314" s="34">
        <v>295</v>
      </c>
      <c r="E314" s="36">
        <v>2971893858.0674691</v>
      </c>
      <c r="F314">
        <f t="shared" si="4"/>
        <v>0</v>
      </c>
      <c r="AA314" s="4"/>
    </row>
    <row r="315" spans="4:27" x14ac:dyDescent="0.2">
      <c r="D315" s="34">
        <v>296</v>
      </c>
      <c r="E315" s="36">
        <v>3003871636.6902881</v>
      </c>
      <c r="F315">
        <f t="shared" si="4"/>
        <v>0</v>
      </c>
      <c r="AA315" s="4"/>
    </row>
    <row r="316" spans="4:27" x14ac:dyDescent="0.2">
      <c r="D316" s="34">
        <v>297</v>
      </c>
      <c r="E316" s="36">
        <v>3136706343.1714411</v>
      </c>
      <c r="F316">
        <f t="shared" si="4"/>
        <v>0</v>
      </c>
      <c r="AA316" s="4"/>
    </row>
    <row r="317" spans="4:27" x14ac:dyDescent="0.2">
      <c r="D317" s="34">
        <v>298</v>
      </c>
      <c r="E317" s="36">
        <v>3158120189.3668442</v>
      </c>
      <c r="F317">
        <f t="shared" si="4"/>
        <v>0</v>
      </c>
      <c r="AA317" s="4"/>
    </row>
    <row r="318" spans="4:27" x14ac:dyDescent="0.2">
      <c r="D318" s="34">
        <v>299</v>
      </c>
      <c r="E318" s="36">
        <v>2996633300.7327166</v>
      </c>
      <c r="F318">
        <f t="shared" si="4"/>
        <v>0</v>
      </c>
      <c r="AA318" s="4"/>
    </row>
    <row r="319" spans="4:27" x14ac:dyDescent="0.2">
      <c r="D319" s="34">
        <v>300</v>
      </c>
      <c r="E319" s="36">
        <v>2975292836.5012131</v>
      </c>
      <c r="F319">
        <f t="shared" si="4"/>
        <v>0</v>
      </c>
      <c r="AA319" s="4"/>
    </row>
    <row r="320" spans="4:27" x14ac:dyDescent="0.2">
      <c r="D320" s="34">
        <v>301</v>
      </c>
      <c r="E320" s="36">
        <v>3352400688.1234884</v>
      </c>
      <c r="F320">
        <f t="shared" si="4"/>
        <v>0</v>
      </c>
      <c r="AA320" s="4"/>
    </row>
    <row r="321" spans="4:27" x14ac:dyDescent="0.2">
      <c r="D321" s="34">
        <v>302</v>
      </c>
      <c r="E321" s="36">
        <v>2973356561.3873143</v>
      </c>
      <c r="F321">
        <f t="shared" si="4"/>
        <v>0</v>
      </c>
      <c r="AA321" s="4"/>
    </row>
    <row r="322" spans="4:27" x14ac:dyDescent="0.2">
      <c r="D322" s="34">
        <v>303</v>
      </c>
      <c r="E322" s="36">
        <v>3197511392.8284297</v>
      </c>
      <c r="F322">
        <f t="shared" si="4"/>
        <v>0</v>
      </c>
      <c r="AA322" s="4"/>
    </row>
    <row r="323" spans="4:27" x14ac:dyDescent="0.2">
      <c r="D323" s="34">
        <v>304</v>
      </c>
      <c r="E323" s="36">
        <v>3031314841.345027</v>
      </c>
      <c r="F323">
        <f t="shared" si="4"/>
        <v>0</v>
      </c>
      <c r="AA323" s="4"/>
    </row>
    <row r="324" spans="4:27" x14ac:dyDescent="0.2">
      <c r="D324" s="34">
        <v>305</v>
      </c>
      <c r="E324" s="36">
        <v>3196065189.3901329</v>
      </c>
      <c r="F324">
        <f t="shared" si="4"/>
        <v>0</v>
      </c>
      <c r="AA324" s="4"/>
    </row>
    <row r="325" spans="4:27" x14ac:dyDescent="0.2">
      <c r="D325" s="34">
        <v>306</v>
      </c>
      <c r="E325" s="36">
        <v>3126692701.5392938</v>
      </c>
      <c r="F325">
        <f t="shared" si="4"/>
        <v>0</v>
      </c>
      <c r="AA325" s="4"/>
    </row>
    <row r="326" spans="4:27" x14ac:dyDescent="0.2">
      <c r="D326" s="34">
        <v>307</v>
      </c>
      <c r="E326" s="36">
        <v>3274980328.4976544</v>
      </c>
      <c r="F326">
        <f t="shared" si="4"/>
        <v>0</v>
      </c>
      <c r="AA326" s="4"/>
    </row>
    <row r="327" spans="4:27" x14ac:dyDescent="0.2">
      <c r="D327" s="34">
        <v>308</v>
      </c>
      <c r="E327" s="36">
        <v>3037557291.6925659</v>
      </c>
      <c r="F327">
        <f t="shared" si="4"/>
        <v>0</v>
      </c>
      <c r="AA327" s="4"/>
    </row>
    <row r="328" spans="4:27" x14ac:dyDescent="0.2">
      <c r="D328" s="34">
        <v>309</v>
      </c>
      <c r="E328" s="36">
        <v>3158081733.1725512</v>
      </c>
      <c r="F328">
        <f t="shared" si="4"/>
        <v>0</v>
      </c>
      <c r="AA328" s="4"/>
    </row>
    <row r="329" spans="4:27" x14ac:dyDescent="0.2">
      <c r="D329" s="34">
        <v>310</v>
      </c>
      <c r="E329" s="36">
        <v>3182858899.6759982</v>
      </c>
      <c r="F329">
        <f t="shared" si="4"/>
        <v>0</v>
      </c>
      <c r="AA329" s="4"/>
    </row>
    <row r="330" spans="4:27" x14ac:dyDescent="0.2">
      <c r="D330" s="34">
        <v>311</v>
      </c>
      <c r="E330" s="36">
        <v>2969453049.2930808</v>
      </c>
      <c r="F330">
        <f t="shared" si="4"/>
        <v>0</v>
      </c>
      <c r="AA330" s="4"/>
    </row>
    <row r="331" spans="4:27" x14ac:dyDescent="0.2">
      <c r="D331" s="34">
        <v>312</v>
      </c>
      <c r="E331" s="36">
        <v>3191113941.584446</v>
      </c>
      <c r="F331">
        <f t="shared" si="4"/>
        <v>0</v>
      </c>
      <c r="AA331" s="4"/>
    </row>
    <row r="332" spans="4:27" x14ac:dyDescent="0.2">
      <c r="D332" s="34">
        <v>313</v>
      </c>
      <c r="E332" s="36">
        <v>3132695515.4714437</v>
      </c>
      <c r="F332">
        <f t="shared" si="4"/>
        <v>0</v>
      </c>
      <c r="AA332" s="4"/>
    </row>
    <row r="333" spans="4:27" x14ac:dyDescent="0.2">
      <c r="D333" s="34">
        <v>314</v>
      </c>
      <c r="E333" s="36">
        <v>3055885216.0752869</v>
      </c>
      <c r="F333">
        <f t="shared" si="4"/>
        <v>0</v>
      </c>
      <c r="AA333" s="4"/>
    </row>
    <row r="334" spans="4:27" x14ac:dyDescent="0.2">
      <c r="D334" s="34">
        <v>315</v>
      </c>
      <c r="E334" s="36">
        <v>3274319181.4190459</v>
      </c>
      <c r="F334">
        <f t="shared" si="4"/>
        <v>0</v>
      </c>
      <c r="AA334" s="4"/>
    </row>
    <row r="335" spans="4:27" x14ac:dyDescent="0.2">
      <c r="D335" s="34">
        <v>316</v>
      </c>
      <c r="E335" s="36">
        <v>3242798817.9704423</v>
      </c>
      <c r="F335">
        <f t="shared" si="4"/>
        <v>0</v>
      </c>
      <c r="AA335" s="4"/>
    </row>
    <row r="336" spans="4:27" x14ac:dyDescent="0.2">
      <c r="D336" s="34">
        <v>317</v>
      </c>
      <c r="E336" s="36">
        <v>2906556958.520381</v>
      </c>
      <c r="F336">
        <f t="shared" si="4"/>
        <v>0</v>
      </c>
      <c r="AA336" s="4"/>
    </row>
    <row r="337" spans="4:27" x14ac:dyDescent="0.2">
      <c r="D337" s="34">
        <v>318</v>
      </c>
      <c r="E337" s="36">
        <v>3267078536.1088481</v>
      </c>
      <c r="F337">
        <f t="shared" si="4"/>
        <v>0</v>
      </c>
      <c r="AA337" s="4"/>
    </row>
    <row r="338" spans="4:27" x14ac:dyDescent="0.2">
      <c r="D338" s="34">
        <v>319</v>
      </c>
      <c r="E338" s="36">
        <v>3241198363.4477491</v>
      </c>
      <c r="F338">
        <f t="shared" si="4"/>
        <v>0</v>
      </c>
      <c r="AA338" s="4"/>
    </row>
    <row r="339" spans="4:27" x14ac:dyDescent="0.2">
      <c r="D339" s="34">
        <v>320</v>
      </c>
      <c r="E339" s="36">
        <v>2815551119.8006501</v>
      </c>
      <c r="F339">
        <f t="shared" si="4"/>
        <v>0</v>
      </c>
      <c r="AA339" s="4"/>
    </row>
    <row r="340" spans="4:27" x14ac:dyDescent="0.2">
      <c r="D340" s="34">
        <v>321</v>
      </c>
      <c r="E340" s="36">
        <v>3357507394.4489741</v>
      </c>
      <c r="F340">
        <f t="shared" si="4"/>
        <v>0</v>
      </c>
      <c r="AA340" s="4"/>
    </row>
    <row r="341" spans="4:27" x14ac:dyDescent="0.2">
      <c r="D341" s="34">
        <v>322</v>
      </c>
      <c r="E341" s="36">
        <v>3186139036.5741863</v>
      </c>
      <c r="F341">
        <f t="shared" ref="F341:F404" si="5">IF(E341&lt;1700000000,1,0)</f>
        <v>0</v>
      </c>
      <c r="AA341" s="4"/>
    </row>
    <row r="342" spans="4:27" x14ac:dyDescent="0.2">
      <c r="D342" s="34">
        <v>323</v>
      </c>
      <c r="E342" s="36">
        <v>3322595115.9746399</v>
      </c>
      <c r="F342">
        <f t="shared" si="5"/>
        <v>0</v>
      </c>
      <c r="AA342" s="4"/>
    </row>
    <row r="343" spans="4:27" x14ac:dyDescent="0.2">
      <c r="D343" s="34">
        <v>324</v>
      </c>
      <c r="E343" s="36">
        <v>3148600485.9706807</v>
      </c>
      <c r="F343">
        <f t="shared" si="5"/>
        <v>0</v>
      </c>
      <c r="AA343" s="4"/>
    </row>
    <row r="344" spans="4:27" x14ac:dyDescent="0.2">
      <c r="D344" s="34">
        <v>325</v>
      </c>
      <c r="E344" s="36">
        <v>3578944649.3743186</v>
      </c>
      <c r="F344">
        <f t="shared" si="5"/>
        <v>0</v>
      </c>
      <c r="AA344" s="4"/>
    </row>
    <row r="345" spans="4:27" x14ac:dyDescent="0.2">
      <c r="D345" s="34">
        <v>326</v>
      </c>
      <c r="E345" s="36">
        <v>3169404146.6474204</v>
      </c>
      <c r="F345">
        <f t="shared" si="5"/>
        <v>0</v>
      </c>
      <c r="AA345" s="4"/>
    </row>
    <row r="346" spans="4:27" x14ac:dyDescent="0.2">
      <c r="D346" s="34">
        <v>327</v>
      </c>
      <c r="E346" s="36">
        <v>3386294558.9290414</v>
      </c>
      <c r="F346">
        <f t="shared" si="5"/>
        <v>0</v>
      </c>
      <c r="AA346" s="4"/>
    </row>
    <row r="347" spans="4:27" x14ac:dyDescent="0.2">
      <c r="D347" s="34">
        <v>328</v>
      </c>
      <c r="E347" s="36">
        <v>3029505558.9147048</v>
      </c>
      <c r="F347">
        <f t="shared" si="5"/>
        <v>0</v>
      </c>
      <c r="AA347" s="4"/>
    </row>
    <row r="348" spans="4:27" x14ac:dyDescent="0.2">
      <c r="D348" s="34">
        <v>329</v>
      </c>
      <c r="E348" s="36">
        <v>3078192395.1601014</v>
      </c>
      <c r="F348">
        <f t="shared" si="5"/>
        <v>0</v>
      </c>
      <c r="AA348" s="4"/>
    </row>
    <row r="349" spans="4:27" x14ac:dyDescent="0.2">
      <c r="D349" s="34">
        <v>330</v>
      </c>
      <c r="E349" s="36">
        <v>3115650462.9658012</v>
      </c>
      <c r="F349">
        <f t="shared" si="5"/>
        <v>0</v>
      </c>
      <c r="AA349" s="4"/>
    </row>
    <row r="350" spans="4:27" x14ac:dyDescent="0.2">
      <c r="D350" s="34">
        <v>331</v>
      </c>
      <c r="E350" s="36">
        <v>3217118571.7134104</v>
      </c>
      <c r="F350">
        <f t="shared" si="5"/>
        <v>0</v>
      </c>
      <c r="AA350" s="4"/>
    </row>
    <row r="351" spans="4:27" x14ac:dyDescent="0.2">
      <c r="D351" s="34">
        <v>332</v>
      </c>
      <c r="E351" s="36">
        <v>2838660290.1067176</v>
      </c>
      <c r="F351">
        <f t="shared" si="5"/>
        <v>0</v>
      </c>
      <c r="AA351" s="4"/>
    </row>
    <row r="352" spans="4:27" x14ac:dyDescent="0.2">
      <c r="D352" s="34">
        <v>333</v>
      </c>
      <c r="E352" s="36">
        <v>2922392834.2970576</v>
      </c>
      <c r="F352">
        <f t="shared" si="5"/>
        <v>0</v>
      </c>
      <c r="AA352" s="4"/>
    </row>
    <row r="353" spans="4:27" x14ac:dyDescent="0.2">
      <c r="D353" s="34">
        <v>334</v>
      </c>
      <c r="E353" s="36">
        <v>2848872768.7644715</v>
      </c>
      <c r="F353">
        <f t="shared" si="5"/>
        <v>0</v>
      </c>
      <c r="AA353" s="4"/>
    </row>
    <row r="354" spans="4:27" x14ac:dyDescent="0.2">
      <c r="D354" s="34">
        <v>335</v>
      </c>
      <c r="E354" s="36">
        <v>2918678086.9767175</v>
      </c>
      <c r="F354">
        <f t="shared" si="5"/>
        <v>0</v>
      </c>
      <c r="AA354" s="4"/>
    </row>
    <row r="355" spans="4:27" x14ac:dyDescent="0.2">
      <c r="D355" s="34">
        <v>336</v>
      </c>
      <c r="E355" s="36">
        <v>3455426919.9337668</v>
      </c>
      <c r="F355">
        <f t="shared" si="5"/>
        <v>0</v>
      </c>
      <c r="AA355" s="4"/>
    </row>
    <row r="356" spans="4:27" x14ac:dyDescent="0.2">
      <c r="D356" s="34">
        <v>337</v>
      </c>
      <c r="E356" s="36">
        <v>3082510596.0541496</v>
      </c>
      <c r="F356">
        <f t="shared" si="5"/>
        <v>0</v>
      </c>
      <c r="AA356" s="4"/>
    </row>
    <row r="357" spans="4:27" x14ac:dyDescent="0.2">
      <c r="D357" s="34">
        <v>338</v>
      </c>
      <c r="E357" s="36">
        <v>2863357975.2254052</v>
      </c>
      <c r="F357">
        <f t="shared" si="5"/>
        <v>0</v>
      </c>
      <c r="AA357" s="4"/>
    </row>
    <row r="358" spans="4:27" x14ac:dyDescent="0.2">
      <c r="D358" s="34">
        <v>339</v>
      </c>
      <c r="E358" s="36">
        <v>2839939868.8112979</v>
      </c>
      <c r="F358">
        <f t="shared" si="5"/>
        <v>0</v>
      </c>
      <c r="AA358" s="4"/>
    </row>
    <row r="359" spans="4:27" x14ac:dyDescent="0.2">
      <c r="D359" s="34">
        <v>340</v>
      </c>
      <c r="E359" s="36">
        <v>3061976374.9904022</v>
      </c>
      <c r="F359">
        <f t="shared" si="5"/>
        <v>0</v>
      </c>
      <c r="AA359" s="4"/>
    </row>
    <row r="360" spans="4:27" x14ac:dyDescent="0.2">
      <c r="D360" s="34">
        <v>341</v>
      </c>
      <c r="E360" s="36">
        <v>3447505958.7024093</v>
      </c>
      <c r="F360">
        <f t="shared" si="5"/>
        <v>0</v>
      </c>
      <c r="AA360" s="4"/>
    </row>
    <row r="361" spans="4:27" x14ac:dyDescent="0.2">
      <c r="D361" s="34">
        <v>342</v>
      </c>
      <c r="E361" s="36">
        <v>3066116842.6105957</v>
      </c>
      <c r="F361">
        <f t="shared" si="5"/>
        <v>0</v>
      </c>
      <c r="AA361" s="4"/>
    </row>
    <row r="362" spans="4:27" x14ac:dyDescent="0.2">
      <c r="D362" s="34">
        <v>343</v>
      </c>
      <c r="E362" s="36">
        <v>3095220657.7304368</v>
      </c>
      <c r="F362">
        <f t="shared" si="5"/>
        <v>0</v>
      </c>
      <c r="AA362" s="4"/>
    </row>
    <row r="363" spans="4:27" x14ac:dyDescent="0.2">
      <c r="D363" s="34">
        <v>344</v>
      </c>
      <c r="E363" s="36">
        <v>3000669803.8527837</v>
      </c>
      <c r="F363">
        <f t="shared" si="5"/>
        <v>0</v>
      </c>
      <c r="AA363" s="4"/>
    </row>
    <row r="364" spans="4:27" x14ac:dyDescent="0.2">
      <c r="D364" s="34">
        <v>345</v>
      </c>
      <c r="E364" s="36">
        <v>3266175748.2164488</v>
      </c>
      <c r="F364">
        <f t="shared" si="5"/>
        <v>0</v>
      </c>
      <c r="AA364" s="4"/>
    </row>
    <row r="365" spans="4:27" x14ac:dyDescent="0.2">
      <c r="D365" s="34">
        <v>346</v>
      </c>
      <c r="E365" s="36">
        <v>3029375273.2759337</v>
      </c>
      <c r="F365">
        <f t="shared" si="5"/>
        <v>0</v>
      </c>
      <c r="AA365" s="4"/>
    </row>
    <row r="366" spans="4:27" x14ac:dyDescent="0.2">
      <c r="D366" s="34">
        <v>347</v>
      </c>
      <c r="E366" s="36">
        <v>3743578289.6131434</v>
      </c>
      <c r="F366">
        <f t="shared" si="5"/>
        <v>0</v>
      </c>
      <c r="AA366" s="4"/>
    </row>
    <row r="367" spans="4:27" x14ac:dyDescent="0.2">
      <c r="D367" s="34">
        <v>348</v>
      </c>
      <c r="E367" s="36">
        <v>3121791319.0789657</v>
      </c>
      <c r="F367">
        <f t="shared" si="5"/>
        <v>0</v>
      </c>
      <c r="AA367" s="4"/>
    </row>
    <row r="368" spans="4:27" x14ac:dyDescent="0.2">
      <c r="D368" s="34">
        <v>349</v>
      </c>
      <c r="E368" s="36">
        <v>2952893834.6093469</v>
      </c>
      <c r="F368">
        <f t="shared" si="5"/>
        <v>0</v>
      </c>
      <c r="AA368" s="4"/>
    </row>
    <row r="369" spans="4:27" x14ac:dyDescent="0.2">
      <c r="D369" s="34">
        <v>350</v>
      </c>
      <c r="E369" s="36">
        <v>3103310537.5858641</v>
      </c>
      <c r="F369">
        <f t="shared" si="5"/>
        <v>0</v>
      </c>
      <c r="AA369" s="4"/>
    </row>
    <row r="370" spans="4:27" x14ac:dyDescent="0.2">
      <c r="D370" s="34">
        <v>351</v>
      </c>
      <c r="E370" s="36">
        <v>3280007978.3887005</v>
      </c>
      <c r="F370">
        <f t="shared" si="5"/>
        <v>0</v>
      </c>
      <c r="AA370" s="4"/>
    </row>
    <row r="371" spans="4:27" x14ac:dyDescent="0.2">
      <c r="D371" s="34">
        <v>352</v>
      </c>
      <c r="E371" s="36">
        <v>3050566288.0808067</v>
      </c>
      <c r="F371">
        <f t="shared" si="5"/>
        <v>0</v>
      </c>
      <c r="AA371" s="4"/>
    </row>
    <row r="372" spans="4:27" x14ac:dyDescent="0.2">
      <c r="D372" s="34">
        <v>353</v>
      </c>
      <c r="E372" s="36">
        <v>3143309464.5140247</v>
      </c>
      <c r="F372">
        <f t="shared" si="5"/>
        <v>0</v>
      </c>
      <c r="AA372" s="4"/>
    </row>
    <row r="373" spans="4:27" x14ac:dyDescent="0.2">
      <c r="D373" s="34">
        <v>354</v>
      </c>
      <c r="E373" s="36">
        <v>3183150125.0233221</v>
      </c>
      <c r="F373">
        <f t="shared" si="5"/>
        <v>0</v>
      </c>
      <c r="AA373" s="4"/>
    </row>
    <row r="374" spans="4:27" x14ac:dyDescent="0.2">
      <c r="D374" s="34">
        <v>355</v>
      </c>
      <c r="E374" s="36">
        <v>2735116273.0334702</v>
      </c>
      <c r="F374">
        <f t="shared" si="5"/>
        <v>0</v>
      </c>
      <c r="AA374" s="4"/>
    </row>
    <row r="375" spans="4:27" x14ac:dyDescent="0.2">
      <c r="D375" s="34">
        <v>356</v>
      </c>
      <c r="E375" s="36">
        <v>3416506134.0880752</v>
      </c>
      <c r="F375">
        <f t="shared" si="5"/>
        <v>0</v>
      </c>
      <c r="AA375" s="4"/>
    </row>
    <row r="376" spans="4:27" x14ac:dyDescent="0.2">
      <c r="D376" s="34">
        <v>357</v>
      </c>
      <c r="E376" s="36">
        <v>2823178762.9230604</v>
      </c>
      <c r="F376">
        <f t="shared" si="5"/>
        <v>0</v>
      </c>
      <c r="AA376" s="4"/>
    </row>
    <row r="377" spans="4:27" x14ac:dyDescent="0.2">
      <c r="D377" s="34">
        <v>358</v>
      </c>
      <c r="E377" s="36">
        <v>3046023322.7355866</v>
      </c>
      <c r="F377">
        <f t="shared" si="5"/>
        <v>0</v>
      </c>
      <c r="AA377" s="4"/>
    </row>
    <row r="378" spans="4:27" x14ac:dyDescent="0.2">
      <c r="D378" s="34">
        <v>359</v>
      </c>
      <c r="E378" s="36">
        <v>2914418746.1480269</v>
      </c>
      <c r="F378">
        <f t="shared" si="5"/>
        <v>0</v>
      </c>
      <c r="AA378" s="4"/>
    </row>
    <row r="379" spans="4:27" x14ac:dyDescent="0.2">
      <c r="D379" s="34">
        <v>360</v>
      </c>
      <c r="E379" s="36">
        <v>3018520236.697372</v>
      </c>
      <c r="F379">
        <f t="shared" si="5"/>
        <v>0</v>
      </c>
      <c r="AA379" s="4"/>
    </row>
    <row r="380" spans="4:27" x14ac:dyDescent="0.2">
      <c r="D380" s="34">
        <v>361</v>
      </c>
      <c r="E380" s="36">
        <v>3465022495.0852041</v>
      </c>
      <c r="F380">
        <f t="shared" si="5"/>
        <v>0</v>
      </c>
      <c r="AA380" s="4"/>
    </row>
    <row r="381" spans="4:27" x14ac:dyDescent="0.2">
      <c r="D381" s="34">
        <v>362</v>
      </c>
      <c r="E381" s="36">
        <v>2764845756.2254963</v>
      </c>
      <c r="F381">
        <f t="shared" si="5"/>
        <v>0</v>
      </c>
      <c r="AA381" s="4"/>
    </row>
    <row r="382" spans="4:27" x14ac:dyDescent="0.2">
      <c r="D382" s="34">
        <v>363</v>
      </c>
      <c r="E382" s="36">
        <v>3113246380.8349295</v>
      </c>
      <c r="F382">
        <f t="shared" si="5"/>
        <v>0</v>
      </c>
      <c r="AA382" s="4"/>
    </row>
    <row r="383" spans="4:27" x14ac:dyDescent="0.2">
      <c r="D383" s="34">
        <v>364</v>
      </c>
      <c r="E383" s="36">
        <v>2948679930.0213594</v>
      </c>
      <c r="F383">
        <f t="shared" si="5"/>
        <v>0</v>
      </c>
      <c r="AA383" s="4"/>
    </row>
    <row r="384" spans="4:27" x14ac:dyDescent="0.2">
      <c r="D384" s="34">
        <v>365</v>
      </c>
      <c r="E384" s="36">
        <v>3040818641.9407768</v>
      </c>
      <c r="F384">
        <f t="shared" si="5"/>
        <v>0</v>
      </c>
      <c r="AA384" s="4"/>
    </row>
    <row r="385" spans="4:27" x14ac:dyDescent="0.2">
      <c r="D385" s="34">
        <v>366</v>
      </c>
      <c r="E385" s="36">
        <v>3338213713.8610444</v>
      </c>
      <c r="F385">
        <f t="shared" si="5"/>
        <v>0</v>
      </c>
      <c r="AA385" s="4"/>
    </row>
    <row r="386" spans="4:27" x14ac:dyDescent="0.2">
      <c r="D386" s="34">
        <v>367</v>
      </c>
      <c r="E386" s="36">
        <v>2870993116.5789847</v>
      </c>
      <c r="F386">
        <f t="shared" si="5"/>
        <v>0</v>
      </c>
      <c r="AA386" s="4"/>
    </row>
    <row r="387" spans="4:27" x14ac:dyDescent="0.2">
      <c r="D387" s="34">
        <v>368</v>
      </c>
      <c r="E387" s="36">
        <v>3206366517.1485324</v>
      </c>
      <c r="F387">
        <f t="shared" si="5"/>
        <v>0</v>
      </c>
      <c r="AA387" s="4"/>
    </row>
    <row r="388" spans="4:27" x14ac:dyDescent="0.2">
      <c r="D388" s="34">
        <v>369</v>
      </c>
      <c r="E388" s="36">
        <v>3240306721.3248901</v>
      </c>
      <c r="F388">
        <f t="shared" si="5"/>
        <v>0</v>
      </c>
      <c r="AA388" s="4"/>
    </row>
    <row r="389" spans="4:27" x14ac:dyDescent="0.2">
      <c r="D389" s="34">
        <v>370</v>
      </c>
      <c r="E389" s="36">
        <v>3108023779.9034014</v>
      </c>
      <c r="F389">
        <f t="shared" si="5"/>
        <v>0</v>
      </c>
      <c r="AA389" s="4"/>
    </row>
    <row r="390" spans="4:27" x14ac:dyDescent="0.2">
      <c r="D390" s="34">
        <v>371</v>
      </c>
      <c r="E390" s="36">
        <v>2997999205.2593222</v>
      </c>
      <c r="F390">
        <f t="shared" si="5"/>
        <v>0</v>
      </c>
      <c r="AA390" s="4"/>
    </row>
    <row r="391" spans="4:27" x14ac:dyDescent="0.2">
      <c r="D391" s="34">
        <v>372</v>
      </c>
      <c r="E391" s="36">
        <v>3011128496.3210254</v>
      </c>
      <c r="F391">
        <f t="shared" si="5"/>
        <v>0</v>
      </c>
      <c r="AA391" s="4"/>
    </row>
    <row r="392" spans="4:27" x14ac:dyDescent="0.2">
      <c r="D392" s="34">
        <v>373</v>
      </c>
      <c r="E392" s="36">
        <v>2896634115.8781843</v>
      </c>
      <c r="F392">
        <f t="shared" si="5"/>
        <v>0</v>
      </c>
      <c r="AA392" s="4"/>
    </row>
    <row r="393" spans="4:27" x14ac:dyDescent="0.2">
      <c r="D393" s="34">
        <v>374</v>
      </c>
      <c r="E393" s="36">
        <v>3249036476.3609624</v>
      </c>
      <c r="F393">
        <f t="shared" si="5"/>
        <v>0</v>
      </c>
      <c r="AA393" s="4"/>
    </row>
    <row r="394" spans="4:27" x14ac:dyDescent="0.2">
      <c r="D394" s="34">
        <v>375</v>
      </c>
      <c r="E394" s="36">
        <v>3049904834.7672982</v>
      </c>
      <c r="F394">
        <f t="shared" si="5"/>
        <v>0</v>
      </c>
      <c r="AA394" s="4"/>
    </row>
    <row r="395" spans="4:27" x14ac:dyDescent="0.2">
      <c r="D395" s="34">
        <v>376</v>
      </c>
      <c r="E395" s="36">
        <v>2937575026.2187495</v>
      </c>
      <c r="F395">
        <f t="shared" si="5"/>
        <v>0</v>
      </c>
      <c r="AA395" s="4"/>
    </row>
    <row r="396" spans="4:27" x14ac:dyDescent="0.2">
      <c r="D396" s="34">
        <v>377</v>
      </c>
      <c r="E396" s="36">
        <v>3200287268.7987175</v>
      </c>
      <c r="F396">
        <f t="shared" si="5"/>
        <v>0</v>
      </c>
      <c r="AA396" s="4"/>
    </row>
    <row r="397" spans="4:27" x14ac:dyDescent="0.2">
      <c r="D397" s="34">
        <v>378</v>
      </c>
      <c r="E397" s="36">
        <v>3258217580.1536078</v>
      </c>
      <c r="F397">
        <f t="shared" si="5"/>
        <v>0</v>
      </c>
      <c r="AA397" s="4"/>
    </row>
    <row r="398" spans="4:27" x14ac:dyDescent="0.2">
      <c r="D398" s="34">
        <v>379</v>
      </c>
      <c r="E398" s="36">
        <v>2935576283.6897116</v>
      </c>
      <c r="F398">
        <f t="shared" si="5"/>
        <v>0</v>
      </c>
      <c r="AA398" s="4"/>
    </row>
    <row r="399" spans="4:27" x14ac:dyDescent="0.2">
      <c r="D399" s="34">
        <v>380</v>
      </c>
      <c r="E399" s="36">
        <v>3075814154.049407</v>
      </c>
      <c r="F399">
        <f t="shared" si="5"/>
        <v>0</v>
      </c>
      <c r="AA399" s="4"/>
    </row>
    <row r="400" spans="4:27" x14ac:dyDescent="0.2">
      <c r="D400" s="34">
        <v>381</v>
      </c>
      <c r="E400" s="36">
        <v>3058284814.1852036</v>
      </c>
      <c r="F400">
        <f t="shared" si="5"/>
        <v>0</v>
      </c>
      <c r="AA400" s="4"/>
    </row>
    <row r="401" spans="4:27" x14ac:dyDescent="0.2">
      <c r="D401" s="34">
        <v>382</v>
      </c>
      <c r="E401" s="36">
        <v>2892379410.915143</v>
      </c>
      <c r="F401">
        <f t="shared" si="5"/>
        <v>0</v>
      </c>
      <c r="AA401" s="4"/>
    </row>
    <row r="402" spans="4:27" x14ac:dyDescent="0.2">
      <c r="D402" s="34">
        <v>383</v>
      </c>
      <c r="E402" s="36">
        <v>3124328284.8719893</v>
      </c>
      <c r="F402">
        <f t="shared" si="5"/>
        <v>0</v>
      </c>
      <c r="AA402" s="4"/>
    </row>
    <row r="403" spans="4:27" x14ac:dyDescent="0.2">
      <c r="D403" s="34">
        <v>384</v>
      </c>
      <c r="E403" s="36">
        <v>3573849063.5982342</v>
      </c>
      <c r="F403">
        <f t="shared" si="5"/>
        <v>0</v>
      </c>
      <c r="AA403" s="4"/>
    </row>
    <row r="404" spans="4:27" x14ac:dyDescent="0.2">
      <c r="D404" s="34">
        <v>385</v>
      </c>
      <c r="E404" s="36">
        <v>2982332369.0572352</v>
      </c>
      <c r="F404">
        <f t="shared" si="5"/>
        <v>0</v>
      </c>
      <c r="AA404" s="4"/>
    </row>
    <row r="405" spans="4:27" x14ac:dyDescent="0.2">
      <c r="D405" s="34">
        <v>386</v>
      </c>
      <c r="E405" s="36">
        <v>2921227904.7372036</v>
      </c>
      <c r="F405">
        <f t="shared" ref="F405:F468" si="6">IF(E405&lt;1700000000,1,0)</f>
        <v>0</v>
      </c>
      <c r="AA405" s="4"/>
    </row>
    <row r="406" spans="4:27" x14ac:dyDescent="0.2">
      <c r="D406" s="34">
        <v>387</v>
      </c>
      <c r="E406" s="36">
        <v>3310757360.9687152</v>
      </c>
      <c r="F406">
        <f t="shared" si="6"/>
        <v>0</v>
      </c>
      <c r="AA406" s="4"/>
    </row>
    <row r="407" spans="4:27" x14ac:dyDescent="0.2">
      <c r="D407" s="34">
        <v>388</v>
      </c>
      <c r="E407" s="36">
        <v>3154774603.2559462</v>
      </c>
      <c r="F407">
        <f t="shared" si="6"/>
        <v>0</v>
      </c>
      <c r="AA407" s="4"/>
    </row>
    <row r="408" spans="4:27" x14ac:dyDescent="0.2">
      <c r="D408" s="34">
        <v>389</v>
      </c>
      <c r="E408" s="36">
        <v>3348049763.5765252</v>
      </c>
      <c r="F408">
        <f t="shared" si="6"/>
        <v>0</v>
      </c>
      <c r="AA408" s="4"/>
    </row>
    <row r="409" spans="4:27" x14ac:dyDescent="0.2">
      <c r="D409" s="34">
        <v>390</v>
      </c>
      <c r="E409" s="36">
        <v>3260179715.4675951</v>
      </c>
      <c r="F409">
        <f t="shared" si="6"/>
        <v>0</v>
      </c>
      <c r="AA409" s="4"/>
    </row>
    <row r="410" spans="4:27" x14ac:dyDescent="0.2">
      <c r="D410" s="34">
        <v>391</v>
      </c>
      <c r="E410" s="36">
        <v>3127312574.7268791</v>
      </c>
      <c r="F410">
        <f t="shared" si="6"/>
        <v>0</v>
      </c>
      <c r="AA410" s="4"/>
    </row>
    <row r="411" spans="4:27" x14ac:dyDescent="0.2">
      <c r="D411" s="34">
        <v>392</v>
      </c>
      <c r="E411" s="36">
        <v>3284445527.3947191</v>
      </c>
      <c r="F411">
        <f t="shared" si="6"/>
        <v>0</v>
      </c>
      <c r="AA411" s="4"/>
    </row>
    <row r="412" spans="4:27" x14ac:dyDescent="0.2">
      <c r="D412" s="34">
        <v>393</v>
      </c>
      <c r="E412" s="36">
        <v>2798943881.7245297</v>
      </c>
      <c r="F412">
        <f t="shared" si="6"/>
        <v>0</v>
      </c>
      <c r="AA412" s="4"/>
    </row>
    <row r="413" spans="4:27" x14ac:dyDescent="0.2">
      <c r="D413" s="34">
        <v>394</v>
      </c>
      <c r="E413" s="36">
        <v>2966248520.6203284</v>
      </c>
      <c r="F413">
        <f t="shared" si="6"/>
        <v>0</v>
      </c>
      <c r="AA413" s="4"/>
    </row>
    <row r="414" spans="4:27" x14ac:dyDescent="0.2">
      <c r="D414" s="34">
        <v>395</v>
      </c>
      <c r="E414" s="36">
        <v>3110473213.6471124</v>
      </c>
      <c r="F414">
        <f t="shared" si="6"/>
        <v>0</v>
      </c>
      <c r="AA414" s="4"/>
    </row>
    <row r="415" spans="4:27" x14ac:dyDescent="0.2">
      <c r="D415" s="34">
        <v>396</v>
      </c>
      <c r="E415" s="36">
        <v>3268346206.713191</v>
      </c>
      <c r="F415">
        <f t="shared" si="6"/>
        <v>0</v>
      </c>
      <c r="AA415" s="4"/>
    </row>
    <row r="416" spans="4:27" x14ac:dyDescent="0.2">
      <c r="D416" s="34">
        <v>397</v>
      </c>
      <c r="E416" s="36">
        <v>3047766952.6200786</v>
      </c>
      <c r="F416">
        <f t="shared" si="6"/>
        <v>0</v>
      </c>
      <c r="AA416" s="4"/>
    </row>
    <row r="417" spans="4:27" x14ac:dyDescent="0.2">
      <c r="D417" s="34">
        <v>398</v>
      </c>
      <c r="E417" s="36">
        <v>3279046004.5804434</v>
      </c>
      <c r="F417">
        <f t="shared" si="6"/>
        <v>0</v>
      </c>
      <c r="AA417" s="4"/>
    </row>
    <row r="418" spans="4:27" x14ac:dyDescent="0.2">
      <c r="D418" s="34">
        <v>399</v>
      </c>
      <c r="E418" s="36">
        <v>3234036798.9684701</v>
      </c>
      <c r="F418">
        <f t="shared" si="6"/>
        <v>0</v>
      </c>
      <c r="AA418" s="4"/>
    </row>
    <row r="419" spans="4:27" x14ac:dyDescent="0.2">
      <c r="D419" s="34">
        <v>400</v>
      </c>
      <c r="E419" s="36">
        <v>3263401214.5760407</v>
      </c>
      <c r="F419">
        <f t="shared" si="6"/>
        <v>0</v>
      </c>
      <c r="AA419" s="4"/>
    </row>
    <row r="420" spans="4:27" x14ac:dyDescent="0.2">
      <c r="D420" s="34">
        <v>401</v>
      </c>
      <c r="E420" s="36">
        <v>3226678749.6637354</v>
      </c>
      <c r="F420">
        <f t="shared" si="6"/>
        <v>0</v>
      </c>
      <c r="AA420" s="4"/>
    </row>
    <row r="421" spans="4:27" x14ac:dyDescent="0.2">
      <c r="D421" s="34">
        <v>402</v>
      </c>
      <c r="E421" s="36">
        <v>3112005957.4632597</v>
      </c>
      <c r="F421">
        <f t="shared" si="6"/>
        <v>0</v>
      </c>
      <c r="AA421" s="4"/>
    </row>
    <row r="422" spans="4:27" x14ac:dyDescent="0.2">
      <c r="D422" s="34">
        <v>403</v>
      </c>
      <c r="E422" s="36">
        <v>2855254036.9285245</v>
      </c>
      <c r="F422">
        <f t="shared" si="6"/>
        <v>0</v>
      </c>
      <c r="AA422" s="4"/>
    </row>
    <row r="423" spans="4:27" x14ac:dyDescent="0.2">
      <c r="D423" s="34">
        <v>404</v>
      </c>
      <c r="E423" s="36">
        <v>3181165132.6943851</v>
      </c>
      <c r="F423">
        <f t="shared" si="6"/>
        <v>0</v>
      </c>
      <c r="AA423" s="4"/>
    </row>
    <row r="424" spans="4:27" x14ac:dyDescent="0.2">
      <c r="D424" s="34">
        <v>405</v>
      </c>
      <c r="E424" s="36">
        <v>3270870589.9937963</v>
      </c>
      <c r="F424">
        <f t="shared" si="6"/>
        <v>0</v>
      </c>
      <c r="AA424" s="4"/>
    </row>
    <row r="425" spans="4:27" x14ac:dyDescent="0.2">
      <c r="D425" s="34">
        <v>406</v>
      </c>
      <c r="E425" s="36">
        <v>3043241301.0864363</v>
      </c>
      <c r="F425">
        <f t="shared" si="6"/>
        <v>0</v>
      </c>
      <c r="AA425" s="4"/>
    </row>
    <row r="426" spans="4:27" x14ac:dyDescent="0.2">
      <c r="D426" s="34">
        <v>407</v>
      </c>
      <c r="E426" s="36">
        <v>3068151362.2779551</v>
      </c>
      <c r="F426">
        <f t="shared" si="6"/>
        <v>0</v>
      </c>
      <c r="AA426" s="4"/>
    </row>
    <row r="427" spans="4:27" x14ac:dyDescent="0.2">
      <c r="D427" s="34">
        <v>408</v>
      </c>
      <c r="E427" s="36">
        <v>3057688690.7760029</v>
      </c>
      <c r="F427">
        <f t="shared" si="6"/>
        <v>0</v>
      </c>
      <c r="AA427" s="4"/>
    </row>
    <row r="428" spans="4:27" x14ac:dyDescent="0.2">
      <c r="D428" s="34">
        <v>409</v>
      </c>
      <c r="E428" s="36">
        <v>3161113168.9704299</v>
      </c>
      <c r="F428">
        <f t="shared" si="6"/>
        <v>0</v>
      </c>
      <c r="AA428" s="4"/>
    </row>
    <row r="429" spans="4:27" x14ac:dyDescent="0.2">
      <c r="D429" s="34">
        <v>410</v>
      </c>
      <c r="E429" s="36">
        <v>3189831006.1143022</v>
      </c>
      <c r="F429">
        <f t="shared" si="6"/>
        <v>0</v>
      </c>
      <c r="AA429" s="4"/>
    </row>
    <row r="430" spans="4:27" x14ac:dyDescent="0.2">
      <c r="D430" s="34">
        <v>411</v>
      </c>
      <c r="E430" s="36">
        <v>2935195997.873107</v>
      </c>
      <c r="F430">
        <f t="shared" si="6"/>
        <v>0</v>
      </c>
      <c r="AA430" s="4"/>
    </row>
    <row r="431" spans="4:27" x14ac:dyDescent="0.2">
      <c r="D431" s="34">
        <v>412</v>
      </c>
      <c r="E431" s="36">
        <v>3069640212.4137588</v>
      </c>
      <c r="F431">
        <f t="shared" si="6"/>
        <v>0</v>
      </c>
      <c r="AA431" s="4"/>
    </row>
    <row r="432" spans="4:27" x14ac:dyDescent="0.2">
      <c r="D432" s="34">
        <v>413</v>
      </c>
      <c r="E432" s="36">
        <v>3130458468.2678967</v>
      </c>
      <c r="F432">
        <f t="shared" si="6"/>
        <v>0</v>
      </c>
      <c r="AA432" s="4"/>
    </row>
    <row r="433" spans="4:27" x14ac:dyDescent="0.2">
      <c r="D433" s="34">
        <v>414</v>
      </c>
      <c r="E433" s="36">
        <v>3158541402.74827</v>
      </c>
      <c r="F433">
        <f t="shared" si="6"/>
        <v>0</v>
      </c>
      <c r="AA433" s="4"/>
    </row>
    <row r="434" spans="4:27" x14ac:dyDescent="0.2">
      <c r="D434" s="34">
        <v>415</v>
      </c>
      <c r="E434" s="36">
        <v>2825479984.2928109</v>
      </c>
      <c r="F434">
        <f t="shared" si="6"/>
        <v>0</v>
      </c>
      <c r="AA434" s="4"/>
    </row>
    <row r="435" spans="4:27" x14ac:dyDescent="0.2">
      <c r="D435" s="34">
        <v>416</v>
      </c>
      <c r="E435" s="36">
        <v>2998313799.882884</v>
      </c>
      <c r="F435">
        <f t="shared" si="6"/>
        <v>0</v>
      </c>
      <c r="AA435" s="4"/>
    </row>
    <row r="436" spans="4:27" x14ac:dyDescent="0.2">
      <c r="D436" s="34">
        <v>417</v>
      </c>
      <c r="E436" s="36">
        <v>3215264681.7538829</v>
      </c>
      <c r="F436">
        <f t="shared" si="6"/>
        <v>0</v>
      </c>
      <c r="AA436" s="4"/>
    </row>
    <row r="437" spans="4:27" x14ac:dyDescent="0.2">
      <c r="D437" s="34">
        <v>418</v>
      </c>
      <c r="E437" s="36">
        <v>3235673985.6403165</v>
      </c>
      <c r="F437">
        <f t="shared" si="6"/>
        <v>0</v>
      </c>
      <c r="AA437" s="4"/>
    </row>
    <row r="438" spans="4:27" x14ac:dyDescent="0.2">
      <c r="D438" s="34">
        <v>419</v>
      </c>
      <c r="E438" s="36">
        <v>3015100641.2008457</v>
      </c>
      <c r="F438">
        <f t="shared" si="6"/>
        <v>0</v>
      </c>
      <c r="AA438" s="4"/>
    </row>
    <row r="439" spans="4:27" x14ac:dyDescent="0.2">
      <c r="D439" s="34">
        <v>420</v>
      </c>
      <c r="E439" s="36">
        <v>2966429145.6182017</v>
      </c>
      <c r="F439">
        <f t="shared" si="6"/>
        <v>0</v>
      </c>
      <c r="AA439" s="4"/>
    </row>
    <row r="440" spans="4:27" x14ac:dyDescent="0.2">
      <c r="D440" s="34">
        <v>421</v>
      </c>
      <c r="E440" s="36">
        <v>3189545078.0379925</v>
      </c>
      <c r="F440">
        <f t="shared" si="6"/>
        <v>0</v>
      </c>
      <c r="AA440" s="4"/>
    </row>
    <row r="441" spans="4:27" x14ac:dyDescent="0.2">
      <c r="D441" s="34">
        <v>422</v>
      </c>
      <c r="E441" s="36">
        <v>3026194560.2179179</v>
      </c>
      <c r="F441">
        <f t="shared" si="6"/>
        <v>0</v>
      </c>
      <c r="AA441" s="4"/>
    </row>
    <row r="442" spans="4:27" x14ac:dyDescent="0.2">
      <c r="D442" s="34">
        <v>423</v>
      </c>
      <c r="E442" s="36">
        <v>3337627231.3714657</v>
      </c>
      <c r="F442">
        <f t="shared" si="6"/>
        <v>0</v>
      </c>
      <c r="AA442" s="4"/>
    </row>
    <row r="443" spans="4:27" x14ac:dyDescent="0.2">
      <c r="D443" s="34">
        <v>424</v>
      </c>
      <c r="E443" s="36">
        <v>3276188084.695097</v>
      </c>
      <c r="F443">
        <f t="shared" si="6"/>
        <v>0</v>
      </c>
      <c r="AA443" s="4"/>
    </row>
    <row r="444" spans="4:27" x14ac:dyDescent="0.2">
      <c r="D444" s="34">
        <v>425</v>
      </c>
      <c r="E444" s="36">
        <v>3097329387.3989563</v>
      </c>
      <c r="F444">
        <f t="shared" si="6"/>
        <v>0</v>
      </c>
      <c r="AA444" s="4"/>
    </row>
    <row r="445" spans="4:27" x14ac:dyDescent="0.2">
      <c r="D445" s="34">
        <v>426</v>
      </c>
      <c r="E445" s="36">
        <v>3060802050.5435996</v>
      </c>
      <c r="F445">
        <f t="shared" si="6"/>
        <v>0</v>
      </c>
      <c r="AA445" s="4"/>
    </row>
    <row r="446" spans="4:27" x14ac:dyDescent="0.2">
      <c r="D446" s="34">
        <v>427</v>
      </c>
      <c r="E446" s="36">
        <v>2952570291.2040195</v>
      </c>
      <c r="F446">
        <f t="shared" si="6"/>
        <v>0</v>
      </c>
      <c r="AA446" s="4"/>
    </row>
    <row r="447" spans="4:27" x14ac:dyDescent="0.2">
      <c r="D447" s="34">
        <v>428</v>
      </c>
      <c r="E447" s="36">
        <v>2897148948.4274883</v>
      </c>
      <c r="F447">
        <f t="shared" si="6"/>
        <v>0</v>
      </c>
      <c r="AA447" s="4"/>
    </row>
    <row r="448" spans="4:27" x14ac:dyDescent="0.2">
      <c r="D448" s="34">
        <v>429</v>
      </c>
      <c r="E448" s="36">
        <v>2908010640.9570704</v>
      </c>
      <c r="F448">
        <f t="shared" si="6"/>
        <v>0</v>
      </c>
      <c r="AA448" s="4"/>
    </row>
    <row r="449" spans="4:27" x14ac:dyDescent="0.2">
      <c r="D449" s="34">
        <v>430</v>
      </c>
      <c r="E449" s="36">
        <v>3333138152.7907763</v>
      </c>
      <c r="F449">
        <f t="shared" si="6"/>
        <v>0</v>
      </c>
      <c r="AA449" s="4"/>
    </row>
    <row r="450" spans="4:27" x14ac:dyDescent="0.2">
      <c r="D450" s="34">
        <v>431</v>
      </c>
      <c r="E450" s="36">
        <v>3052005469.4001303</v>
      </c>
      <c r="F450">
        <f t="shared" si="6"/>
        <v>0</v>
      </c>
      <c r="AA450" s="4"/>
    </row>
    <row r="451" spans="4:27" x14ac:dyDescent="0.2">
      <c r="D451" s="34">
        <v>432</v>
      </c>
      <c r="E451" s="36">
        <v>2927405870.6621785</v>
      </c>
      <c r="F451">
        <f t="shared" si="6"/>
        <v>0</v>
      </c>
      <c r="AA451" s="4"/>
    </row>
    <row r="452" spans="4:27" x14ac:dyDescent="0.2">
      <c r="D452" s="34">
        <v>433</v>
      </c>
      <c r="E452" s="36">
        <v>3034267901.2826781</v>
      </c>
      <c r="F452">
        <f t="shared" si="6"/>
        <v>0</v>
      </c>
      <c r="AA452" s="4"/>
    </row>
    <row r="453" spans="4:27" x14ac:dyDescent="0.2">
      <c r="D453" s="34">
        <v>434</v>
      </c>
      <c r="E453" s="36">
        <v>3139397768.0171218</v>
      </c>
      <c r="F453">
        <f t="shared" si="6"/>
        <v>0</v>
      </c>
      <c r="AA453" s="4"/>
    </row>
    <row r="454" spans="4:27" x14ac:dyDescent="0.2">
      <c r="D454" s="34">
        <v>435</v>
      </c>
      <c r="E454" s="36">
        <v>2990270706.3732524</v>
      </c>
      <c r="F454">
        <f t="shared" si="6"/>
        <v>0</v>
      </c>
      <c r="AA454" s="4"/>
    </row>
    <row r="455" spans="4:27" x14ac:dyDescent="0.2">
      <c r="D455" s="34">
        <v>436</v>
      </c>
      <c r="E455" s="36">
        <v>3082815641.4811897</v>
      </c>
      <c r="F455">
        <f t="shared" si="6"/>
        <v>0</v>
      </c>
      <c r="AA455" s="4"/>
    </row>
    <row r="456" spans="4:27" x14ac:dyDescent="0.2">
      <c r="D456" s="34">
        <v>437</v>
      </c>
      <c r="E456" s="36">
        <v>2916950198.7674589</v>
      </c>
      <c r="F456">
        <f t="shared" si="6"/>
        <v>0</v>
      </c>
      <c r="AA456" s="4"/>
    </row>
    <row r="457" spans="4:27" x14ac:dyDescent="0.2">
      <c r="D457" s="34">
        <v>438</v>
      </c>
      <c r="E457" s="36">
        <v>3064848036.7391214</v>
      </c>
      <c r="F457">
        <f t="shared" si="6"/>
        <v>0</v>
      </c>
      <c r="AA457" s="4"/>
    </row>
    <row r="458" spans="4:27" x14ac:dyDescent="0.2">
      <c r="D458" s="34">
        <v>439</v>
      </c>
      <c r="E458" s="36">
        <v>3017874123.1351781</v>
      </c>
      <c r="F458">
        <f t="shared" si="6"/>
        <v>0</v>
      </c>
      <c r="AA458" s="4"/>
    </row>
    <row r="459" spans="4:27" x14ac:dyDescent="0.2">
      <c r="D459" s="34">
        <v>440</v>
      </c>
      <c r="E459" s="36">
        <v>3547691084.961524</v>
      </c>
      <c r="F459">
        <f t="shared" si="6"/>
        <v>0</v>
      </c>
      <c r="AA459" s="4"/>
    </row>
    <row r="460" spans="4:27" x14ac:dyDescent="0.2">
      <c r="D460" s="34">
        <v>441</v>
      </c>
      <c r="E460" s="36">
        <v>3268689030.3601608</v>
      </c>
      <c r="F460">
        <f t="shared" si="6"/>
        <v>0</v>
      </c>
      <c r="AA460" s="4"/>
    </row>
    <row r="461" spans="4:27" x14ac:dyDescent="0.2">
      <c r="D461" s="34">
        <v>442</v>
      </c>
      <c r="E461" s="36">
        <v>3148994839.8790593</v>
      </c>
      <c r="F461">
        <f t="shared" si="6"/>
        <v>0</v>
      </c>
      <c r="AA461" s="4"/>
    </row>
    <row r="462" spans="4:27" x14ac:dyDescent="0.2">
      <c r="D462" s="34">
        <v>443</v>
      </c>
      <c r="E462" s="36">
        <v>2795539020.3229203</v>
      </c>
      <c r="F462">
        <f t="shared" si="6"/>
        <v>0</v>
      </c>
      <c r="AA462" s="4"/>
    </row>
    <row r="463" spans="4:27" x14ac:dyDescent="0.2">
      <c r="D463" s="34">
        <v>444</v>
      </c>
      <c r="E463" s="36">
        <v>3205485171.1223993</v>
      </c>
      <c r="F463">
        <f t="shared" si="6"/>
        <v>0</v>
      </c>
      <c r="AA463" s="4"/>
    </row>
    <row r="464" spans="4:27" x14ac:dyDescent="0.2">
      <c r="D464" s="34">
        <v>445</v>
      </c>
      <c r="E464" s="36">
        <v>3313174203.7035646</v>
      </c>
      <c r="F464">
        <f t="shared" si="6"/>
        <v>0</v>
      </c>
      <c r="AA464" s="4"/>
    </row>
    <row r="465" spans="4:27" x14ac:dyDescent="0.2">
      <c r="D465" s="34">
        <v>446</v>
      </c>
      <c r="E465" s="36">
        <v>3041481268.9197345</v>
      </c>
      <c r="F465">
        <f t="shared" si="6"/>
        <v>0</v>
      </c>
      <c r="AA465" s="4"/>
    </row>
    <row r="466" spans="4:27" x14ac:dyDescent="0.2">
      <c r="D466" s="34">
        <v>447</v>
      </c>
      <c r="E466" s="36">
        <v>3074062129.4373541</v>
      </c>
      <c r="F466">
        <f t="shared" si="6"/>
        <v>0</v>
      </c>
      <c r="AA466" s="4"/>
    </row>
    <row r="467" spans="4:27" x14ac:dyDescent="0.2">
      <c r="D467" s="34">
        <v>448</v>
      </c>
      <c r="E467" s="36">
        <v>3025677857.6836638</v>
      </c>
      <c r="F467">
        <f t="shared" si="6"/>
        <v>0</v>
      </c>
      <c r="AA467" s="4"/>
    </row>
    <row r="468" spans="4:27" x14ac:dyDescent="0.2">
      <c r="D468" s="34">
        <v>449</v>
      </c>
      <c r="E468" s="36">
        <v>3320245020.0038075</v>
      </c>
      <c r="F468">
        <f t="shared" si="6"/>
        <v>0</v>
      </c>
      <c r="AA468" s="4"/>
    </row>
    <row r="469" spans="4:27" x14ac:dyDescent="0.2">
      <c r="D469" s="34">
        <v>450</v>
      </c>
      <c r="E469" s="36">
        <v>3122788713.0817657</v>
      </c>
      <c r="F469">
        <f t="shared" ref="F469:F532" si="7">IF(E469&lt;1700000000,1,0)</f>
        <v>0</v>
      </c>
      <c r="AA469" s="4"/>
    </row>
    <row r="470" spans="4:27" x14ac:dyDescent="0.2">
      <c r="D470" s="34">
        <v>451</v>
      </c>
      <c r="E470" s="36">
        <v>3125616972.3126936</v>
      </c>
      <c r="F470">
        <f t="shared" si="7"/>
        <v>0</v>
      </c>
      <c r="AA470" s="4"/>
    </row>
    <row r="471" spans="4:27" x14ac:dyDescent="0.2">
      <c r="D471" s="34">
        <v>452</v>
      </c>
      <c r="E471" s="36">
        <v>3117116682.4351039</v>
      </c>
      <c r="F471">
        <f t="shared" si="7"/>
        <v>0</v>
      </c>
      <c r="AA471" s="4"/>
    </row>
    <row r="472" spans="4:27" x14ac:dyDescent="0.2">
      <c r="D472" s="34">
        <v>453</v>
      </c>
      <c r="E472" s="36">
        <v>2974073442.581069</v>
      </c>
      <c r="F472">
        <f t="shared" si="7"/>
        <v>0</v>
      </c>
      <c r="AA472" s="4"/>
    </row>
    <row r="473" spans="4:27" x14ac:dyDescent="0.2">
      <c r="D473" s="34">
        <v>454</v>
      </c>
      <c r="E473" s="36">
        <v>3009674019.7148457</v>
      </c>
      <c r="F473">
        <f t="shared" si="7"/>
        <v>0</v>
      </c>
      <c r="AA473" s="4"/>
    </row>
    <row r="474" spans="4:27" x14ac:dyDescent="0.2">
      <c r="D474" s="34">
        <v>455</v>
      </c>
      <c r="E474" s="36">
        <v>3194556587.9844699</v>
      </c>
      <c r="F474">
        <f t="shared" si="7"/>
        <v>0</v>
      </c>
      <c r="AA474" s="4"/>
    </row>
    <row r="475" spans="4:27" x14ac:dyDescent="0.2">
      <c r="D475" s="34">
        <v>456</v>
      </c>
      <c r="E475" s="36">
        <v>2813116723.027132</v>
      </c>
      <c r="F475">
        <f t="shared" si="7"/>
        <v>0</v>
      </c>
      <c r="AA475" s="4"/>
    </row>
    <row r="476" spans="4:27" x14ac:dyDescent="0.2">
      <c r="D476" s="34">
        <v>457</v>
      </c>
      <c r="E476" s="36">
        <v>3168158001.6464648</v>
      </c>
      <c r="F476">
        <f t="shared" si="7"/>
        <v>0</v>
      </c>
      <c r="AA476" s="4"/>
    </row>
    <row r="477" spans="4:27" x14ac:dyDescent="0.2">
      <c r="D477" s="34">
        <v>458</v>
      </c>
      <c r="E477" s="36">
        <v>3238042024.9736857</v>
      </c>
      <c r="F477">
        <f t="shared" si="7"/>
        <v>0</v>
      </c>
      <c r="AA477" s="4"/>
    </row>
    <row r="478" spans="4:27" x14ac:dyDescent="0.2">
      <c r="D478" s="34">
        <v>459</v>
      </c>
      <c r="E478" s="36">
        <v>3134684508.6910744</v>
      </c>
      <c r="F478">
        <f t="shared" si="7"/>
        <v>0</v>
      </c>
      <c r="AA478" s="4"/>
    </row>
    <row r="479" spans="4:27" x14ac:dyDescent="0.2">
      <c r="D479" s="34">
        <v>460</v>
      </c>
      <c r="E479" s="36">
        <v>3084890843.7533221</v>
      </c>
      <c r="F479">
        <f t="shared" si="7"/>
        <v>0</v>
      </c>
      <c r="AA479" s="4"/>
    </row>
    <row r="480" spans="4:27" x14ac:dyDescent="0.2">
      <c r="D480" s="34">
        <v>461</v>
      </c>
      <c r="E480" s="36">
        <v>3035075762.1131854</v>
      </c>
      <c r="F480">
        <f t="shared" si="7"/>
        <v>0</v>
      </c>
      <c r="AA480" s="4"/>
    </row>
    <row r="481" spans="4:27" x14ac:dyDescent="0.2">
      <c r="D481" s="34">
        <v>462</v>
      </c>
      <c r="E481" s="36">
        <v>2988044465.8434339</v>
      </c>
      <c r="F481">
        <f t="shared" si="7"/>
        <v>0</v>
      </c>
      <c r="AA481" s="4"/>
    </row>
    <row r="482" spans="4:27" x14ac:dyDescent="0.2">
      <c r="D482" s="34">
        <v>463</v>
      </c>
      <c r="E482" s="36">
        <v>3324885973.7609444</v>
      </c>
      <c r="F482">
        <f t="shared" si="7"/>
        <v>0</v>
      </c>
      <c r="AA482" s="4"/>
    </row>
    <row r="483" spans="4:27" x14ac:dyDescent="0.2">
      <c r="D483" s="34">
        <v>464</v>
      </c>
      <c r="E483" s="36">
        <v>2994089621.1372228</v>
      </c>
      <c r="F483">
        <f t="shared" si="7"/>
        <v>0</v>
      </c>
      <c r="AA483" s="4"/>
    </row>
    <row r="484" spans="4:27" x14ac:dyDescent="0.2">
      <c r="D484" s="34">
        <v>465</v>
      </c>
      <c r="E484" s="36">
        <v>2878390358.3378725</v>
      </c>
      <c r="F484">
        <f t="shared" si="7"/>
        <v>0</v>
      </c>
      <c r="AA484" s="4"/>
    </row>
    <row r="485" spans="4:27" x14ac:dyDescent="0.2">
      <c r="D485" s="34">
        <v>466</v>
      </c>
      <c r="E485" s="36">
        <v>3298087345.2702031</v>
      </c>
      <c r="F485">
        <f t="shared" si="7"/>
        <v>0</v>
      </c>
      <c r="AA485" s="4"/>
    </row>
    <row r="486" spans="4:27" x14ac:dyDescent="0.2">
      <c r="D486" s="34">
        <v>467</v>
      </c>
      <c r="E486" s="36">
        <v>2996850351.281292</v>
      </c>
      <c r="F486">
        <f t="shared" si="7"/>
        <v>0</v>
      </c>
      <c r="AA486" s="4"/>
    </row>
    <row r="487" spans="4:27" x14ac:dyDescent="0.2">
      <c r="D487" s="34">
        <v>468</v>
      </c>
      <c r="E487" s="36">
        <v>3087987403.9930573</v>
      </c>
      <c r="F487">
        <f t="shared" si="7"/>
        <v>0</v>
      </c>
      <c r="AA487" s="4"/>
    </row>
    <row r="488" spans="4:27" x14ac:dyDescent="0.2">
      <c r="D488" s="34">
        <v>469</v>
      </c>
      <c r="E488" s="36">
        <v>3196796230.7350173</v>
      </c>
      <c r="F488">
        <f t="shared" si="7"/>
        <v>0</v>
      </c>
      <c r="AA488" s="4"/>
    </row>
    <row r="489" spans="4:27" x14ac:dyDescent="0.2">
      <c r="D489" s="34">
        <v>470</v>
      </c>
      <c r="E489" s="36">
        <v>3200380704.340343</v>
      </c>
      <c r="F489">
        <f t="shared" si="7"/>
        <v>0</v>
      </c>
      <c r="AA489" s="4"/>
    </row>
    <row r="490" spans="4:27" x14ac:dyDescent="0.2">
      <c r="D490" s="34">
        <v>471</v>
      </c>
      <c r="E490" s="36">
        <v>3134828138.2273488</v>
      </c>
      <c r="F490">
        <f t="shared" si="7"/>
        <v>0</v>
      </c>
      <c r="AA490" s="4"/>
    </row>
    <row r="491" spans="4:27" x14ac:dyDescent="0.2">
      <c r="D491" s="34">
        <v>472</v>
      </c>
      <c r="E491" s="36">
        <v>2958456362.0235925</v>
      </c>
      <c r="F491">
        <f t="shared" si="7"/>
        <v>0</v>
      </c>
      <c r="AA491" s="4"/>
    </row>
    <row r="492" spans="4:27" x14ac:dyDescent="0.2">
      <c r="D492" s="34">
        <v>473</v>
      </c>
      <c r="E492" s="36">
        <v>2908456136.013988</v>
      </c>
      <c r="F492">
        <f t="shared" si="7"/>
        <v>0</v>
      </c>
      <c r="AA492" s="4"/>
    </row>
    <row r="493" spans="4:27" x14ac:dyDescent="0.2">
      <c r="D493" s="34">
        <v>474</v>
      </c>
      <c r="E493" s="36">
        <v>3113557860.0347757</v>
      </c>
      <c r="F493">
        <f t="shared" si="7"/>
        <v>0</v>
      </c>
      <c r="AA493" s="4"/>
    </row>
    <row r="494" spans="4:27" x14ac:dyDescent="0.2">
      <c r="D494" s="34">
        <v>475</v>
      </c>
      <c r="E494" s="36">
        <v>3205485628.5285826</v>
      </c>
      <c r="F494">
        <f t="shared" si="7"/>
        <v>0</v>
      </c>
      <c r="AA494" s="4"/>
    </row>
    <row r="495" spans="4:27" x14ac:dyDescent="0.2">
      <c r="D495" s="34">
        <v>476</v>
      </c>
      <c r="E495" s="36">
        <v>2917753918.1942797</v>
      </c>
      <c r="F495">
        <f t="shared" si="7"/>
        <v>0</v>
      </c>
      <c r="AA495" s="4"/>
    </row>
    <row r="496" spans="4:27" x14ac:dyDescent="0.2">
      <c r="D496" s="34">
        <v>477</v>
      </c>
      <c r="E496" s="36">
        <v>3237843034.8768992</v>
      </c>
      <c r="F496">
        <f t="shared" si="7"/>
        <v>0</v>
      </c>
      <c r="AA496" s="4"/>
    </row>
    <row r="497" spans="4:27" x14ac:dyDescent="0.2">
      <c r="D497" s="34">
        <v>478</v>
      </c>
      <c r="E497" s="36">
        <v>3340540804.7944722</v>
      </c>
      <c r="F497">
        <f t="shared" si="7"/>
        <v>0</v>
      </c>
      <c r="AA497" s="4"/>
    </row>
    <row r="498" spans="4:27" x14ac:dyDescent="0.2">
      <c r="D498" s="34">
        <v>479</v>
      </c>
      <c r="E498" s="36">
        <v>2954432626.6799088</v>
      </c>
      <c r="F498">
        <f t="shared" si="7"/>
        <v>0</v>
      </c>
      <c r="AA498" s="4"/>
    </row>
    <row r="499" spans="4:27" x14ac:dyDescent="0.2">
      <c r="D499" s="34">
        <v>480</v>
      </c>
      <c r="E499" s="36">
        <v>2960346306.0807672</v>
      </c>
      <c r="F499">
        <f t="shared" si="7"/>
        <v>0</v>
      </c>
      <c r="AA499" s="4"/>
    </row>
    <row r="500" spans="4:27" x14ac:dyDescent="0.2">
      <c r="D500" s="34">
        <v>481</v>
      </c>
      <c r="E500" s="36">
        <v>2906716480.118094</v>
      </c>
      <c r="F500">
        <f t="shared" si="7"/>
        <v>0</v>
      </c>
      <c r="AA500" s="4"/>
    </row>
    <row r="501" spans="4:27" x14ac:dyDescent="0.2">
      <c r="D501" s="34">
        <v>482</v>
      </c>
      <c r="E501" s="36">
        <v>3278007252.2050567</v>
      </c>
      <c r="F501">
        <f t="shared" si="7"/>
        <v>0</v>
      </c>
      <c r="AA501" s="4"/>
    </row>
    <row r="502" spans="4:27" x14ac:dyDescent="0.2">
      <c r="D502" s="34">
        <v>483</v>
      </c>
      <c r="E502" s="36">
        <v>3174917579.2446051</v>
      </c>
      <c r="F502">
        <f t="shared" si="7"/>
        <v>0</v>
      </c>
      <c r="AA502" s="4"/>
    </row>
    <row r="503" spans="4:27" x14ac:dyDescent="0.2">
      <c r="D503" s="34">
        <v>484</v>
      </c>
      <c r="E503" s="36">
        <v>3199925593.7800846</v>
      </c>
      <c r="F503">
        <f t="shared" si="7"/>
        <v>0</v>
      </c>
      <c r="AA503" s="4"/>
    </row>
    <row r="504" spans="4:27" x14ac:dyDescent="0.2">
      <c r="D504" s="34">
        <v>485</v>
      </c>
      <c r="E504" s="36">
        <v>3235885164.1641884</v>
      </c>
      <c r="F504">
        <f t="shared" si="7"/>
        <v>0</v>
      </c>
      <c r="AA504" s="4"/>
    </row>
    <row r="505" spans="4:27" x14ac:dyDescent="0.2">
      <c r="D505" s="34">
        <v>486</v>
      </c>
      <c r="E505" s="36">
        <v>3292025224.082406</v>
      </c>
      <c r="F505">
        <f t="shared" si="7"/>
        <v>0</v>
      </c>
      <c r="AA505" s="4"/>
    </row>
    <row r="506" spans="4:27" x14ac:dyDescent="0.2">
      <c r="D506" s="34">
        <v>487</v>
      </c>
      <c r="E506" s="36">
        <v>3132252525.4370518</v>
      </c>
      <c r="F506">
        <f t="shared" si="7"/>
        <v>0</v>
      </c>
      <c r="AA506" s="4"/>
    </row>
    <row r="507" spans="4:27" x14ac:dyDescent="0.2">
      <c r="D507" s="34">
        <v>488</v>
      </c>
      <c r="E507" s="36">
        <v>3106269941.6520152</v>
      </c>
      <c r="F507">
        <f t="shared" si="7"/>
        <v>0</v>
      </c>
      <c r="AA507" s="4"/>
    </row>
    <row r="508" spans="4:27" x14ac:dyDescent="0.2">
      <c r="D508" s="34">
        <v>489</v>
      </c>
      <c r="E508" s="36">
        <v>3162271446.2304811</v>
      </c>
      <c r="F508">
        <f t="shared" si="7"/>
        <v>0</v>
      </c>
      <c r="AA508" s="4"/>
    </row>
    <row r="509" spans="4:27" x14ac:dyDescent="0.2">
      <c r="D509" s="34">
        <v>490</v>
      </c>
      <c r="E509" s="36">
        <v>2814985258.4798431</v>
      </c>
      <c r="F509">
        <f t="shared" si="7"/>
        <v>0</v>
      </c>
      <c r="AA509" s="4"/>
    </row>
    <row r="510" spans="4:27" x14ac:dyDescent="0.2">
      <c r="D510" s="34">
        <v>491</v>
      </c>
      <c r="E510" s="36">
        <v>3358907554.754271</v>
      </c>
      <c r="F510">
        <f t="shared" si="7"/>
        <v>0</v>
      </c>
      <c r="AA510" s="4"/>
    </row>
    <row r="511" spans="4:27" x14ac:dyDescent="0.2">
      <c r="D511" s="34">
        <v>492</v>
      </c>
      <c r="E511" s="36">
        <v>3060973596.6969042</v>
      </c>
      <c r="F511">
        <f t="shared" si="7"/>
        <v>0</v>
      </c>
      <c r="AA511" s="4"/>
    </row>
    <row r="512" spans="4:27" x14ac:dyDescent="0.2">
      <c r="D512" s="34">
        <v>493</v>
      </c>
      <c r="E512" s="36">
        <v>3260190769.6672688</v>
      </c>
      <c r="F512">
        <f t="shared" si="7"/>
        <v>0</v>
      </c>
      <c r="AA512" s="4"/>
    </row>
    <row r="513" spans="4:27" x14ac:dyDescent="0.2">
      <c r="D513" s="34">
        <v>494</v>
      </c>
      <c r="E513" s="36">
        <v>3002393773.6815028</v>
      </c>
      <c r="F513">
        <f t="shared" si="7"/>
        <v>0</v>
      </c>
      <c r="AA513" s="4"/>
    </row>
    <row r="514" spans="4:27" x14ac:dyDescent="0.2">
      <c r="D514" s="34">
        <v>495</v>
      </c>
      <c r="E514" s="36">
        <v>3095303863.1142259</v>
      </c>
      <c r="F514">
        <f t="shared" si="7"/>
        <v>0</v>
      </c>
      <c r="AA514" s="4"/>
    </row>
    <row r="515" spans="4:27" x14ac:dyDescent="0.2">
      <c r="D515" s="34">
        <v>496</v>
      </c>
      <c r="E515" s="36">
        <v>3213391776.9505763</v>
      </c>
      <c r="F515">
        <f t="shared" si="7"/>
        <v>0</v>
      </c>
      <c r="AA515" s="4"/>
    </row>
    <row r="516" spans="4:27" x14ac:dyDescent="0.2">
      <c r="D516" s="34">
        <v>497</v>
      </c>
      <c r="E516" s="36">
        <v>2864002480.1888342</v>
      </c>
      <c r="F516">
        <f t="shared" si="7"/>
        <v>0</v>
      </c>
      <c r="AA516" s="4"/>
    </row>
    <row r="517" spans="4:27" x14ac:dyDescent="0.2">
      <c r="D517" s="34">
        <v>498</v>
      </c>
      <c r="E517" s="36">
        <v>3133289488.9005761</v>
      </c>
      <c r="F517">
        <f t="shared" si="7"/>
        <v>0</v>
      </c>
      <c r="AA517" s="4"/>
    </row>
    <row r="518" spans="4:27" x14ac:dyDescent="0.2">
      <c r="D518" s="34">
        <v>499</v>
      </c>
      <c r="E518" s="36">
        <v>2863445970.2883792</v>
      </c>
      <c r="F518">
        <f t="shared" si="7"/>
        <v>0</v>
      </c>
      <c r="AA518" s="4"/>
    </row>
    <row r="519" spans="4:27" x14ac:dyDescent="0.2">
      <c r="D519" s="34">
        <v>500</v>
      </c>
      <c r="E519" s="36">
        <v>2862572252.3147683</v>
      </c>
      <c r="F519">
        <f t="shared" si="7"/>
        <v>0</v>
      </c>
      <c r="AA519" s="4"/>
    </row>
    <row r="520" spans="4:27" x14ac:dyDescent="0.2">
      <c r="D520" s="34">
        <v>501</v>
      </c>
      <c r="E520" s="36">
        <v>3368337467.5582266</v>
      </c>
      <c r="F520">
        <f t="shared" si="7"/>
        <v>0</v>
      </c>
      <c r="AA520" s="4"/>
    </row>
    <row r="521" spans="4:27" x14ac:dyDescent="0.2">
      <c r="D521" s="34">
        <v>502</v>
      </c>
      <c r="E521" s="36">
        <v>3010822642.0636859</v>
      </c>
      <c r="F521">
        <f t="shared" si="7"/>
        <v>0</v>
      </c>
      <c r="AA521" s="4"/>
    </row>
    <row r="522" spans="4:27" x14ac:dyDescent="0.2">
      <c r="D522" s="34">
        <v>503</v>
      </c>
      <c r="E522" s="36">
        <v>3240762428.8199434</v>
      </c>
      <c r="F522">
        <f t="shared" si="7"/>
        <v>0</v>
      </c>
      <c r="AA522" s="4"/>
    </row>
    <row r="523" spans="4:27" x14ac:dyDescent="0.2">
      <c r="D523" s="34">
        <v>504</v>
      </c>
      <c r="E523" s="36">
        <v>3075291958.4957848</v>
      </c>
      <c r="F523">
        <f t="shared" si="7"/>
        <v>0</v>
      </c>
      <c r="AA523" s="4"/>
    </row>
    <row r="524" spans="4:27" x14ac:dyDescent="0.2">
      <c r="D524" s="34">
        <v>505</v>
      </c>
      <c r="E524" s="36">
        <v>2958874457.9678917</v>
      </c>
      <c r="F524">
        <f t="shared" si="7"/>
        <v>0</v>
      </c>
      <c r="AA524" s="4"/>
    </row>
    <row r="525" spans="4:27" x14ac:dyDescent="0.2">
      <c r="D525" s="34">
        <v>506</v>
      </c>
      <c r="E525" s="36">
        <v>2886476105.0998435</v>
      </c>
      <c r="F525">
        <f t="shared" si="7"/>
        <v>0</v>
      </c>
      <c r="AA525" s="4"/>
    </row>
    <row r="526" spans="4:27" x14ac:dyDescent="0.2">
      <c r="D526" s="34">
        <v>507</v>
      </c>
      <c r="E526" s="36">
        <v>3173503558.2094159</v>
      </c>
      <c r="F526">
        <f t="shared" si="7"/>
        <v>0</v>
      </c>
      <c r="AA526" s="4"/>
    </row>
    <row r="527" spans="4:27" x14ac:dyDescent="0.2">
      <c r="D527" s="34">
        <v>508</v>
      </c>
      <c r="E527" s="36">
        <v>3246328392.954905</v>
      </c>
      <c r="F527">
        <f t="shared" si="7"/>
        <v>0</v>
      </c>
      <c r="AA527" s="4"/>
    </row>
    <row r="528" spans="4:27" x14ac:dyDescent="0.2">
      <c r="D528" s="34">
        <v>509</v>
      </c>
      <c r="E528" s="36">
        <v>3221395027.5362973</v>
      </c>
      <c r="F528">
        <f t="shared" si="7"/>
        <v>0</v>
      </c>
      <c r="AA528" s="4"/>
    </row>
    <row r="529" spans="4:27" x14ac:dyDescent="0.2">
      <c r="D529" s="34">
        <v>510</v>
      </c>
      <c r="E529" s="36">
        <v>3149015560.8059697</v>
      </c>
      <c r="F529">
        <f t="shared" si="7"/>
        <v>0</v>
      </c>
      <c r="AA529" s="4"/>
    </row>
    <row r="530" spans="4:27" x14ac:dyDescent="0.2">
      <c r="D530" s="34">
        <v>511</v>
      </c>
      <c r="E530" s="36">
        <v>3056752312.5909977</v>
      </c>
      <c r="F530">
        <f t="shared" si="7"/>
        <v>0</v>
      </c>
      <c r="AA530" s="4"/>
    </row>
    <row r="531" spans="4:27" x14ac:dyDescent="0.2">
      <c r="D531" s="34">
        <v>512</v>
      </c>
      <c r="E531" s="36">
        <v>3000743821.2739792</v>
      </c>
      <c r="F531">
        <f t="shared" si="7"/>
        <v>0</v>
      </c>
      <c r="AA531" s="4"/>
    </row>
    <row r="532" spans="4:27" x14ac:dyDescent="0.2">
      <c r="D532" s="34">
        <v>513</v>
      </c>
      <c r="E532" s="36">
        <v>3164447808.0973697</v>
      </c>
      <c r="F532">
        <f t="shared" si="7"/>
        <v>0</v>
      </c>
      <c r="AA532" s="4"/>
    </row>
    <row r="533" spans="4:27" x14ac:dyDescent="0.2">
      <c r="D533" s="34">
        <v>514</v>
      </c>
      <c r="E533" s="36">
        <v>3008376971.0811639</v>
      </c>
      <c r="F533">
        <f t="shared" ref="F533:F596" si="8">IF(E533&lt;1700000000,1,0)</f>
        <v>0</v>
      </c>
      <c r="AA533" s="4"/>
    </row>
    <row r="534" spans="4:27" x14ac:dyDescent="0.2">
      <c r="D534" s="34">
        <v>515</v>
      </c>
      <c r="E534" s="36">
        <v>3190338281.3104258</v>
      </c>
      <c r="F534">
        <f t="shared" si="8"/>
        <v>0</v>
      </c>
      <c r="AA534" s="4"/>
    </row>
    <row r="535" spans="4:27" x14ac:dyDescent="0.2">
      <c r="D535" s="34">
        <v>516</v>
      </c>
      <c r="E535" s="36">
        <v>3349076379.9509058</v>
      </c>
      <c r="F535">
        <f t="shared" si="8"/>
        <v>0</v>
      </c>
      <c r="AA535" s="4"/>
    </row>
    <row r="536" spans="4:27" x14ac:dyDescent="0.2">
      <c r="D536" s="34">
        <v>517</v>
      </c>
      <c r="E536" s="36">
        <v>3272745572.8847675</v>
      </c>
      <c r="F536">
        <f t="shared" si="8"/>
        <v>0</v>
      </c>
      <c r="AA536" s="4"/>
    </row>
    <row r="537" spans="4:27" x14ac:dyDescent="0.2">
      <c r="D537" s="34">
        <v>518</v>
      </c>
      <c r="E537" s="36">
        <v>2884367234.3163657</v>
      </c>
      <c r="F537">
        <f t="shared" si="8"/>
        <v>0</v>
      </c>
      <c r="AA537" s="4"/>
    </row>
    <row r="538" spans="4:27" x14ac:dyDescent="0.2">
      <c r="D538" s="34">
        <v>519</v>
      </c>
      <c r="E538" s="36">
        <v>3014867080.4830723</v>
      </c>
      <c r="F538">
        <f t="shared" si="8"/>
        <v>0</v>
      </c>
      <c r="AA538" s="4"/>
    </row>
    <row r="539" spans="4:27" x14ac:dyDescent="0.2">
      <c r="D539" s="34">
        <v>520</v>
      </c>
      <c r="E539" s="36">
        <v>3064949684.2494469</v>
      </c>
      <c r="F539">
        <f t="shared" si="8"/>
        <v>0</v>
      </c>
      <c r="AA539" s="4"/>
    </row>
    <row r="540" spans="4:27" x14ac:dyDescent="0.2">
      <c r="D540" s="34">
        <v>521</v>
      </c>
      <c r="E540" s="36">
        <v>2881860374.0457754</v>
      </c>
      <c r="F540">
        <f t="shared" si="8"/>
        <v>0</v>
      </c>
      <c r="AA540" s="4"/>
    </row>
    <row r="541" spans="4:27" x14ac:dyDescent="0.2">
      <c r="D541" s="34">
        <v>522</v>
      </c>
      <c r="E541" s="36">
        <v>3271100952.1439967</v>
      </c>
      <c r="F541">
        <f t="shared" si="8"/>
        <v>0</v>
      </c>
      <c r="AA541" s="4"/>
    </row>
    <row r="542" spans="4:27" x14ac:dyDescent="0.2">
      <c r="D542" s="34">
        <v>523</v>
      </c>
      <c r="E542" s="36">
        <v>3397873714.590435</v>
      </c>
      <c r="F542">
        <f t="shared" si="8"/>
        <v>0</v>
      </c>
      <c r="AA542" s="4"/>
    </row>
    <row r="543" spans="4:27" x14ac:dyDescent="0.2">
      <c r="D543" s="34">
        <v>524</v>
      </c>
      <c r="E543" s="36">
        <v>3128020299.7466264</v>
      </c>
      <c r="F543">
        <f t="shared" si="8"/>
        <v>0</v>
      </c>
      <c r="AA543" s="4"/>
    </row>
    <row r="544" spans="4:27" x14ac:dyDescent="0.2">
      <c r="D544" s="34">
        <v>525</v>
      </c>
      <c r="E544" s="36">
        <v>3163057161.0937672</v>
      </c>
      <c r="F544">
        <f t="shared" si="8"/>
        <v>0</v>
      </c>
      <c r="AA544" s="4"/>
    </row>
    <row r="545" spans="4:27" x14ac:dyDescent="0.2">
      <c r="D545" s="34">
        <v>526</v>
      </c>
      <c r="E545" s="36">
        <v>3134786024.3713984</v>
      </c>
      <c r="F545">
        <f t="shared" si="8"/>
        <v>0</v>
      </c>
      <c r="AA545" s="4"/>
    </row>
    <row r="546" spans="4:27" x14ac:dyDescent="0.2">
      <c r="D546" s="34">
        <v>527</v>
      </c>
      <c r="E546" s="36">
        <v>3136304669.1712418</v>
      </c>
      <c r="F546">
        <f t="shared" si="8"/>
        <v>0</v>
      </c>
      <c r="AA546" s="4"/>
    </row>
    <row r="547" spans="4:27" x14ac:dyDescent="0.2">
      <c r="D547" s="34">
        <v>528</v>
      </c>
      <c r="E547" s="36">
        <v>3323173235.5326319</v>
      </c>
      <c r="F547">
        <f t="shared" si="8"/>
        <v>0</v>
      </c>
      <c r="AA547" s="4"/>
    </row>
    <row r="548" spans="4:27" x14ac:dyDescent="0.2">
      <c r="D548" s="34">
        <v>529</v>
      </c>
      <c r="E548" s="36">
        <v>2993885364.3043294</v>
      </c>
      <c r="F548">
        <f t="shared" si="8"/>
        <v>0</v>
      </c>
      <c r="AA548" s="4"/>
    </row>
    <row r="549" spans="4:27" x14ac:dyDescent="0.2">
      <c r="D549" s="34">
        <v>530</v>
      </c>
      <c r="E549" s="36">
        <v>3227886088.046556</v>
      </c>
      <c r="F549">
        <f t="shared" si="8"/>
        <v>0</v>
      </c>
      <c r="AA549" s="4"/>
    </row>
    <row r="550" spans="4:27" x14ac:dyDescent="0.2">
      <c r="D550" s="34">
        <v>531</v>
      </c>
      <c r="E550" s="36">
        <v>2825905964.9226999</v>
      </c>
      <c r="F550">
        <f t="shared" si="8"/>
        <v>0</v>
      </c>
      <c r="AA550" s="4"/>
    </row>
    <row r="551" spans="4:27" x14ac:dyDescent="0.2">
      <c r="D551" s="34">
        <v>532</v>
      </c>
      <c r="E551" s="36">
        <v>2780027123.1100922</v>
      </c>
      <c r="F551">
        <f t="shared" si="8"/>
        <v>0</v>
      </c>
      <c r="AA551" s="4"/>
    </row>
    <row r="552" spans="4:27" x14ac:dyDescent="0.2">
      <c r="D552" s="34">
        <v>533</v>
      </c>
      <c r="E552" s="36">
        <v>2480543557.8579154</v>
      </c>
      <c r="F552">
        <f t="shared" si="8"/>
        <v>0</v>
      </c>
      <c r="AA552" s="4"/>
    </row>
    <row r="553" spans="4:27" x14ac:dyDescent="0.2">
      <c r="D553" s="34">
        <v>534</v>
      </c>
      <c r="E553" s="36">
        <v>3030745284.1064811</v>
      </c>
      <c r="F553">
        <f t="shared" si="8"/>
        <v>0</v>
      </c>
      <c r="AA553" s="4"/>
    </row>
    <row r="554" spans="4:27" x14ac:dyDescent="0.2">
      <c r="D554" s="34">
        <v>535</v>
      </c>
      <c r="E554" s="36">
        <v>3149929092.80687</v>
      </c>
      <c r="F554">
        <f t="shared" si="8"/>
        <v>0</v>
      </c>
      <c r="AA554" s="4"/>
    </row>
    <row r="555" spans="4:27" x14ac:dyDescent="0.2">
      <c r="D555" s="34">
        <v>536</v>
      </c>
      <c r="E555" s="36">
        <v>3027159754.6195903</v>
      </c>
      <c r="F555">
        <f t="shared" si="8"/>
        <v>0</v>
      </c>
      <c r="AA555" s="4"/>
    </row>
    <row r="556" spans="4:27" x14ac:dyDescent="0.2">
      <c r="D556" s="34">
        <v>537</v>
      </c>
      <c r="E556" s="36">
        <v>3206995492.7986979</v>
      </c>
      <c r="F556">
        <f t="shared" si="8"/>
        <v>0</v>
      </c>
      <c r="AA556" s="4"/>
    </row>
    <row r="557" spans="4:27" x14ac:dyDescent="0.2">
      <c r="D557" s="34">
        <v>538</v>
      </c>
      <c r="E557" s="36">
        <v>3059306581.9171019</v>
      </c>
      <c r="F557">
        <f t="shared" si="8"/>
        <v>0</v>
      </c>
      <c r="AA557" s="4"/>
    </row>
    <row r="558" spans="4:27" x14ac:dyDescent="0.2">
      <c r="D558" s="34">
        <v>539</v>
      </c>
      <c r="E558" s="36">
        <v>3318239283.9536195</v>
      </c>
      <c r="F558">
        <f t="shared" si="8"/>
        <v>0</v>
      </c>
      <c r="AA558" s="4"/>
    </row>
    <row r="559" spans="4:27" x14ac:dyDescent="0.2">
      <c r="D559" s="34">
        <v>540</v>
      </c>
      <c r="E559" s="36">
        <v>3138936721.0535946</v>
      </c>
      <c r="F559">
        <f t="shared" si="8"/>
        <v>0</v>
      </c>
      <c r="AA559" s="4"/>
    </row>
    <row r="560" spans="4:27" x14ac:dyDescent="0.2">
      <c r="D560" s="34">
        <v>541</v>
      </c>
      <c r="E560" s="36">
        <v>3022396781.1641469</v>
      </c>
      <c r="F560">
        <f t="shared" si="8"/>
        <v>0</v>
      </c>
      <c r="AA560" s="4"/>
    </row>
    <row r="561" spans="4:27" x14ac:dyDescent="0.2">
      <c r="D561" s="34">
        <v>542</v>
      </c>
      <c r="E561" s="36">
        <v>2846783238.3302002</v>
      </c>
      <c r="F561">
        <f t="shared" si="8"/>
        <v>0</v>
      </c>
      <c r="AA561" s="4"/>
    </row>
    <row r="562" spans="4:27" x14ac:dyDescent="0.2">
      <c r="D562" s="34">
        <v>543</v>
      </c>
      <c r="E562" s="36">
        <v>2906900752.607224</v>
      </c>
      <c r="F562">
        <f t="shared" si="8"/>
        <v>0</v>
      </c>
      <c r="AA562" s="4"/>
    </row>
    <row r="563" spans="4:27" x14ac:dyDescent="0.2">
      <c r="D563" s="34">
        <v>544</v>
      </c>
      <c r="E563" s="36">
        <v>3080143678.9468207</v>
      </c>
      <c r="F563">
        <f t="shared" si="8"/>
        <v>0</v>
      </c>
      <c r="AA563" s="4"/>
    </row>
    <row r="564" spans="4:27" x14ac:dyDescent="0.2">
      <c r="D564" s="34">
        <v>545</v>
      </c>
      <c r="E564" s="36">
        <v>3173657258.6247249</v>
      </c>
      <c r="F564">
        <f t="shared" si="8"/>
        <v>0</v>
      </c>
      <c r="AA564" s="4"/>
    </row>
    <row r="565" spans="4:27" x14ac:dyDescent="0.2">
      <c r="D565" s="34">
        <v>546</v>
      </c>
      <c r="E565" s="36">
        <v>3133220657.7739096</v>
      </c>
      <c r="F565">
        <f t="shared" si="8"/>
        <v>0</v>
      </c>
      <c r="AA565" s="4"/>
    </row>
    <row r="566" spans="4:27" x14ac:dyDescent="0.2">
      <c r="D566" s="34">
        <v>547</v>
      </c>
      <c r="E566" s="36">
        <v>3019607638.5997987</v>
      </c>
      <c r="F566">
        <f t="shared" si="8"/>
        <v>0</v>
      </c>
      <c r="AA566" s="4"/>
    </row>
    <row r="567" spans="4:27" x14ac:dyDescent="0.2">
      <c r="D567" s="34">
        <v>548</v>
      </c>
      <c r="E567" s="36">
        <v>3176932814.7317367</v>
      </c>
      <c r="F567">
        <f t="shared" si="8"/>
        <v>0</v>
      </c>
      <c r="AA567" s="4"/>
    </row>
    <row r="568" spans="4:27" x14ac:dyDescent="0.2">
      <c r="D568" s="34">
        <v>549</v>
      </c>
      <c r="E568" s="36">
        <v>3043677111.3061261</v>
      </c>
      <c r="F568">
        <f t="shared" si="8"/>
        <v>0</v>
      </c>
      <c r="AA568" s="4"/>
    </row>
    <row r="569" spans="4:27" x14ac:dyDescent="0.2">
      <c r="D569" s="34">
        <v>550</v>
      </c>
      <c r="E569" s="36">
        <v>3083255114.8840671</v>
      </c>
      <c r="F569">
        <f t="shared" si="8"/>
        <v>0</v>
      </c>
      <c r="AA569" s="4"/>
    </row>
    <row r="570" spans="4:27" x14ac:dyDescent="0.2">
      <c r="D570" s="34">
        <v>551</v>
      </c>
      <c r="E570" s="36">
        <v>2970137612.4822202</v>
      </c>
      <c r="F570">
        <f t="shared" si="8"/>
        <v>0</v>
      </c>
      <c r="AA570" s="4"/>
    </row>
    <row r="571" spans="4:27" x14ac:dyDescent="0.2">
      <c r="D571" s="34">
        <v>552</v>
      </c>
      <c r="E571" s="36">
        <v>2784051888.4646969</v>
      </c>
      <c r="F571">
        <f t="shared" si="8"/>
        <v>0</v>
      </c>
      <c r="AA571" s="4"/>
    </row>
    <row r="572" spans="4:27" x14ac:dyDescent="0.2">
      <c r="D572" s="34">
        <v>553</v>
      </c>
      <c r="E572" s="36">
        <v>3364164644.311533</v>
      </c>
      <c r="F572">
        <f t="shared" si="8"/>
        <v>0</v>
      </c>
      <c r="AA572" s="4"/>
    </row>
    <row r="573" spans="4:27" x14ac:dyDescent="0.2">
      <c r="D573" s="34">
        <v>554</v>
      </c>
      <c r="E573" s="36">
        <v>3021306854.672224</v>
      </c>
      <c r="F573">
        <f t="shared" si="8"/>
        <v>0</v>
      </c>
      <c r="AA573" s="4"/>
    </row>
    <row r="574" spans="4:27" x14ac:dyDescent="0.2">
      <c r="D574" s="34">
        <v>555</v>
      </c>
      <c r="E574" s="36">
        <v>3175997343.0297236</v>
      </c>
      <c r="F574">
        <f t="shared" si="8"/>
        <v>0</v>
      </c>
      <c r="AA574" s="4"/>
    </row>
    <row r="575" spans="4:27" x14ac:dyDescent="0.2">
      <c r="D575" s="34">
        <v>556</v>
      </c>
      <c r="E575" s="36">
        <v>3374283057.0923734</v>
      </c>
      <c r="F575">
        <f t="shared" si="8"/>
        <v>0</v>
      </c>
      <c r="AA575" s="4"/>
    </row>
    <row r="576" spans="4:27" x14ac:dyDescent="0.2">
      <c r="D576" s="34">
        <v>557</v>
      </c>
      <c r="E576" s="36">
        <v>3048000195.4451728</v>
      </c>
      <c r="F576">
        <f t="shared" si="8"/>
        <v>0</v>
      </c>
      <c r="AA576" s="4"/>
    </row>
    <row r="577" spans="4:27" x14ac:dyDescent="0.2">
      <c r="D577" s="34">
        <v>558</v>
      </c>
      <c r="E577" s="36">
        <v>3206964494.7322855</v>
      </c>
      <c r="F577">
        <f t="shared" si="8"/>
        <v>0</v>
      </c>
      <c r="AA577" s="4"/>
    </row>
    <row r="578" spans="4:27" x14ac:dyDescent="0.2">
      <c r="D578" s="34">
        <v>559</v>
      </c>
      <c r="E578" s="36">
        <v>3441483157.4723105</v>
      </c>
      <c r="F578">
        <f t="shared" si="8"/>
        <v>0</v>
      </c>
      <c r="AA578" s="4"/>
    </row>
    <row r="579" spans="4:27" x14ac:dyDescent="0.2">
      <c r="D579" s="34">
        <v>560</v>
      </c>
      <c r="E579" s="36">
        <v>2936456977.2593369</v>
      </c>
      <c r="F579">
        <f t="shared" si="8"/>
        <v>0</v>
      </c>
      <c r="AA579" s="4"/>
    </row>
    <row r="580" spans="4:27" x14ac:dyDescent="0.2">
      <c r="D580" s="34">
        <v>561</v>
      </c>
      <c r="E580" s="36">
        <v>3007886448.8811517</v>
      </c>
      <c r="F580">
        <f t="shared" si="8"/>
        <v>0</v>
      </c>
      <c r="AA580" s="4"/>
    </row>
    <row r="581" spans="4:27" x14ac:dyDescent="0.2">
      <c r="D581" s="34">
        <v>562</v>
      </c>
      <c r="E581" s="36">
        <v>2840271504.555583</v>
      </c>
      <c r="F581">
        <f t="shared" si="8"/>
        <v>0</v>
      </c>
      <c r="AA581" s="4"/>
    </row>
    <row r="582" spans="4:27" x14ac:dyDescent="0.2">
      <c r="D582" s="34">
        <v>563</v>
      </c>
      <c r="E582" s="36">
        <v>2786581222.3677721</v>
      </c>
      <c r="F582">
        <f t="shared" si="8"/>
        <v>0</v>
      </c>
      <c r="AA582" s="4"/>
    </row>
    <row r="583" spans="4:27" x14ac:dyDescent="0.2">
      <c r="D583" s="34">
        <v>564</v>
      </c>
      <c r="E583" s="36">
        <v>3584639832.7589188</v>
      </c>
      <c r="F583">
        <f t="shared" si="8"/>
        <v>0</v>
      </c>
      <c r="AA583" s="4"/>
    </row>
    <row r="584" spans="4:27" x14ac:dyDescent="0.2">
      <c r="D584" s="34">
        <v>565</v>
      </c>
      <c r="E584" s="36">
        <v>2971691761.7952685</v>
      </c>
      <c r="F584">
        <f t="shared" si="8"/>
        <v>0</v>
      </c>
      <c r="AA584" s="4"/>
    </row>
    <row r="585" spans="4:27" x14ac:dyDescent="0.2">
      <c r="D585" s="34">
        <v>566</v>
      </c>
      <c r="E585" s="36">
        <v>3085030081.6967025</v>
      </c>
      <c r="F585">
        <f t="shared" si="8"/>
        <v>0</v>
      </c>
      <c r="AA585" s="4"/>
    </row>
    <row r="586" spans="4:27" x14ac:dyDescent="0.2">
      <c r="D586" s="34">
        <v>567</v>
      </c>
      <c r="E586" s="36">
        <v>3193698773.5009131</v>
      </c>
      <c r="F586">
        <f t="shared" si="8"/>
        <v>0</v>
      </c>
      <c r="AA586" s="4"/>
    </row>
    <row r="587" spans="4:27" x14ac:dyDescent="0.2">
      <c r="D587" s="34">
        <v>568</v>
      </c>
      <c r="E587" s="36">
        <v>3074861693.5737348</v>
      </c>
      <c r="F587">
        <f t="shared" si="8"/>
        <v>0</v>
      </c>
      <c r="AA587" s="4"/>
    </row>
    <row r="588" spans="4:27" x14ac:dyDescent="0.2">
      <c r="D588" s="34">
        <v>569</v>
      </c>
      <c r="E588" s="36">
        <v>3166505667.397881</v>
      </c>
      <c r="F588">
        <f t="shared" si="8"/>
        <v>0</v>
      </c>
      <c r="AA588" s="4"/>
    </row>
    <row r="589" spans="4:27" x14ac:dyDescent="0.2">
      <c r="D589" s="34">
        <v>570</v>
      </c>
      <c r="E589" s="36">
        <v>3255196924.7402358</v>
      </c>
      <c r="F589">
        <f t="shared" si="8"/>
        <v>0</v>
      </c>
      <c r="AA589" s="4"/>
    </row>
    <row r="590" spans="4:27" x14ac:dyDescent="0.2">
      <c r="D590" s="34">
        <v>571</v>
      </c>
      <c r="E590" s="36">
        <v>2842530403.1737599</v>
      </c>
      <c r="F590">
        <f t="shared" si="8"/>
        <v>0</v>
      </c>
      <c r="AA590" s="4"/>
    </row>
    <row r="591" spans="4:27" x14ac:dyDescent="0.2">
      <c r="D591" s="34">
        <v>572</v>
      </c>
      <c r="E591" s="36">
        <v>3144555403.8783503</v>
      </c>
      <c r="F591">
        <f t="shared" si="8"/>
        <v>0</v>
      </c>
      <c r="AA591" s="4"/>
    </row>
    <row r="592" spans="4:27" x14ac:dyDescent="0.2">
      <c r="D592" s="34">
        <v>573</v>
      </c>
      <c r="E592" s="36">
        <v>2983727513.6206498</v>
      </c>
      <c r="F592">
        <f t="shared" si="8"/>
        <v>0</v>
      </c>
      <c r="AA592" s="4"/>
    </row>
    <row r="593" spans="4:27" x14ac:dyDescent="0.2">
      <c r="D593" s="34">
        <v>574</v>
      </c>
      <c r="E593" s="36">
        <v>3035056929.2780132</v>
      </c>
      <c r="F593">
        <f t="shared" si="8"/>
        <v>0</v>
      </c>
      <c r="AA593" s="4"/>
    </row>
    <row r="594" spans="4:27" x14ac:dyDescent="0.2">
      <c r="D594" s="34">
        <v>575</v>
      </c>
      <c r="E594" s="36">
        <v>2983332101.3901615</v>
      </c>
      <c r="F594">
        <f t="shared" si="8"/>
        <v>0</v>
      </c>
      <c r="AA594" s="4"/>
    </row>
    <row r="595" spans="4:27" x14ac:dyDescent="0.2">
      <c r="D595" s="34">
        <v>576</v>
      </c>
      <c r="E595" s="36">
        <v>3034890322.9173212</v>
      </c>
      <c r="F595">
        <f t="shared" si="8"/>
        <v>0</v>
      </c>
      <c r="AA595" s="4"/>
    </row>
    <row r="596" spans="4:27" x14ac:dyDescent="0.2">
      <c r="D596" s="34">
        <v>577</v>
      </c>
      <c r="E596" s="36">
        <v>2741605410.0682669</v>
      </c>
      <c r="F596">
        <f t="shared" si="8"/>
        <v>0</v>
      </c>
      <c r="AA596" s="4"/>
    </row>
    <row r="597" spans="4:27" x14ac:dyDescent="0.2">
      <c r="D597" s="34">
        <v>578</v>
      </c>
      <c r="E597" s="36">
        <v>2963072861.9311252</v>
      </c>
      <c r="F597">
        <f t="shared" ref="F597:F660" si="9">IF(E597&lt;1700000000,1,0)</f>
        <v>0</v>
      </c>
      <c r="AA597" s="4"/>
    </row>
    <row r="598" spans="4:27" x14ac:dyDescent="0.2">
      <c r="D598" s="34">
        <v>579</v>
      </c>
      <c r="E598" s="36">
        <v>3346843088.2919946</v>
      </c>
      <c r="F598">
        <f t="shared" si="9"/>
        <v>0</v>
      </c>
      <c r="AA598" s="4"/>
    </row>
    <row r="599" spans="4:27" x14ac:dyDescent="0.2">
      <c r="D599" s="34">
        <v>580</v>
      </c>
      <c r="E599" s="36">
        <v>2871827403.1569653</v>
      </c>
      <c r="F599">
        <f t="shared" si="9"/>
        <v>0</v>
      </c>
      <c r="AA599" s="4"/>
    </row>
    <row r="600" spans="4:27" x14ac:dyDescent="0.2">
      <c r="D600" s="34">
        <v>581</v>
      </c>
      <c r="E600" s="36">
        <v>2573351356.4207311</v>
      </c>
      <c r="F600">
        <f t="shared" si="9"/>
        <v>0</v>
      </c>
      <c r="AA600" s="4"/>
    </row>
    <row r="601" spans="4:27" x14ac:dyDescent="0.2">
      <c r="D601" s="34">
        <v>582</v>
      </c>
      <c r="E601" s="36">
        <v>2935661588.5441165</v>
      </c>
      <c r="F601">
        <f t="shared" si="9"/>
        <v>0</v>
      </c>
      <c r="AA601" s="4"/>
    </row>
    <row r="602" spans="4:27" x14ac:dyDescent="0.2">
      <c r="D602" s="34">
        <v>583</v>
      </c>
      <c r="E602" s="36">
        <v>2968462906.7577391</v>
      </c>
      <c r="F602">
        <f t="shared" si="9"/>
        <v>0</v>
      </c>
      <c r="AA602" s="4"/>
    </row>
    <row r="603" spans="4:27" x14ac:dyDescent="0.2">
      <c r="D603" s="34">
        <v>584</v>
      </c>
      <c r="E603" s="36">
        <v>3235077898.0474868</v>
      </c>
      <c r="F603">
        <f t="shared" si="9"/>
        <v>0</v>
      </c>
      <c r="AA603" s="4"/>
    </row>
    <row r="604" spans="4:27" x14ac:dyDescent="0.2">
      <c r="D604" s="34">
        <v>585</v>
      </c>
      <c r="E604" s="36">
        <v>3343033392.8834462</v>
      </c>
      <c r="F604">
        <f t="shared" si="9"/>
        <v>0</v>
      </c>
      <c r="AA604" s="4"/>
    </row>
    <row r="605" spans="4:27" x14ac:dyDescent="0.2">
      <c r="D605" s="34">
        <v>586</v>
      </c>
      <c r="E605" s="36">
        <v>3195949484.6850467</v>
      </c>
      <c r="F605">
        <f t="shared" si="9"/>
        <v>0</v>
      </c>
      <c r="AA605" s="4"/>
    </row>
    <row r="606" spans="4:27" x14ac:dyDescent="0.2">
      <c r="D606" s="34">
        <v>587</v>
      </c>
      <c r="E606" s="36">
        <v>3257705765.4467134</v>
      </c>
      <c r="F606">
        <f t="shared" si="9"/>
        <v>0</v>
      </c>
      <c r="AA606" s="4"/>
    </row>
    <row r="607" spans="4:27" x14ac:dyDescent="0.2">
      <c r="D607" s="34">
        <v>588</v>
      </c>
      <c r="E607" s="36">
        <v>3059991026.3706365</v>
      </c>
      <c r="F607">
        <f t="shared" si="9"/>
        <v>0</v>
      </c>
      <c r="AA607" s="4"/>
    </row>
    <row r="608" spans="4:27" x14ac:dyDescent="0.2">
      <c r="D608" s="34">
        <v>589</v>
      </c>
      <c r="E608" s="36">
        <v>3174503864.4913716</v>
      </c>
      <c r="F608">
        <f t="shared" si="9"/>
        <v>0</v>
      </c>
      <c r="AA608" s="4"/>
    </row>
    <row r="609" spans="4:27" x14ac:dyDescent="0.2">
      <c r="D609" s="34">
        <v>590</v>
      </c>
      <c r="E609" s="36">
        <v>3065798298.4040194</v>
      </c>
      <c r="F609">
        <f t="shared" si="9"/>
        <v>0</v>
      </c>
      <c r="AA609" s="4"/>
    </row>
    <row r="610" spans="4:27" x14ac:dyDescent="0.2">
      <c r="D610" s="34">
        <v>591</v>
      </c>
      <c r="E610" s="36">
        <v>3411943540.3267941</v>
      </c>
      <c r="F610">
        <f t="shared" si="9"/>
        <v>0</v>
      </c>
      <c r="AA610" s="4"/>
    </row>
    <row r="611" spans="4:27" x14ac:dyDescent="0.2">
      <c r="D611" s="34">
        <v>592</v>
      </c>
      <c r="E611" s="36">
        <v>3151894813.3212261</v>
      </c>
      <c r="F611">
        <f t="shared" si="9"/>
        <v>0</v>
      </c>
      <c r="AA611" s="4"/>
    </row>
    <row r="612" spans="4:27" x14ac:dyDescent="0.2">
      <c r="D612" s="34">
        <v>593</v>
      </c>
      <c r="E612" s="36">
        <v>3155864629.0199838</v>
      </c>
      <c r="F612">
        <f t="shared" si="9"/>
        <v>0</v>
      </c>
      <c r="AA612" s="4"/>
    </row>
    <row r="613" spans="4:27" x14ac:dyDescent="0.2">
      <c r="D613" s="34">
        <v>594</v>
      </c>
      <c r="E613" s="36">
        <v>3403997048.4225965</v>
      </c>
      <c r="F613">
        <f t="shared" si="9"/>
        <v>0</v>
      </c>
      <c r="AA613" s="4"/>
    </row>
    <row r="614" spans="4:27" x14ac:dyDescent="0.2">
      <c r="D614" s="34">
        <v>595</v>
      </c>
      <c r="E614" s="36">
        <v>3124175620.4756565</v>
      </c>
      <c r="F614">
        <f t="shared" si="9"/>
        <v>0</v>
      </c>
      <c r="AA614" s="4"/>
    </row>
    <row r="615" spans="4:27" x14ac:dyDescent="0.2">
      <c r="D615" s="34">
        <v>596</v>
      </c>
      <c r="E615" s="36">
        <v>3083430062.7193146</v>
      </c>
      <c r="F615">
        <f t="shared" si="9"/>
        <v>0</v>
      </c>
      <c r="AA615" s="4"/>
    </row>
    <row r="616" spans="4:27" x14ac:dyDescent="0.2">
      <c r="D616" s="34">
        <v>597</v>
      </c>
      <c r="E616" s="36">
        <v>3277338113.2101593</v>
      </c>
      <c r="F616">
        <f t="shared" si="9"/>
        <v>0</v>
      </c>
      <c r="AA616" s="4"/>
    </row>
    <row r="617" spans="4:27" x14ac:dyDescent="0.2">
      <c r="D617" s="34">
        <v>598</v>
      </c>
      <c r="E617" s="36">
        <v>3233878197.7997265</v>
      </c>
      <c r="F617">
        <f t="shared" si="9"/>
        <v>0</v>
      </c>
      <c r="AA617" s="4"/>
    </row>
    <row r="618" spans="4:27" x14ac:dyDescent="0.2">
      <c r="D618" s="34">
        <v>599</v>
      </c>
      <c r="E618" s="36">
        <v>3196401555.0551839</v>
      </c>
      <c r="F618">
        <f t="shared" si="9"/>
        <v>0</v>
      </c>
      <c r="AA618" s="4"/>
    </row>
    <row r="619" spans="4:27" x14ac:dyDescent="0.2">
      <c r="D619" s="34">
        <v>600</v>
      </c>
      <c r="E619" s="36">
        <v>3309053176.8380709</v>
      </c>
      <c r="F619">
        <f t="shared" si="9"/>
        <v>0</v>
      </c>
      <c r="AA619" s="4"/>
    </row>
    <row r="620" spans="4:27" x14ac:dyDescent="0.2">
      <c r="D620" s="34">
        <v>601</v>
      </c>
      <c r="E620" s="36">
        <v>3283078426.103416</v>
      </c>
      <c r="F620">
        <f t="shared" si="9"/>
        <v>0</v>
      </c>
      <c r="AA620" s="4"/>
    </row>
    <row r="621" spans="4:27" x14ac:dyDescent="0.2">
      <c r="D621" s="34">
        <v>602</v>
      </c>
      <c r="E621" s="36">
        <v>3317172834.7544389</v>
      </c>
      <c r="F621">
        <f t="shared" si="9"/>
        <v>0</v>
      </c>
      <c r="AA621" s="4"/>
    </row>
    <row r="622" spans="4:27" x14ac:dyDescent="0.2">
      <c r="D622" s="34">
        <v>603</v>
      </c>
      <c r="E622" s="36">
        <v>3223367184.4079876</v>
      </c>
      <c r="F622">
        <f t="shared" si="9"/>
        <v>0</v>
      </c>
      <c r="AA622" s="4"/>
    </row>
    <row r="623" spans="4:27" x14ac:dyDescent="0.2">
      <c r="D623" s="34">
        <v>604</v>
      </c>
      <c r="E623" s="36">
        <v>2753479415.1742229</v>
      </c>
      <c r="F623">
        <f t="shared" si="9"/>
        <v>0</v>
      </c>
      <c r="AA623" s="4"/>
    </row>
    <row r="624" spans="4:27" x14ac:dyDescent="0.2">
      <c r="D624" s="34">
        <v>605</v>
      </c>
      <c r="E624" s="36">
        <v>3389240835.4527392</v>
      </c>
      <c r="F624">
        <f t="shared" si="9"/>
        <v>0</v>
      </c>
      <c r="AA624" s="4"/>
    </row>
    <row r="625" spans="4:27" x14ac:dyDescent="0.2">
      <c r="D625" s="34">
        <v>606</v>
      </c>
      <c r="E625" s="36">
        <v>3022143919.3533239</v>
      </c>
      <c r="F625">
        <f t="shared" si="9"/>
        <v>0</v>
      </c>
      <c r="AA625" s="4"/>
    </row>
    <row r="626" spans="4:27" x14ac:dyDescent="0.2">
      <c r="D626" s="34">
        <v>607</v>
      </c>
      <c r="E626" s="36">
        <v>2867226760.8509331</v>
      </c>
      <c r="F626">
        <f t="shared" si="9"/>
        <v>0</v>
      </c>
      <c r="AA626" s="4"/>
    </row>
    <row r="627" spans="4:27" x14ac:dyDescent="0.2">
      <c r="D627" s="34">
        <v>608</v>
      </c>
      <c r="E627" s="36">
        <v>2835786037.0521045</v>
      </c>
      <c r="F627">
        <f t="shared" si="9"/>
        <v>0</v>
      </c>
      <c r="AA627" s="4"/>
    </row>
    <row r="628" spans="4:27" x14ac:dyDescent="0.2">
      <c r="D628" s="34">
        <v>609</v>
      </c>
      <c r="E628" s="36">
        <v>2993939118.1126227</v>
      </c>
      <c r="F628">
        <f t="shared" si="9"/>
        <v>0</v>
      </c>
      <c r="AA628" s="4"/>
    </row>
    <row r="629" spans="4:27" x14ac:dyDescent="0.2">
      <c r="D629" s="34">
        <v>610</v>
      </c>
      <c r="E629" s="36">
        <v>3228567010.9545169</v>
      </c>
      <c r="F629">
        <f t="shared" si="9"/>
        <v>0</v>
      </c>
      <c r="AA629" s="4"/>
    </row>
    <row r="630" spans="4:27" x14ac:dyDescent="0.2">
      <c r="D630" s="34">
        <v>611</v>
      </c>
      <c r="E630" s="36">
        <v>2972632553.6976395</v>
      </c>
      <c r="F630">
        <f t="shared" si="9"/>
        <v>0</v>
      </c>
      <c r="AA630" s="4"/>
    </row>
    <row r="631" spans="4:27" x14ac:dyDescent="0.2">
      <c r="D631" s="34">
        <v>612</v>
      </c>
      <c r="E631" s="36">
        <v>2811444030.848309</v>
      </c>
      <c r="F631">
        <f t="shared" si="9"/>
        <v>0</v>
      </c>
      <c r="AA631" s="4"/>
    </row>
    <row r="632" spans="4:27" x14ac:dyDescent="0.2">
      <c r="D632" s="34">
        <v>613</v>
      </c>
      <c r="E632" s="36">
        <v>2949003497.270514</v>
      </c>
      <c r="F632">
        <f t="shared" si="9"/>
        <v>0</v>
      </c>
      <c r="AA632" s="4"/>
    </row>
    <row r="633" spans="4:27" x14ac:dyDescent="0.2">
      <c r="D633" s="34">
        <v>614</v>
      </c>
      <c r="E633" s="36">
        <v>3028572012.2362771</v>
      </c>
      <c r="F633">
        <f t="shared" si="9"/>
        <v>0</v>
      </c>
      <c r="AA633" s="4"/>
    </row>
    <row r="634" spans="4:27" x14ac:dyDescent="0.2">
      <c r="D634" s="34">
        <v>615</v>
      </c>
      <c r="E634" s="36">
        <v>3292094892.5698957</v>
      </c>
      <c r="F634">
        <f t="shared" si="9"/>
        <v>0</v>
      </c>
      <c r="AA634" s="4"/>
    </row>
    <row r="635" spans="4:27" x14ac:dyDescent="0.2">
      <c r="D635" s="34">
        <v>616</v>
      </c>
      <c r="E635" s="36">
        <v>3203941224.3469181</v>
      </c>
      <c r="F635">
        <f t="shared" si="9"/>
        <v>0</v>
      </c>
      <c r="AA635" s="4"/>
    </row>
    <row r="636" spans="4:27" x14ac:dyDescent="0.2">
      <c r="D636" s="34">
        <v>617</v>
      </c>
      <c r="E636" s="36">
        <v>2885650372.1238499</v>
      </c>
      <c r="F636">
        <f t="shared" si="9"/>
        <v>0</v>
      </c>
      <c r="AA636" s="4"/>
    </row>
    <row r="637" spans="4:27" x14ac:dyDescent="0.2">
      <c r="D637" s="34">
        <v>618</v>
      </c>
      <c r="E637" s="36">
        <v>3238228041.7285318</v>
      </c>
      <c r="F637">
        <f t="shared" si="9"/>
        <v>0</v>
      </c>
      <c r="AA637" s="4"/>
    </row>
    <row r="638" spans="4:27" x14ac:dyDescent="0.2">
      <c r="D638" s="34">
        <v>619</v>
      </c>
      <c r="E638" s="36">
        <v>2924327422.8892388</v>
      </c>
      <c r="F638">
        <f t="shared" si="9"/>
        <v>0</v>
      </c>
      <c r="AA638" s="4"/>
    </row>
    <row r="639" spans="4:27" x14ac:dyDescent="0.2">
      <c r="D639" s="34">
        <v>620</v>
      </c>
      <c r="E639" s="36">
        <v>3186860840.1627698</v>
      </c>
      <c r="F639">
        <f t="shared" si="9"/>
        <v>0</v>
      </c>
      <c r="AA639" s="4"/>
    </row>
    <row r="640" spans="4:27" x14ac:dyDescent="0.2">
      <c r="D640" s="34">
        <v>621</v>
      </c>
      <c r="E640" s="36">
        <v>2943363734.0287991</v>
      </c>
      <c r="F640">
        <f t="shared" si="9"/>
        <v>0</v>
      </c>
      <c r="AA640" s="4"/>
    </row>
    <row r="641" spans="4:27" x14ac:dyDescent="0.2">
      <c r="D641" s="34">
        <v>622</v>
      </c>
      <c r="E641" s="36">
        <v>2922497733.4519701</v>
      </c>
      <c r="F641">
        <f t="shared" si="9"/>
        <v>0</v>
      </c>
      <c r="AA641" s="4"/>
    </row>
    <row r="642" spans="4:27" x14ac:dyDescent="0.2">
      <c r="D642" s="34">
        <v>623</v>
      </c>
      <c r="E642" s="36">
        <v>3042572858.8837667</v>
      </c>
      <c r="F642">
        <f t="shared" si="9"/>
        <v>0</v>
      </c>
      <c r="AA642" s="4"/>
    </row>
    <row r="643" spans="4:27" x14ac:dyDescent="0.2">
      <c r="D643" s="34">
        <v>624</v>
      </c>
      <c r="E643" s="36">
        <v>3067685755.5936356</v>
      </c>
      <c r="F643">
        <f t="shared" si="9"/>
        <v>0</v>
      </c>
      <c r="AA643" s="4"/>
    </row>
    <row r="644" spans="4:27" x14ac:dyDescent="0.2">
      <c r="D644" s="34">
        <v>625</v>
      </c>
      <c r="E644" s="36">
        <v>3173474199.6542835</v>
      </c>
      <c r="F644">
        <f t="shared" si="9"/>
        <v>0</v>
      </c>
      <c r="AA644" s="4"/>
    </row>
    <row r="645" spans="4:27" x14ac:dyDescent="0.2">
      <c r="D645" s="34">
        <v>626</v>
      </c>
      <c r="E645" s="36">
        <v>3129452608.7303905</v>
      </c>
      <c r="F645">
        <f t="shared" si="9"/>
        <v>0</v>
      </c>
      <c r="AA645" s="4"/>
    </row>
    <row r="646" spans="4:27" x14ac:dyDescent="0.2">
      <c r="D646" s="34">
        <v>627</v>
      </c>
      <c r="E646" s="36">
        <v>3229031362.0856671</v>
      </c>
      <c r="F646">
        <f t="shared" si="9"/>
        <v>0</v>
      </c>
      <c r="AA646" s="4"/>
    </row>
    <row r="647" spans="4:27" x14ac:dyDescent="0.2">
      <c r="D647" s="34">
        <v>628</v>
      </c>
      <c r="E647" s="36">
        <v>2925575257.3189716</v>
      </c>
      <c r="F647">
        <f t="shared" si="9"/>
        <v>0</v>
      </c>
      <c r="AA647" s="4"/>
    </row>
    <row r="648" spans="4:27" x14ac:dyDescent="0.2">
      <c r="D648" s="34">
        <v>629</v>
      </c>
      <c r="E648" s="36">
        <v>3228465534.6862664</v>
      </c>
      <c r="F648">
        <f t="shared" si="9"/>
        <v>0</v>
      </c>
      <c r="AA648" s="4"/>
    </row>
    <row r="649" spans="4:27" x14ac:dyDescent="0.2">
      <c r="D649" s="34">
        <v>630</v>
      </c>
      <c r="E649" s="36">
        <v>2982632068.5679765</v>
      </c>
      <c r="F649">
        <f t="shared" si="9"/>
        <v>0</v>
      </c>
      <c r="AA649" s="4"/>
    </row>
    <row r="650" spans="4:27" x14ac:dyDescent="0.2">
      <c r="D650" s="34">
        <v>631</v>
      </c>
      <c r="E650" s="36">
        <v>3273478546.3687916</v>
      </c>
      <c r="F650">
        <f t="shared" si="9"/>
        <v>0</v>
      </c>
      <c r="AA650" s="4"/>
    </row>
    <row r="651" spans="4:27" x14ac:dyDescent="0.2">
      <c r="D651" s="34">
        <v>632</v>
      </c>
      <c r="E651" s="36">
        <v>3076365163.4046621</v>
      </c>
      <c r="F651">
        <f t="shared" si="9"/>
        <v>0</v>
      </c>
      <c r="AA651" s="4"/>
    </row>
    <row r="652" spans="4:27" x14ac:dyDescent="0.2">
      <c r="D652" s="34">
        <v>633</v>
      </c>
      <c r="E652" s="36">
        <v>2988691723.3112774</v>
      </c>
      <c r="F652">
        <f t="shared" si="9"/>
        <v>0</v>
      </c>
      <c r="AA652" s="4"/>
    </row>
    <row r="653" spans="4:27" x14ac:dyDescent="0.2">
      <c r="D653" s="34">
        <v>634</v>
      </c>
      <c r="E653" s="36">
        <v>3033330363.5982375</v>
      </c>
      <c r="F653">
        <f t="shared" si="9"/>
        <v>0</v>
      </c>
      <c r="AA653" s="4"/>
    </row>
    <row r="654" spans="4:27" x14ac:dyDescent="0.2">
      <c r="D654" s="34">
        <v>635</v>
      </c>
      <c r="E654" s="36">
        <v>3384484987.2438078</v>
      </c>
      <c r="F654">
        <f t="shared" si="9"/>
        <v>0</v>
      </c>
      <c r="AA654" s="4"/>
    </row>
    <row r="655" spans="4:27" x14ac:dyDescent="0.2">
      <c r="D655" s="34">
        <v>636</v>
      </c>
      <c r="E655" s="36">
        <v>3358136955.6129785</v>
      </c>
      <c r="F655">
        <f t="shared" si="9"/>
        <v>0</v>
      </c>
      <c r="AA655" s="4"/>
    </row>
    <row r="656" spans="4:27" x14ac:dyDescent="0.2">
      <c r="D656" s="34">
        <v>637</v>
      </c>
      <c r="E656" s="36">
        <v>3138603152.2593212</v>
      </c>
      <c r="F656">
        <f t="shared" si="9"/>
        <v>0</v>
      </c>
      <c r="AA656" s="4"/>
    </row>
    <row r="657" spans="4:27" x14ac:dyDescent="0.2">
      <c r="D657" s="34">
        <v>638</v>
      </c>
      <c r="E657" s="36">
        <v>3121009418.3379116</v>
      </c>
      <c r="F657">
        <f t="shared" si="9"/>
        <v>0</v>
      </c>
      <c r="AA657" s="4"/>
    </row>
    <row r="658" spans="4:27" x14ac:dyDescent="0.2">
      <c r="D658" s="34">
        <v>639</v>
      </c>
      <c r="E658" s="36">
        <v>2892073258.9227586</v>
      </c>
      <c r="F658">
        <f t="shared" si="9"/>
        <v>0</v>
      </c>
      <c r="AA658" s="4"/>
    </row>
    <row r="659" spans="4:27" x14ac:dyDescent="0.2">
      <c r="D659" s="34">
        <v>640</v>
      </c>
      <c r="E659" s="36">
        <v>2973606892.126224</v>
      </c>
      <c r="F659">
        <f t="shared" si="9"/>
        <v>0</v>
      </c>
      <c r="AA659" s="4"/>
    </row>
    <row r="660" spans="4:27" x14ac:dyDescent="0.2">
      <c r="D660" s="34">
        <v>641</v>
      </c>
      <c r="E660" s="36">
        <v>2943918174.2175307</v>
      </c>
      <c r="F660">
        <f t="shared" si="9"/>
        <v>0</v>
      </c>
      <c r="AA660" s="4"/>
    </row>
    <row r="661" spans="4:27" x14ac:dyDescent="0.2">
      <c r="D661" s="34">
        <v>642</v>
      </c>
      <c r="E661" s="36">
        <v>3224669300.1244178</v>
      </c>
      <c r="F661">
        <f t="shared" ref="F661:F724" si="10">IF(E661&lt;1700000000,1,0)</f>
        <v>0</v>
      </c>
      <c r="AA661" s="4"/>
    </row>
    <row r="662" spans="4:27" x14ac:dyDescent="0.2">
      <c r="D662" s="34">
        <v>643</v>
      </c>
      <c r="E662" s="36">
        <v>2872604537.1706176</v>
      </c>
      <c r="F662">
        <f t="shared" si="10"/>
        <v>0</v>
      </c>
      <c r="AA662" s="4"/>
    </row>
    <row r="663" spans="4:27" x14ac:dyDescent="0.2">
      <c r="D663" s="34">
        <v>644</v>
      </c>
      <c r="E663" s="36">
        <v>3205547096.3022404</v>
      </c>
      <c r="F663">
        <f t="shared" si="10"/>
        <v>0</v>
      </c>
      <c r="AA663" s="4"/>
    </row>
    <row r="664" spans="4:27" x14ac:dyDescent="0.2">
      <c r="D664" s="34">
        <v>645</v>
      </c>
      <c r="E664" s="36">
        <v>3169129443.9965425</v>
      </c>
      <c r="F664">
        <f t="shared" si="10"/>
        <v>0</v>
      </c>
      <c r="AA664" s="4"/>
    </row>
    <row r="665" spans="4:27" x14ac:dyDescent="0.2">
      <c r="D665" s="34">
        <v>646</v>
      </c>
      <c r="E665" s="36">
        <v>3234569840.8706365</v>
      </c>
      <c r="F665">
        <f t="shared" si="10"/>
        <v>0</v>
      </c>
      <c r="AA665" s="4"/>
    </row>
    <row r="666" spans="4:27" x14ac:dyDescent="0.2">
      <c r="D666" s="34">
        <v>647</v>
      </c>
      <c r="E666" s="36">
        <v>2809563280.597774</v>
      </c>
      <c r="F666">
        <f t="shared" si="10"/>
        <v>0</v>
      </c>
      <c r="AA666" s="4"/>
    </row>
    <row r="667" spans="4:27" x14ac:dyDescent="0.2">
      <c r="D667" s="34">
        <v>648</v>
      </c>
      <c r="E667" s="36">
        <v>2885559474.8706627</v>
      </c>
      <c r="F667">
        <f t="shared" si="10"/>
        <v>0</v>
      </c>
      <c r="AA667" s="4"/>
    </row>
    <row r="668" spans="4:27" x14ac:dyDescent="0.2">
      <c r="D668" s="34">
        <v>649</v>
      </c>
      <c r="E668" s="36">
        <v>2914051539.3200541</v>
      </c>
      <c r="F668">
        <f t="shared" si="10"/>
        <v>0</v>
      </c>
      <c r="AA668" s="4"/>
    </row>
    <row r="669" spans="4:27" x14ac:dyDescent="0.2">
      <c r="D669" s="34">
        <v>650</v>
      </c>
      <c r="E669" s="36">
        <v>2980681548.157701</v>
      </c>
      <c r="F669">
        <f t="shared" si="10"/>
        <v>0</v>
      </c>
      <c r="AA669" s="4"/>
    </row>
    <row r="670" spans="4:27" x14ac:dyDescent="0.2">
      <c r="D670" s="34">
        <v>651</v>
      </c>
      <c r="E670" s="36">
        <v>3158708195.9862666</v>
      </c>
      <c r="F670">
        <f t="shared" si="10"/>
        <v>0</v>
      </c>
      <c r="AA670" s="4"/>
    </row>
    <row r="671" spans="4:27" x14ac:dyDescent="0.2">
      <c r="D671" s="34">
        <v>652</v>
      </c>
      <c r="E671" s="36">
        <v>3157138070.1426082</v>
      </c>
      <c r="F671">
        <f t="shared" si="10"/>
        <v>0</v>
      </c>
      <c r="AA671" s="4"/>
    </row>
    <row r="672" spans="4:27" x14ac:dyDescent="0.2">
      <c r="D672" s="34">
        <v>653</v>
      </c>
      <c r="E672" s="36">
        <v>2959462402.6540713</v>
      </c>
      <c r="F672">
        <f t="shared" si="10"/>
        <v>0</v>
      </c>
      <c r="AA672" s="4"/>
    </row>
    <row r="673" spans="4:27" x14ac:dyDescent="0.2">
      <c r="D673" s="34">
        <v>654</v>
      </c>
      <c r="E673" s="36">
        <v>3063773113.6576624</v>
      </c>
      <c r="F673">
        <f t="shared" si="10"/>
        <v>0</v>
      </c>
      <c r="AA673" s="4"/>
    </row>
    <row r="674" spans="4:27" x14ac:dyDescent="0.2">
      <c r="D674" s="34">
        <v>655</v>
      </c>
      <c r="E674" s="36">
        <v>2990083656.6270704</v>
      </c>
      <c r="F674">
        <f t="shared" si="10"/>
        <v>0</v>
      </c>
      <c r="AA674" s="4"/>
    </row>
    <row r="675" spans="4:27" x14ac:dyDescent="0.2">
      <c r="D675" s="34">
        <v>656</v>
      </c>
      <c r="E675" s="36">
        <v>3152966627.2458286</v>
      </c>
      <c r="F675">
        <f t="shared" si="10"/>
        <v>0</v>
      </c>
      <c r="AA675" s="4"/>
    </row>
    <row r="676" spans="4:27" x14ac:dyDescent="0.2">
      <c r="D676" s="34">
        <v>657</v>
      </c>
      <c r="E676" s="36">
        <v>3140886594.7395916</v>
      </c>
      <c r="F676">
        <f t="shared" si="10"/>
        <v>0</v>
      </c>
      <c r="AA676" s="4"/>
    </row>
    <row r="677" spans="4:27" x14ac:dyDescent="0.2">
      <c r="D677" s="34">
        <v>658</v>
      </c>
      <c r="E677" s="36">
        <v>3003016032.7030334</v>
      </c>
      <c r="F677">
        <f t="shared" si="10"/>
        <v>0</v>
      </c>
      <c r="AA677" s="4"/>
    </row>
    <row r="678" spans="4:27" x14ac:dyDescent="0.2">
      <c r="D678" s="34">
        <v>659</v>
      </c>
      <c r="E678" s="36">
        <v>3294189711.2854981</v>
      </c>
      <c r="F678">
        <f t="shared" si="10"/>
        <v>0</v>
      </c>
      <c r="AA678" s="4"/>
    </row>
    <row r="679" spans="4:27" x14ac:dyDescent="0.2">
      <c r="D679" s="34">
        <v>660</v>
      </c>
      <c r="E679" s="36">
        <v>3014401023.1773691</v>
      </c>
      <c r="F679">
        <f t="shared" si="10"/>
        <v>0</v>
      </c>
      <c r="AA679" s="4"/>
    </row>
    <row r="680" spans="4:27" x14ac:dyDescent="0.2">
      <c r="D680" s="34">
        <v>661</v>
      </c>
      <c r="E680" s="36">
        <v>3108425372.0224857</v>
      </c>
      <c r="F680">
        <f t="shared" si="10"/>
        <v>0</v>
      </c>
      <c r="AA680" s="4"/>
    </row>
    <row r="681" spans="4:27" x14ac:dyDescent="0.2">
      <c r="D681" s="34">
        <v>662</v>
      </c>
      <c r="E681" s="36">
        <v>2748483929.4135551</v>
      </c>
      <c r="F681">
        <f t="shared" si="10"/>
        <v>0</v>
      </c>
      <c r="AA681" s="4"/>
    </row>
    <row r="682" spans="4:27" x14ac:dyDescent="0.2">
      <c r="D682" s="34">
        <v>663</v>
      </c>
      <c r="E682" s="36">
        <v>2954004864.6890779</v>
      </c>
      <c r="F682">
        <f t="shared" si="10"/>
        <v>0</v>
      </c>
      <c r="AA682" s="4"/>
    </row>
    <row r="683" spans="4:27" x14ac:dyDescent="0.2">
      <c r="D683" s="34">
        <v>664</v>
      </c>
      <c r="E683" s="36">
        <v>3013763408.5085182</v>
      </c>
      <c r="F683">
        <f t="shared" si="10"/>
        <v>0</v>
      </c>
      <c r="AA683" s="4"/>
    </row>
    <row r="684" spans="4:27" x14ac:dyDescent="0.2">
      <c r="D684" s="34">
        <v>665</v>
      </c>
      <c r="E684" s="36">
        <v>3192945349.7039046</v>
      </c>
      <c r="F684">
        <f t="shared" si="10"/>
        <v>0</v>
      </c>
      <c r="AA684" s="4"/>
    </row>
    <row r="685" spans="4:27" x14ac:dyDescent="0.2">
      <c r="D685" s="34">
        <v>666</v>
      </c>
      <c r="E685" s="36">
        <v>2875620646.8249326</v>
      </c>
      <c r="F685">
        <f t="shared" si="10"/>
        <v>0</v>
      </c>
      <c r="AA685" s="4"/>
    </row>
    <row r="686" spans="4:27" x14ac:dyDescent="0.2">
      <c r="D686" s="34">
        <v>667</v>
      </c>
      <c r="E686" s="36">
        <v>2911034049.0188107</v>
      </c>
      <c r="F686">
        <f t="shared" si="10"/>
        <v>0</v>
      </c>
      <c r="AA686" s="4"/>
    </row>
    <row r="687" spans="4:27" x14ac:dyDescent="0.2">
      <c r="D687" s="34">
        <v>668</v>
      </c>
      <c r="E687" s="36">
        <v>2871321002.702754</v>
      </c>
      <c r="F687">
        <f t="shared" si="10"/>
        <v>0</v>
      </c>
      <c r="AA687" s="4"/>
    </row>
    <row r="688" spans="4:27" x14ac:dyDescent="0.2">
      <c r="D688" s="34">
        <v>669</v>
      </c>
      <c r="E688" s="36">
        <v>3307220163.9291859</v>
      </c>
      <c r="F688">
        <f t="shared" si="10"/>
        <v>0</v>
      </c>
      <c r="AA688" s="4"/>
    </row>
    <row r="689" spans="4:27" x14ac:dyDescent="0.2">
      <c r="D689" s="34">
        <v>670</v>
      </c>
      <c r="E689" s="36">
        <v>3231468031.0406337</v>
      </c>
      <c r="F689">
        <f t="shared" si="10"/>
        <v>0</v>
      </c>
      <c r="AA689" s="4"/>
    </row>
    <row r="690" spans="4:27" x14ac:dyDescent="0.2">
      <c r="D690" s="34">
        <v>671</v>
      </c>
      <c r="E690" s="36">
        <v>3036468569.2780271</v>
      </c>
      <c r="F690">
        <f t="shared" si="10"/>
        <v>0</v>
      </c>
      <c r="AA690" s="4"/>
    </row>
    <row r="691" spans="4:27" x14ac:dyDescent="0.2">
      <c r="D691" s="34">
        <v>672</v>
      </c>
      <c r="E691" s="36">
        <v>2845110216.4446959</v>
      </c>
      <c r="F691">
        <f t="shared" si="10"/>
        <v>0</v>
      </c>
      <c r="AA691" s="4"/>
    </row>
    <row r="692" spans="4:27" x14ac:dyDescent="0.2">
      <c r="D692" s="34">
        <v>673</v>
      </c>
      <c r="E692" s="36">
        <v>3023102588.9694057</v>
      </c>
      <c r="F692">
        <f t="shared" si="10"/>
        <v>0</v>
      </c>
      <c r="AA692" s="4"/>
    </row>
    <row r="693" spans="4:27" x14ac:dyDescent="0.2">
      <c r="D693" s="34">
        <v>674</v>
      </c>
      <c r="E693" s="36">
        <v>3190505248.9708672</v>
      </c>
      <c r="F693">
        <f t="shared" si="10"/>
        <v>0</v>
      </c>
      <c r="AA693" s="4"/>
    </row>
    <row r="694" spans="4:27" x14ac:dyDescent="0.2">
      <c r="D694" s="34">
        <v>675</v>
      </c>
      <c r="E694" s="36">
        <v>2969294881.7447548</v>
      </c>
      <c r="F694">
        <f t="shared" si="10"/>
        <v>0</v>
      </c>
      <c r="AA694" s="4"/>
    </row>
    <row r="695" spans="4:27" x14ac:dyDescent="0.2">
      <c r="D695" s="34">
        <v>676</v>
      </c>
      <c r="E695" s="36">
        <v>2886540066.8271117</v>
      </c>
      <c r="F695">
        <f t="shared" si="10"/>
        <v>0</v>
      </c>
      <c r="AA695" s="4"/>
    </row>
    <row r="696" spans="4:27" x14ac:dyDescent="0.2">
      <c r="D696" s="34">
        <v>677</v>
      </c>
      <c r="E696" s="36">
        <v>3356831325.7117524</v>
      </c>
      <c r="F696">
        <f t="shared" si="10"/>
        <v>0</v>
      </c>
      <c r="AA696" s="4"/>
    </row>
    <row r="697" spans="4:27" x14ac:dyDescent="0.2">
      <c r="D697" s="34">
        <v>678</v>
      </c>
      <c r="E697" s="36">
        <v>3029999967.2030969</v>
      </c>
      <c r="F697">
        <f t="shared" si="10"/>
        <v>0</v>
      </c>
      <c r="AA697" s="4"/>
    </row>
    <row r="698" spans="4:27" x14ac:dyDescent="0.2">
      <c r="D698" s="34">
        <v>679</v>
      </c>
      <c r="E698" s="36">
        <v>3176533103.561347</v>
      </c>
      <c r="F698">
        <f t="shared" si="10"/>
        <v>0</v>
      </c>
      <c r="AA698" s="4"/>
    </row>
    <row r="699" spans="4:27" x14ac:dyDescent="0.2">
      <c r="D699" s="34">
        <v>680</v>
      </c>
      <c r="E699" s="36">
        <v>3298394883.9153414</v>
      </c>
      <c r="F699">
        <f t="shared" si="10"/>
        <v>0</v>
      </c>
      <c r="AA699" s="4"/>
    </row>
    <row r="700" spans="4:27" x14ac:dyDescent="0.2">
      <c r="D700" s="34">
        <v>681</v>
      </c>
      <c r="E700" s="36">
        <v>3093654460.0267835</v>
      </c>
      <c r="F700">
        <f t="shared" si="10"/>
        <v>0</v>
      </c>
      <c r="AA700" s="4"/>
    </row>
    <row r="701" spans="4:27" x14ac:dyDescent="0.2">
      <c r="D701" s="34">
        <v>682</v>
      </c>
      <c r="E701" s="36">
        <v>3026954801.2395768</v>
      </c>
      <c r="F701">
        <f t="shared" si="10"/>
        <v>0</v>
      </c>
      <c r="AA701" s="4"/>
    </row>
    <row r="702" spans="4:27" x14ac:dyDescent="0.2">
      <c r="D702" s="34">
        <v>683</v>
      </c>
      <c r="E702" s="36">
        <v>3087892431.2707386</v>
      </c>
      <c r="F702">
        <f t="shared" si="10"/>
        <v>0</v>
      </c>
      <c r="AA702" s="4"/>
    </row>
    <row r="703" spans="4:27" x14ac:dyDescent="0.2">
      <c r="D703" s="34">
        <v>684</v>
      </c>
      <c r="E703" s="36">
        <v>2999467827.3986025</v>
      </c>
      <c r="F703">
        <f t="shared" si="10"/>
        <v>0</v>
      </c>
      <c r="AA703" s="4"/>
    </row>
    <row r="704" spans="4:27" x14ac:dyDescent="0.2">
      <c r="D704" s="34">
        <v>685</v>
      </c>
      <c r="E704" s="36">
        <v>3223229664.5375791</v>
      </c>
      <c r="F704">
        <f t="shared" si="10"/>
        <v>0</v>
      </c>
      <c r="AA704" s="4"/>
    </row>
    <row r="705" spans="4:27" x14ac:dyDescent="0.2">
      <c r="D705" s="34">
        <v>686</v>
      </c>
      <c r="E705" s="36">
        <v>3240673025.5893717</v>
      </c>
      <c r="F705">
        <f t="shared" si="10"/>
        <v>0</v>
      </c>
      <c r="AA705" s="4"/>
    </row>
    <row r="706" spans="4:27" x14ac:dyDescent="0.2">
      <c r="D706" s="34">
        <v>687</v>
      </c>
      <c r="E706" s="36">
        <v>3148586304.0013051</v>
      </c>
      <c r="F706">
        <f t="shared" si="10"/>
        <v>0</v>
      </c>
      <c r="AA706" s="4"/>
    </row>
    <row r="707" spans="4:27" x14ac:dyDescent="0.2">
      <c r="D707" s="34">
        <v>688</v>
      </c>
      <c r="E707" s="36">
        <v>3253811878.6479998</v>
      </c>
      <c r="F707">
        <f t="shared" si="10"/>
        <v>0</v>
      </c>
      <c r="AA707" s="4"/>
    </row>
    <row r="708" spans="4:27" x14ac:dyDescent="0.2">
      <c r="D708" s="34">
        <v>689</v>
      </c>
      <c r="E708" s="36">
        <v>2863444721.9998465</v>
      </c>
      <c r="F708">
        <f t="shared" si="10"/>
        <v>0</v>
      </c>
      <c r="AA708" s="4"/>
    </row>
    <row r="709" spans="4:27" x14ac:dyDescent="0.2">
      <c r="D709" s="34">
        <v>690</v>
      </c>
      <c r="E709" s="36">
        <v>2932318513.0619869</v>
      </c>
      <c r="F709">
        <f t="shared" si="10"/>
        <v>0</v>
      </c>
      <c r="AA709" s="4"/>
    </row>
    <row r="710" spans="4:27" x14ac:dyDescent="0.2">
      <c r="D710" s="34">
        <v>691</v>
      </c>
      <c r="E710" s="36">
        <v>2973951359.8628097</v>
      </c>
      <c r="F710">
        <f t="shared" si="10"/>
        <v>0</v>
      </c>
      <c r="AA710" s="4"/>
    </row>
    <row r="711" spans="4:27" x14ac:dyDescent="0.2">
      <c r="D711" s="34">
        <v>692</v>
      </c>
      <c r="E711" s="36">
        <v>2962015259.0686517</v>
      </c>
      <c r="F711">
        <f t="shared" si="10"/>
        <v>0</v>
      </c>
      <c r="AA711" s="4"/>
    </row>
    <row r="712" spans="4:27" x14ac:dyDescent="0.2">
      <c r="D712" s="34">
        <v>693</v>
      </c>
      <c r="E712" s="36">
        <v>2962011556.0704985</v>
      </c>
      <c r="F712">
        <f t="shared" si="10"/>
        <v>0</v>
      </c>
      <c r="AA712" s="4"/>
    </row>
    <row r="713" spans="4:27" x14ac:dyDescent="0.2">
      <c r="D713" s="34">
        <v>694</v>
      </c>
      <c r="E713" s="36">
        <v>2998072925.3799052</v>
      </c>
      <c r="F713">
        <f t="shared" si="10"/>
        <v>0</v>
      </c>
      <c r="AA713" s="4"/>
    </row>
    <row r="714" spans="4:27" x14ac:dyDescent="0.2">
      <c r="D714" s="34">
        <v>695</v>
      </c>
      <c r="E714" s="36">
        <v>3014083688.5915375</v>
      </c>
      <c r="F714">
        <f t="shared" si="10"/>
        <v>0</v>
      </c>
      <c r="AA714" s="4"/>
    </row>
    <row r="715" spans="4:27" x14ac:dyDescent="0.2">
      <c r="D715" s="34">
        <v>696</v>
      </c>
      <c r="E715" s="36">
        <v>2668269457.5594101</v>
      </c>
      <c r="F715">
        <f t="shared" si="10"/>
        <v>0</v>
      </c>
      <c r="AA715" s="4"/>
    </row>
    <row r="716" spans="4:27" x14ac:dyDescent="0.2">
      <c r="D716" s="34">
        <v>697</v>
      </c>
      <c r="E716" s="36">
        <v>3127589248.3741574</v>
      </c>
      <c r="F716">
        <f t="shared" si="10"/>
        <v>0</v>
      </c>
      <c r="AA716" s="4"/>
    </row>
    <row r="717" spans="4:27" x14ac:dyDescent="0.2">
      <c r="D717" s="34">
        <v>698</v>
      </c>
      <c r="E717" s="36">
        <v>3069153996.3795214</v>
      </c>
      <c r="F717">
        <f t="shared" si="10"/>
        <v>0</v>
      </c>
      <c r="AA717" s="4"/>
    </row>
    <row r="718" spans="4:27" x14ac:dyDescent="0.2">
      <c r="D718" s="34">
        <v>699</v>
      </c>
      <c r="E718" s="36">
        <v>3140701919.8429971</v>
      </c>
      <c r="F718">
        <f t="shared" si="10"/>
        <v>0</v>
      </c>
      <c r="AA718" s="4"/>
    </row>
    <row r="719" spans="4:27" x14ac:dyDescent="0.2">
      <c r="D719" s="34">
        <v>700</v>
      </c>
      <c r="E719" s="36">
        <v>3163309192.3018475</v>
      </c>
      <c r="F719">
        <f t="shared" si="10"/>
        <v>0</v>
      </c>
      <c r="AA719" s="4"/>
    </row>
    <row r="720" spans="4:27" x14ac:dyDescent="0.2">
      <c r="D720" s="34">
        <v>701</v>
      </c>
      <c r="E720" s="36">
        <v>2920254239.2348313</v>
      </c>
      <c r="F720">
        <f t="shared" si="10"/>
        <v>0</v>
      </c>
      <c r="AA720" s="4"/>
    </row>
    <row r="721" spans="4:27" x14ac:dyDescent="0.2">
      <c r="D721" s="34">
        <v>702</v>
      </c>
      <c r="E721" s="36">
        <v>3400418605.2957807</v>
      </c>
      <c r="F721">
        <f t="shared" si="10"/>
        <v>0</v>
      </c>
      <c r="AA721" s="4"/>
    </row>
    <row r="722" spans="4:27" x14ac:dyDescent="0.2">
      <c r="D722" s="34">
        <v>703</v>
      </c>
      <c r="E722" s="36">
        <v>2884834196.7485876</v>
      </c>
      <c r="F722">
        <f t="shared" si="10"/>
        <v>0</v>
      </c>
      <c r="AA722" s="4"/>
    </row>
    <row r="723" spans="4:27" x14ac:dyDescent="0.2">
      <c r="D723" s="34">
        <v>704</v>
      </c>
      <c r="E723" s="36">
        <v>2831962822.3579679</v>
      </c>
      <c r="F723">
        <f t="shared" si="10"/>
        <v>0</v>
      </c>
      <c r="AA723" s="4"/>
    </row>
    <row r="724" spans="4:27" x14ac:dyDescent="0.2">
      <c r="D724" s="34">
        <v>705</v>
      </c>
      <c r="E724" s="36">
        <v>3276102918.9339905</v>
      </c>
      <c r="F724">
        <f t="shared" si="10"/>
        <v>0</v>
      </c>
      <c r="AA724" s="4"/>
    </row>
    <row r="725" spans="4:27" x14ac:dyDescent="0.2">
      <c r="D725" s="34">
        <v>706</v>
      </c>
      <c r="E725" s="36">
        <v>3189270737.8436298</v>
      </c>
      <c r="F725">
        <f t="shared" ref="F725:F788" si="11">IF(E725&lt;1700000000,1,0)</f>
        <v>0</v>
      </c>
      <c r="AA725" s="4"/>
    </row>
    <row r="726" spans="4:27" x14ac:dyDescent="0.2">
      <c r="D726" s="34">
        <v>707</v>
      </c>
      <c r="E726" s="36">
        <v>3106055205.3338361</v>
      </c>
      <c r="F726">
        <f t="shared" si="11"/>
        <v>0</v>
      </c>
      <c r="AA726" s="4"/>
    </row>
    <row r="727" spans="4:27" x14ac:dyDescent="0.2">
      <c r="D727" s="34">
        <v>708</v>
      </c>
      <c r="E727" s="36">
        <v>3298932067.8383017</v>
      </c>
      <c r="F727">
        <f t="shared" si="11"/>
        <v>0</v>
      </c>
      <c r="AA727" s="4"/>
    </row>
    <row r="728" spans="4:27" x14ac:dyDescent="0.2">
      <c r="D728" s="34">
        <v>709</v>
      </c>
      <c r="E728" s="36">
        <v>3082006363.2130275</v>
      </c>
      <c r="F728">
        <f t="shared" si="11"/>
        <v>0</v>
      </c>
      <c r="AA728" s="4"/>
    </row>
    <row r="729" spans="4:27" x14ac:dyDescent="0.2">
      <c r="D729" s="34">
        <v>710</v>
      </c>
      <c r="E729" s="36">
        <v>3170043596.7251444</v>
      </c>
      <c r="F729">
        <f t="shared" si="11"/>
        <v>0</v>
      </c>
      <c r="AA729" s="4"/>
    </row>
    <row r="730" spans="4:27" x14ac:dyDescent="0.2">
      <c r="D730" s="34">
        <v>711</v>
      </c>
      <c r="E730" s="36">
        <v>3341862016.9820318</v>
      </c>
      <c r="F730">
        <f t="shared" si="11"/>
        <v>0</v>
      </c>
      <c r="AA730" s="4"/>
    </row>
    <row r="731" spans="4:27" x14ac:dyDescent="0.2">
      <c r="D731" s="34">
        <v>712</v>
      </c>
      <c r="E731" s="36">
        <v>3099617726.4562364</v>
      </c>
      <c r="F731">
        <f t="shared" si="11"/>
        <v>0</v>
      </c>
      <c r="AA731" s="4"/>
    </row>
    <row r="732" spans="4:27" x14ac:dyDescent="0.2">
      <c r="D732" s="34">
        <v>713</v>
      </c>
      <c r="E732" s="36">
        <v>3091118938.3690343</v>
      </c>
      <c r="F732">
        <f t="shared" si="11"/>
        <v>0</v>
      </c>
      <c r="AA732" s="4"/>
    </row>
    <row r="733" spans="4:27" x14ac:dyDescent="0.2">
      <c r="D733" s="34">
        <v>714</v>
      </c>
      <c r="E733" s="36">
        <v>2956511748.7255378</v>
      </c>
      <c r="F733">
        <f t="shared" si="11"/>
        <v>0</v>
      </c>
      <c r="AA733" s="4"/>
    </row>
    <row r="734" spans="4:27" x14ac:dyDescent="0.2">
      <c r="D734" s="34">
        <v>715</v>
      </c>
      <c r="E734" s="36">
        <v>3095833965.7757626</v>
      </c>
      <c r="F734">
        <f t="shared" si="11"/>
        <v>0</v>
      </c>
      <c r="AA734" s="4"/>
    </row>
    <row r="735" spans="4:27" x14ac:dyDescent="0.2">
      <c r="D735" s="34">
        <v>716</v>
      </c>
      <c r="E735" s="36">
        <v>3023313284.2483602</v>
      </c>
      <c r="F735">
        <f t="shared" si="11"/>
        <v>0</v>
      </c>
      <c r="AA735" s="4"/>
    </row>
    <row r="736" spans="4:27" x14ac:dyDescent="0.2">
      <c r="D736" s="34">
        <v>717</v>
      </c>
      <c r="E736" s="36">
        <v>3076695741.6879611</v>
      </c>
      <c r="F736">
        <f t="shared" si="11"/>
        <v>0</v>
      </c>
      <c r="AA736" s="4"/>
    </row>
    <row r="737" spans="4:27" x14ac:dyDescent="0.2">
      <c r="D737" s="34">
        <v>718</v>
      </c>
      <c r="E737" s="36">
        <v>2935641568.2764506</v>
      </c>
      <c r="F737">
        <f t="shared" si="11"/>
        <v>0</v>
      </c>
      <c r="AA737" s="4"/>
    </row>
    <row r="738" spans="4:27" x14ac:dyDescent="0.2">
      <c r="D738" s="34">
        <v>719</v>
      </c>
      <c r="E738" s="36">
        <v>3228016573.3189507</v>
      </c>
      <c r="F738">
        <f t="shared" si="11"/>
        <v>0</v>
      </c>
      <c r="AA738" s="4"/>
    </row>
    <row r="739" spans="4:27" x14ac:dyDescent="0.2">
      <c r="D739" s="34">
        <v>720</v>
      </c>
      <c r="E739" s="36">
        <v>3248063112.4588718</v>
      </c>
      <c r="F739">
        <f t="shared" si="11"/>
        <v>0</v>
      </c>
      <c r="AA739" s="4"/>
    </row>
    <row r="740" spans="4:27" x14ac:dyDescent="0.2">
      <c r="D740" s="34">
        <v>721</v>
      </c>
      <c r="E740" s="36">
        <v>3050586320.9897738</v>
      </c>
      <c r="F740">
        <f t="shared" si="11"/>
        <v>0</v>
      </c>
      <c r="AA740" s="4"/>
    </row>
    <row r="741" spans="4:27" x14ac:dyDescent="0.2">
      <c r="D741" s="34">
        <v>722</v>
      </c>
      <c r="E741" s="36">
        <v>3050149747.7689562</v>
      </c>
      <c r="F741">
        <f t="shared" si="11"/>
        <v>0</v>
      </c>
      <c r="AA741" s="4"/>
    </row>
    <row r="742" spans="4:27" x14ac:dyDescent="0.2">
      <c r="D742" s="34">
        <v>723</v>
      </c>
      <c r="E742" s="36">
        <v>3318762061.7028179</v>
      </c>
      <c r="F742">
        <f t="shared" si="11"/>
        <v>0</v>
      </c>
      <c r="AA742" s="4"/>
    </row>
    <row r="743" spans="4:27" x14ac:dyDescent="0.2">
      <c r="D743" s="34">
        <v>724</v>
      </c>
      <c r="E743" s="36">
        <v>3168367343.0847893</v>
      </c>
      <c r="F743">
        <f t="shared" si="11"/>
        <v>0</v>
      </c>
      <c r="AA743" s="4"/>
    </row>
    <row r="744" spans="4:27" x14ac:dyDescent="0.2">
      <c r="D744" s="34">
        <v>725</v>
      </c>
      <c r="E744" s="36">
        <v>3025844359.5289826</v>
      </c>
      <c r="F744">
        <f t="shared" si="11"/>
        <v>0</v>
      </c>
      <c r="AA744" s="4"/>
    </row>
    <row r="745" spans="4:27" x14ac:dyDescent="0.2">
      <c r="D745" s="34">
        <v>726</v>
      </c>
      <c r="E745" s="36">
        <v>3385830043.0460229</v>
      </c>
      <c r="F745">
        <f t="shared" si="11"/>
        <v>0</v>
      </c>
      <c r="AA745" s="4"/>
    </row>
    <row r="746" spans="4:27" x14ac:dyDescent="0.2">
      <c r="D746" s="34">
        <v>727</v>
      </c>
      <c r="E746" s="36">
        <v>3075231780.0816302</v>
      </c>
      <c r="F746">
        <f t="shared" si="11"/>
        <v>0</v>
      </c>
      <c r="AA746" s="4"/>
    </row>
    <row r="747" spans="4:27" x14ac:dyDescent="0.2">
      <c r="D747" s="34">
        <v>728</v>
      </c>
      <c r="E747" s="36">
        <v>3034105021.8509493</v>
      </c>
      <c r="F747">
        <f t="shared" si="11"/>
        <v>0</v>
      </c>
      <c r="AA747" s="4"/>
    </row>
    <row r="748" spans="4:27" x14ac:dyDescent="0.2">
      <c r="D748" s="34">
        <v>729</v>
      </c>
      <c r="E748" s="36">
        <v>3107363336.9939308</v>
      </c>
      <c r="F748">
        <f t="shared" si="11"/>
        <v>0</v>
      </c>
      <c r="AA748" s="4"/>
    </row>
    <row r="749" spans="4:27" x14ac:dyDescent="0.2">
      <c r="D749" s="34">
        <v>730</v>
      </c>
      <c r="E749" s="36">
        <v>3065150311.8020334</v>
      </c>
      <c r="F749">
        <f t="shared" si="11"/>
        <v>0</v>
      </c>
      <c r="AA749" s="4"/>
    </row>
    <row r="750" spans="4:27" x14ac:dyDescent="0.2">
      <c r="D750" s="34">
        <v>731</v>
      </c>
      <c r="E750" s="36">
        <v>3118509086.3296595</v>
      </c>
      <c r="F750">
        <f t="shared" si="11"/>
        <v>0</v>
      </c>
      <c r="AA750" s="4"/>
    </row>
    <row r="751" spans="4:27" x14ac:dyDescent="0.2">
      <c r="D751" s="34">
        <v>732</v>
      </c>
      <c r="E751" s="36">
        <v>3187906688.8049464</v>
      </c>
      <c r="F751">
        <f t="shared" si="11"/>
        <v>0</v>
      </c>
      <c r="AA751" s="4"/>
    </row>
    <row r="752" spans="4:27" x14ac:dyDescent="0.2">
      <c r="D752" s="34">
        <v>733</v>
      </c>
      <c r="E752" s="36">
        <v>3291579350.472527</v>
      </c>
      <c r="F752">
        <f t="shared" si="11"/>
        <v>0</v>
      </c>
      <c r="AA752" s="4"/>
    </row>
    <row r="753" spans="4:27" x14ac:dyDescent="0.2">
      <c r="D753" s="34">
        <v>734</v>
      </c>
      <c r="E753" s="36">
        <v>3077848404.528614</v>
      </c>
      <c r="F753">
        <f t="shared" si="11"/>
        <v>0</v>
      </c>
      <c r="AA753" s="4"/>
    </row>
    <row r="754" spans="4:27" x14ac:dyDescent="0.2">
      <c r="D754" s="34">
        <v>735</v>
      </c>
      <c r="E754" s="36">
        <v>3352169831.4876013</v>
      </c>
      <c r="F754">
        <f t="shared" si="11"/>
        <v>0</v>
      </c>
      <c r="AA754" s="4"/>
    </row>
    <row r="755" spans="4:27" x14ac:dyDescent="0.2">
      <c r="D755" s="34">
        <v>736</v>
      </c>
      <c r="E755" s="36">
        <v>3014309900.9729662</v>
      </c>
      <c r="F755">
        <f t="shared" si="11"/>
        <v>0</v>
      </c>
      <c r="AA755" s="4"/>
    </row>
    <row r="756" spans="4:27" x14ac:dyDescent="0.2">
      <c r="D756" s="34">
        <v>737</v>
      </c>
      <c r="E756" s="36">
        <v>3179455407.7811394</v>
      </c>
      <c r="F756">
        <f t="shared" si="11"/>
        <v>0</v>
      </c>
      <c r="AA756" s="4"/>
    </row>
    <row r="757" spans="4:27" x14ac:dyDescent="0.2">
      <c r="D757" s="34">
        <v>738</v>
      </c>
      <c r="E757" s="36">
        <v>2664193525.4902382</v>
      </c>
      <c r="F757">
        <f t="shared" si="11"/>
        <v>0</v>
      </c>
      <c r="AA757" s="4"/>
    </row>
    <row r="758" spans="4:27" x14ac:dyDescent="0.2">
      <c r="D758" s="34">
        <v>739</v>
      </c>
      <c r="E758" s="36">
        <v>2844610633.4681435</v>
      </c>
      <c r="F758">
        <f t="shared" si="11"/>
        <v>0</v>
      </c>
      <c r="AA758" s="4"/>
    </row>
    <row r="759" spans="4:27" x14ac:dyDescent="0.2">
      <c r="D759" s="34">
        <v>740</v>
      </c>
      <c r="E759" s="36">
        <v>3146969337.405869</v>
      </c>
      <c r="F759">
        <f t="shared" si="11"/>
        <v>0</v>
      </c>
      <c r="AA759" s="4"/>
    </row>
    <row r="760" spans="4:27" x14ac:dyDescent="0.2">
      <c r="D760" s="34">
        <v>741</v>
      </c>
      <c r="E760" s="36">
        <v>3440656818.1438613</v>
      </c>
      <c r="F760">
        <f t="shared" si="11"/>
        <v>0</v>
      </c>
      <c r="AA760" s="4"/>
    </row>
    <row r="761" spans="4:27" x14ac:dyDescent="0.2">
      <c r="D761" s="34">
        <v>742</v>
      </c>
      <c r="E761" s="36">
        <v>3304942916.0669107</v>
      </c>
      <c r="F761">
        <f t="shared" si="11"/>
        <v>0</v>
      </c>
      <c r="AA761" s="4"/>
    </row>
    <row r="762" spans="4:27" x14ac:dyDescent="0.2">
      <c r="D762" s="34">
        <v>743</v>
      </c>
      <c r="E762" s="36">
        <v>2979571090.8507204</v>
      </c>
      <c r="F762">
        <f t="shared" si="11"/>
        <v>0</v>
      </c>
      <c r="AA762" s="4"/>
    </row>
    <row r="763" spans="4:27" x14ac:dyDescent="0.2">
      <c r="D763" s="34">
        <v>744</v>
      </c>
      <c r="E763" s="36">
        <v>3191104204.5402517</v>
      </c>
      <c r="F763">
        <f t="shared" si="11"/>
        <v>0</v>
      </c>
      <c r="AA763" s="4"/>
    </row>
    <row r="764" spans="4:27" x14ac:dyDescent="0.2">
      <c r="D764" s="34">
        <v>745</v>
      </c>
      <c r="E764" s="36">
        <v>3040239779.5655746</v>
      </c>
      <c r="F764">
        <f t="shared" si="11"/>
        <v>0</v>
      </c>
      <c r="AA764" s="4"/>
    </row>
    <row r="765" spans="4:27" x14ac:dyDescent="0.2">
      <c r="D765" s="34">
        <v>746</v>
      </c>
      <c r="E765" s="36">
        <v>3043806356.5964565</v>
      </c>
      <c r="F765">
        <f t="shared" si="11"/>
        <v>0</v>
      </c>
      <c r="AA765" s="4"/>
    </row>
    <row r="766" spans="4:27" x14ac:dyDescent="0.2">
      <c r="D766" s="34">
        <v>747</v>
      </c>
      <c r="E766" s="36">
        <v>3468442658.1099648</v>
      </c>
      <c r="F766">
        <f t="shared" si="11"/>
        <v>0</v>
      </c>
      <c r="AA766" s="4"/>
    </row>
    <row r="767" spans="4:27" x14ac:dyDescent="0.2">
      <c r="D767" s="34">
        <v>748</v>
      </c>
      <c r="E767" s="36">
        <v>3184362880.5439506</v>
      </c>
      <c r="F767">
        <f t="shared" si="11"/>
        <v>0</v>
      </c>
      <c r="AA767" s="4"/>
    </row>
    <row r="768" spans="4:27" x14ac:dyDescent="0.2">
      <c r="D768" s="34">
        <v>749</v>
      </c>
      <c r="E768" s="36">
        <v>2893396813.551723</v>
      </c>
      <c r="F768">
        <f t="shared" si="11"/>
        <v>0</v>
      </c>
      <c r="AA768" s="4"/>
    </row>
    <row r="769" spans="4:27" x14ac:dyDescent="0.2">
      <c r="D769" s="34">
        <v>750</v>
      </c>
      <c r="E769" s="36">
        <v>3071428784.154624</v>
      </c>
      <c r="F769">
        <f t="shared" si="11"/>
        <v>0</v>
      </c>
      <c r="AA769" s="4"/>
    </row>
    <row r="770" spans="4:27" x14ac:dyDescent="0.2">
      <c r="D770" s="34">
        <v>751</v>
      </c>
      <c r="E770" s="36">
        <v>3046240361.3883638</v>
      </c>
      <c r="F770">
        <f t="shared" si="11"/>
        <v>0</v>
      </c>
      <c r="AA770" s="4"/>
    </row>
    <row r="771" spans="4:27" x14ac:dyDescent="0.2">
      <c r="D771" s="34">
        <v>752</v>
      </c>
      <c r="E771" s="36">
        <v>3361944179.9656267</v>
      </c>
      <c r="F771">
        <f t="shared" si="11"/>
        <v>0</v>
      </c>
      <c r="AA771" s="4"/>
    </row>
    <row r="772" spans="4:27" x14ac:dyDescent="0.2">
      <c r="D772" s="34">
        <v>753</v>
      </c>
      <c r="E772" s="36">
        <v>3248527211.2502379</v>
      </c>
      <c r="F772">
        <f t="shared" si="11"/>
        <v>0</v>
      </c>
      <c r="AA772" s="4"/>
    </row>
    <row r="773" spans="4:27" x14ac:dyDescent="0.2">
      <c r="D773" s="34">
        <v>754</v>
      </c>
      <c r="E773" s="36">
        <v>2864721356.2598071</v>
      </c>
      <c r="F773">
        <f t="shared" si="11"/>
        <v>0</v>
      </c>
      <c r="AA773" s="4"/>
    </row>
    <row r="774" spans="4:27" x14ac:dyDescent="0.2">
      <c r="D774" s="34">
        <v>755</v>
      </c>
      <c r="E774" s="36">
        <v>3115837060.3445826</v>
      </c>
      <c r="F774">
        <f t="shared" si="11"/>
        <v>0</v>
      </c>
      <c r="AA774" s="4"/>
    </row>
    <row r="775" spans="4:27" x14ac:dyDescent="0.2">
      <c r="D775" s="34">
        <v>756</v>
      </c>
      <c r="E775" s="36">
        <v>2920104401.9406343</v>
      </c>
      <c r="F775">
        <f t="shared" si="11"/>
        <v>0</v>
      </c>
      <c r="AA775" s="4"/>
    </row>
    <row r="776" spans="4:27" x14ac:dyDescent="0.2">
      <c r="D776" s="34">
        <v>757</v>
      </c>
      <c r="E776" s="36">
        <v>3236165065.8265247</v>
      </c>
      <c r="F776">
        <f t="shared" si="11"/>
        <v>0</v>
      </c>
      <c r="AA776" s="4"/>
    </row>
    <row r="777" spans="4:27" x14ac:dyDescent="0.2">
      <c r="D777" s="34">
        <v>758</v>
      </c>
      <c r="E777" s="36">
        <v>3326456777.4463282</v>
      </c>
      <c r="F777">
        <f t="shared" si="11"/>
        <v>0</v>
      </c>
      <c r="AA777" s="4"/>
    </row>
    <row r="778" spans="4:27" x14ac:dyDescent="0.2">
      <c r="D778" s="34">
        <v>759</v>
      </c>
      <c r="E778" s="36">
        <v>3120258947.4588108</v>
      </c>
      <c r="F778">
        <f t="shared" si="11"/>
        <v>0</v>
      </c>
      <c r="AA778" s="4"/>
    </row>
    <row r="779" spans="4:27" x14ac:dyDescent="0.2">
      <c r="D779" s="34">
        <v>760</v>
      </c>
      <c r="E779" s="36">
        <v>3196110007.4298277</v>
      </c>
      <c r="F779">
        <f t="shared" si="11"/>
        <v>0</v>
      </c>
      <c r="AA779" s="4"/>
    </row>
    <row r="780" spans="4:27" x14ac:dyDescent="0.2">
      <c r="D780" s="34">
        <v>761</v>
      </c>
      <c r="E780" s="36">
        <v>2848578716.1510105</v>
      </c>
      <c r="F780">
        <f t="shared" si="11"/>
        <v>0</v>
      </c>
      <c r="AA780" s="4"/>
    </row>
    <row r="781" spans="4:27" x14ac:dyDescent="0.2">
      <c r="D781" s="34">
        <v>762</v>
      </c>
      <c r="E781" s="36">
        <v>3100752371.7570224</v>
      </c>
      <c r="F781">
        <f t="shared" si="11"/>
        <v>0</v>
      </c>
      <c r="AA781" s="4"/>
    </row>
    <row r="782" spans="4:27" x14ac:dyDescent="0.2">
      <c r="D782" s="34">
        <v>763</v>
      </c>
      <c r="E782" s="36">
        <v>2647264021.3294215</v>
      </c>
      <c r="F782">
        <f t="shared" si="11"/>
        <v>0</v>
      </c>
      <c r="AA782" s="4"/>
    </row>
    <row r="783" spans="4:27" x14ac:dyDescent="0.2">
      <c r="D783" s="34">
        <v>764</v>
      </c>
      <c r="E783" s="36">
        <v>2742465604.5658712</v>
      </c>
      <c r="F783">
        <f t="shared" si="11"/>
        <v>0</v>
      </c>
      <c r="AA783" s="4"/>
    </row>
    <row r="784" spans="4:27" x14ac:dyDescent="0.2">
      <c r="D784" s="34">
        <v>765</v>
      </c>
      <c r="E784" s="36">
        <v>3024760548.3904724</v>
      </c>
      <c r="F784">
        <f t="shared" si="11"/>
        <v>0</v>
      </c>
      <c r="AA784" s="4"/>
    </row>
    <row r="785" spans="4:27" x14ac:dyDescent="0.2">
      <c r="D785" s="34">
        <v>766</v>
      </c>
      <c r="E785" s="36">
        <v>3165640948.4766798</v>
      </c>
      <c r="F785">
        <f t="shared" si="11"/>
        <v>0</v>
      </c>
      <c r="AA785" s="4"/>
    </row>
    <row r="786" spans="4:27" x14ac:dyDescent="0.2">
      <c r="D786" s="34">
        <v>767</v>
      </c>
      <c r="E786" s="36">
        <v>2835665884.8918333</v>
      </c>
      <c r="F786">
        <f t="shared" si="11"/>
        <v>0</v>
      </c>
      <c r="AA786" s="4"/>
    </row>
    <row r="787" spans="4:27" x14ac:dyDescent="0.2">
      <c r="D787" s="34">
        <v>768</v>
      </c>
      <c r="E787" s="36">
        <v>3112715151.0443492</v>
      </c>
      <c r="F787">
        <f t="shared" si="11"/>
        <v>0</v>
      </c>
      <c r="AA787" s="4"/>
    </row>
    <row r="788" spans="4:27" x14ac:dyDescent="0.2">
      <c r="D788" s="34">
        <v>769</v>
      </c>
      <c r="E788" s="36">
        <v>2949717719.100605</v>
      </c>
      <c r="F788">
        <f t="shared" si="11"/>
        <v>0</v>
      </c>
      <c r="AA788" s="4"/>
    </row>
    <row r="789" spans="4:27" x14ac:dyDescent="0.2">
      <c r="D789" s="34">
        <v>770</v>
      </c>
      <c r="E789" s="36">
        <v>2994111612.8102593</v>
      </c>
      <c r="F789">
        <f t="shared" ref="F789:F852" si="12">IF(E789&lt;1700000000,1,0)</f>
        <v>0</v>
      </c>
      <c r="AA789" s="4"/>
    </row>
    <row r="790" spans="4:27" x14ac:dyDescent="0.2">
      <c r="D790" s="34">
        <v>771</v>
      </c>
      <c r="E790" s="36">
        <v>3171205625.3735027</v>
      </c>
      <c r="F790">
        <f t="shared" si="12"/>
        <v>0</v>
      </c>
      <c r="AA790" s="4"/>
    </row>
    <row r="791" spans="4:27" x14ac:dyDescent="0.2">
      <c r="D791" s="34">
        <v>772</v>
      </c>
      <c r="E791" s="36">
        <v>3150432381.2974596</v>
      </c>
      <c r="F791">
        <f t="shared" si="12"/>
        <v>0</v>
      </c>
      <c r="AA791" s="4"/>
    </row>
    <row r="792" spans="4:27" x14ac:dyDescent="0.2">
      <c r="D792" s="34">
        <v>773</v>
      </c>
      <c r="E792" s="36">
        <v>2911762344.984961</v>
      </c>
      <c r="F792">
        <f t="shared" si="12"/>
        <v>0</v>
      </c>
      <c r="AA792" s="4"/>
    </row>
    <row r="793" spans="4:27" x14ac:dyDescent="0.2">
      <c r="D793" s="34">
        <v>774</v>
      </c>
      <c r="E793" s="36">
        <v>3109434409.8503556</v>
      </c>
      <c r="F793">
        <f t="shared" si="12"/>
        <v>0</v>
      </c>
      <c r="AA793" s="4"/>
    </row>
    <row r="794" spans="4:27" x14ac:dyDescent="0.2">
      <c r="D794" s="34">
        <v>775</v>
      </c>
      <c r="E794" s="36">
        <v>3041228090.683382</v>
      </c>
      <c r="F794">
        <f t="shared" si="12"/>
        <v>0</v>
      </c>
      <c r="AA794" s="4"/>
    </row>
    <row r="795" spans="4:27" x14ac:dyDescent="0.2">
      <c r="D795" s="34">
        <v>776</v>
      </c>
      <c r="E795" s="36">
        <v>2978002691.2532587</v>
      </c>
      <c r="F795">
        <f t="shared" si="12"/>
        <v>0</v>
      </c>
      <c r="AA795" s="4"/>
    </row>
    <row r="796" spans="4:27" x14ac:dyDescent="0.2">
      <c r="D796" s="34">
        <v>777</v>
      </c>
      <c r="E796" s="36">
        <v>3327766365.5541945</v>
      </c>
      <c r="F796">
        <f t="shared" si="12"/>
        <v>0</v>
      </c>
      <c r="AA796" s="4"/>
    </row>
    <row r="797" spans="4:27" x14ac:dyDescent="0.2">
      <c r="D797" s="34">
        <v>778</v>
      </c>
      <c r="E797" s="36">
        <v>3364402944.8939166</v>
      </c>
      <c r="F797">
        <f t="shared" si="12"/>
        <v>0</v>
      </c>
      <c r="AA797" s="4"/>
    </row>
    <row r="798" spans="4:27" x14ac:dyDescent="0.2">
      <c r="D798" s="34">
        <v>779</v>
      </c>
      <c r="E798" s="36">
        <v>3007527525.7225304</v>
      </c>
      <c r="F798">
        <f t="shared" si="12"/>
        <v>0</v>
      </c>
      <c r="AA798" s="4"/>
    </row>
    <row r="799" spans="4:27" x14ac:dyDescent="0.2">
      <c r="D799" s="34">
        <v>780</v>
      </c>
      <c r="E799" s="36">
        <v>3018109702.4521704</v>
      </c>
      <c r="F799">
        <f t="shared" si="12"/>
        <v>0</v>
      </c>
      <c r="AA799" s="4"/>
    </row>
    <row r="800" spans="4:27" x14ac:dyDescent="0.2">
      <c r="D800" s="34">
        <v>781</v>
      </c>
      <c r="E800" s="36">
        <v>3043928982.7288036</v>
      </c>
      <c r="F800">
        <f t="shared" si="12"/>
        <v>0</v>
      </c>
      <c r="AA800" s="4"/>
    </row>
    <row r="801" spans="4:27" x14ac:dyDescent="0.2">
      <c r="D801" s="34">
        <v>782</v>
      </c>
      <c r="E801" s="36">
        <v>3028431524.1018806</v>
      </c>
      <c r="F801">
        <f t="shared" si="12"/>
        <v>0</v>
      </c>
      <c r="AA801" s="4"/>
    </row>
    <row r="802" spans="4:27" x14ac:dyDescent="0.2">
      <c r="D802" s="34">
        <v>783</v>
      </c>
      <c r="E802" s="36">
        <v>3075173964.4943833</v>
      </c>
      <c r="F802">
        <f t="shared" si="12"/>
        <v>0</v>
      </c>
      <c r="AA802" s="4"/>
    </row>
    <row r="803" spans="4:27" x14ac:dyDescent="0.2">
      <c r="D803" s="34">
        <v>784</v>
      </c>
      <c r="E803" s="36">
        <v>2960539388.8202009</v>
      </c>
      <c r="F803">
        <f t="shared" si="12"/>
        <v>0</v>
      </c>
      <c r="AA803" s="4"/>
    </row>
    <row r="804" spans="4:27" x14ac:dyDescent="0.2">
      <c r="D804" s="34">
        <v>785</v>
      </c>
      <c r="E804" s="36">
        <v>2912366232.3938518</v>
      </c>
      <c r="F804">
        <f t="shared" si="12"/>
        <v>0</v>
      </c>
      <c r="AA804" s="4"/>
    </row>
    <row r="805" spans="4:27" x14ac:dyDescent="0.2">
      <c r="D805" s="34">
        <v>786</v>
      </c>
      <c r="E805" s="36">
        <v>3216347887.5132093</v>
      </c>
      <c r="F805">
        <f t="shared" si="12"/>
        <v>0</v>
      </c>
      <c r="AA805" s="4"/>
    </row>
    <row r="806" spans="4:27" x14ac:dyDescent="0.2">
      <c r="D806" s="34">
        <v>787</v>
      </c>
      <c r="E806" s="36">
        <v>3287061080.7702446</v>
      </c>
      <c r="F806">
        <f t="shared" si="12"/>
        <v>0</v>
      </c>
      <c r="AA806" s="4"/>
    </row>
    <row r="807" spans="4:27" x14ac:dyDescent="0.2">
      <c r="D807" s="34">
        <v>788</v>
      </c>
      <c r="E807" s="36">
        <v>2780346140.5987697</v>
      </c>
      <c r="F807">
        <f t="shared" si="12"/>
        <v>0</v>
      </c>
      <c r="AA807" s="4"/>
    </row>
    <row r="808" spans="4:27" x14ac:dyDescent="0.2">
      <c r="D808" s="34">
        <v>789</v>
      </c>
      <c r="E808" s="36">
        <v>3055252870.4795499</v>
      </c>
      <c r="F808">
        <f t="shared" si="12"/>
        <v>0</v>
      </c>
      <c r="AA808" s="4"/>
    </row>
    <row r="809" spans="4:27" x14ac:dyDescent="0.2">
      <c r="D809" s="34">
        <v>790</v>
      </c>
      <c r="E809" s="36">
        <v>2998120565.1647716</v>
      </c>
      <c r="F809">
        <f t="shared" si="12"/>
        <v>0</v>
      </c>
      <c r="AA809" s="4"/>
    </row>
    <row r="810" spans="4:27" x14ac:dyDescent="0.2">
      <c r="D810" s="34">
        <v>791</v>
      </c>
      <c r="E810" s="36">
        <v>2912457855.1587501</v>
      </c>
      <c r="F810">
        <f t="shared" si="12"/>
        <v>0</v>
      </c>
      <c r="AA810" s="4"/>
    </row>
    <row r="811" spans="4:27" x14ac:dyDescent="0.2">
      <c r="D811" s="34">
        <v>792</v>
      </c>
      <c r="E811" s="36">
        <v>2999758781.5970297</v>
      </c>
      <c r="F811">
        <f t="shared" si="12"/>
        <v>0</v>
      </c>
      <c r="AA811" s="4"/>
    </row>
    <row r="812" spans="4:27" x14ac:dyDescent="0.2">
      <c r="D812" s="34">
        <v>793</v>
      </c>
      <c r="E812" s="36">
        <v>2973816220.0191345</v>
      </c>
      <c r="F812">
        <f t="shared" si="12"/>
        <v>0</v>
      </c>
      <c r="AA812" s="4"/>
    </row>
    <row r="813" spans="4:27" x14ac:dyDescent="0.2">
      <c r="D813" s="34">
        <v>794</v>
      </c>
      <c r="E813" s="36">
        <v>3219362605.6811967</v>
      </c>
      <c r="F813">
        <f t="shared" si="12"/>
        <v>0</v>
      </c>
      <c r="AA813" s="4"/>
    </row>
    <row r="814" spans="4:27" x14ac:dyDescent="0.2">
      <c r="D814" s="34">
        <v>795</v>
      </c>
      <c r="E814" s="36">
        <v>3006280329.8483567</v>
      </c>
      <c r="F814">
        <f t="shared" si="12"/>
        <v>0</v>
      </c>
      <c r="AA814" s="4"/>
    </row>
    <row r="815" spans="4:27" x14ac:dyDescent="0.2">
      <c r="D815" s="34">
        <v>796</v>
      </c>
      <c r="E815" s="36">
        <v>3270812903.9496326</v>
      </c>
      <c r="F815">
        <f t="shared" si="12"/>
        <v>0</v>
      </c>
      <c r="AA815" s="4"/>
    </row>
    <row r="816" spans="4:27" x14ac:dyDescent="0.2">
      <c r="D816" s="34">
        <v>797</v>
      </c>
      <c r="E816" s="36">
        <v>2903891803.0180874</v>
      </c>
      <c r="F816">
        <f t="shared" si="12"/>
        <v>0</v>
      </c>
      <c r="AA816" s="4"/>
    </row>
    <row r="817" spans="4:27" x14ac:dyDescent="0.2">
      <c r="D817" s="34">
        <v>798</v>
      </c>
      <c r="E817" s="36">
        <v>3303194926.5622768</v>
      </c>
      <c r="F817">
        <f t="shared" si="12"/>
        <v>0</v>
      </c>
      <c r="AA817" s="4"/>
    </row>
    <row r="818" spans="4:27" x14ac:dyDescent="0.2">
      <c r="D818" s="34">
        <v>799</v>
      </c>
      <c r="E818" s="36">
        <v>2886684414.6607733</v>
      </c>
      <c r="F818">
        <f t="shared" si="12"/>
        <v>0</v>
      </c>
      <c r="AA818" s="4"/>
    </row>
    <row r="819" spans="4:27" x14ac:dyDescent="0.2">
      <c r="D819" s="34">
        <v>800</v>
      </c>
      <c r="E819" s="36">
        <v>3068495246.0250263</v>
      </c>
      <c r="F819">
        <f t="shared" si="12"/>
        <v>0</v>
      </c>
      <c r="AA819" s="4"/>
    </row>
    <row r="820" spans="4:27" x14ac:dyDescent="0.2">
      <c r="D820" s="34">
        <v>801</v>
      </c>
      <c r="E820" s="36">
        <v>2778470417.5063252</v>
      </c>
      <c r="F820">
        <f t="shared" si="12"/>
        <v>0</v>
      </c>
      <c r="AA820" s="4"/>
    </row>
    <row r="821" spans="4:27" x14ac:dyDescent="0.2">
      <c r="D821" s="34">
        <v>802</v>
      </c>
      <c r="E821" s="36">
        <v>2968819292.6088295</v>
      </c>
      <c r="F821">
        <f t="shared" si="12"/>
        <v>0</v>
      </c>
      <c r="AA821" s="4"/>
    </row>
    <row r="822" spans="4:27" x14ac:dyDescent="0.2">
      <c r="D822" s="34">
        <v>803</v>
      </c>
      <c r="E822" s="36">
        <v>3074584744.4386892</v>
      </c>
      <c r="F822">
        <f t="shared" si="12"/>
        <v>0</v>
      </c>
      <c r="AA822" s="4"/>
    </row>
    <row r="823" spans="4:27" x14ac:dyDescent="0.2">
      <c r="D823" s="34">
        <v>804</v>
      </c>
      <c r="E823" s="36">
        <v>3244182945.7948766</v>
      </c>
      <c r="F823">
        <f t="shared" si="12"/>
        <v>0</v>
      </c>
      <c r="AA823" s="4"/>
    </row>
    <row r="824" spans="4:27" x14ac:dyDescent="0.2">
      <c r="D824" s="34">
        <v>805</v>
      </c>
      <c r="E824" s="36">
        <v>3066541647.7690005</v>
      </c>
      <c r="F824">
        <f t="shared" si="12"/>
        <v>0</v>
      </c>
      <c r="AA824" s="4"/>
    </row>
    <row r="825" spans="4:27" x14ac:dyDescent="0.2">
      <c r="D825" s="34">
        <v>806</v>
      </c>
      <c r="E825" s="36">
        <v>3068899558.1424203</v>
      </c>
      <c r="F825">
        <f t="shared" si="12"/>
        <v>0</v>
      </c>
      <c r="AA825" s="4"/>
    </row>
    <row r="826" spans="4:27" x14ac:dyDescent="0.2">
      <c r="D826" s="34">
        <v>807</v>
      </c>
      <c r="E826" s="36">
        <v>3177577188.1264133</v>
      </c>
      <c r="F826">
        <f t="shared" si="12"/>
        <v>0</v>
      </c>
      <c r="AA826" s="4"/>
    </row>
    <row r="827" spans="4:27" x14ac:dyDescent="0.2">
      <c r="D827" s="34">
        <v>808</v>
      </c>
      <c r="E827" s="36">
        <v>3429095562.0068002</v>
      </c>
      <c r="F827">
        <f t="shared" si="12"/>
        <v>0</v>
      </c>
      <c r="AA827" s="4"/>
    </row>
    <row r="828" spans="4:27" x14ac:dyDescent="0.2">
      <c r="D828" s="34">
        <v>809</v>
      </c>
      <c r="E828" s="36">
        <v>3358082785.0248718</v>
      </c>
      <c r="F828">
        <f t="shared" si="12"/>
        <v>0</v>
      </c>
      <c r="AA828" s="4"/>
    </row>
    <row r="829" spans="4:27" x14ac:dyDescent="0.2">
      <c r="D829" s="34">
        <v>810</v>
      </c>
      <c r="E829" s="36">
        <v>3059730469.8017826</v>
      </c>
      <c r="F829">
        <f t="shared" si="12"/>
        <v>0</v>
      </c>
      <c r="AA829" s="4"/>
    </row>
    <row r="830" spans="4:27" x14ac:dyDescent="0.2">
      <c r="D830" s="34">
        <v>811</v>
      </c>
      <c r="E830" s="36">
        <v>3397163916.8589807</v>
      </c>
      <c r="F830">
        <f t="shared" si="12"/>
        <v>0</v>
      </c>
      <c r="AA830" s="4"/>
    </row>
    <row r="831" spans="4:27" x14ac:dyDescent="0.2">
      <c r="D831" s="34">
        <v>812</v>
      </c>
      <c r="E831" s="36">
        <v>3128910092.2132454</v>
      </c>
      <c r="F831">
        <f t="shared" si="12"/>
        <v>0</v>
      </c>
      <c r="AA831" s="4"/>
    </row>
    <row r="832" spans="4:27" x14ac:dyDescent="0.2">
      <c r="D832" s="34">
        <v>813</v>
      </c>
      <c r="E832" s="36">
        <v>3203285986.5223708</v>
      </c>
      <c r="F832">
        <f t="shared" si="12"/>
        <v>0</v>
      </c>
      <c r="AA832" s="4"/>
    </row>
    <row r="833" spans="4:27" x14ac:dyDescent="0.2">
      <c r="D833" s="34">
        <v>814</v>
      </c>
      <c r="E833" s="36">
        <v>3067930566.8634491</v>
      </c>
      <c r="F833">
        <f t="shared" si="12"/>
        <v>0</v>
      </c>
      <c r="AA833" s="4"/>
    </row>
    <row r="834" spans="4:27" x14ac:dyDescent="0.2">
      <c r="D834" s="34">
        <v>815</v>
      </c>
      <c r="E834" s="36">
        <v>2904123981.3470845</v>
      </c>
      <c r="F834">
        <f t="shared" si="12"/>
        <v>0</v>
      </c>
      <c r="AA834" s="4"/>
    </row>
    <row r="835" spans="4:27" x14ac:dyDescent="0.2">
      <c r="D835" s="34">
        <v>816</v>
      </c>
      <c r="E835" s="36">
        <v>3110176682.681293</v>
      </c>
      <c r="F835">
        <f t="shared" si="12"/>
        <v>0</v>
      </c>
      <c r="AA835" s="4"/>
    </row>
    <row r="836" spans="4:27" x14ac:dyDescent="0.2">
      <c r="D836" s="34">
        <v>817</v>
      </c>
      <c r="E836" s="36">
        <v>3168914142.6918645</v>
      </c>
      <c r="F836">
        <f t="shared" si="12"/>
        <v>0</v>
      </c>
      <c r="AA836" s="4"/>
    </row>
    <row r="837" spans="4:27" x14ac:dyDescent="0.2">
      <c r="D837" s="34">
        <v>818</v>
      </c>
      <c r="E837" s="36">
        <v>3030682492.5946674</v>
      </c>
      <c r="F837">
        <f t="shared" si="12"/>
        <v>0</v>
      </c>
      <c r="AA837" s="4"/>
    </row>
    <row r="838" spans="4:27" x14ac:dyDescent="0.2">
      <c r="D838" s="34">
        <v>819</v>
      </c>
      <c r="E838" s="36">
        <v>3077913156.6341066</v>
      </c>
      <c r="F838">
        <f t="shared" si="12"/>
        <v>0</v>
      </c>
      <c r="AA838" s="4"/>
    </row>
    <row r="839" spans="4:27" x14ac:dyDescent="0.2">
      <c r="D839" s="34">
        <v>820</v>
      </c>
      <c r="E839" s="36">
        <v>3401325015.9260693</v>
      </c>
      <c r="F839">
        <f t="shared" si="12"/>
        <v>0</v>
      </c>
      <c r="AA839" s="4"/>
    </row>
    <row r="840" spans="4:27" x14ac:dyDescent="0.2">
      <c r="D840" s="34">
        <v>821</v>
      </c>
      <c r="E840" s="36">
        <v>3125920510.0174503</v>
      </c>
      <c r="F840">
        <f t="shared" si="12"/>
        <v>0</v>
      </c>
      <c r="AA840" s="4"/>
    </row>
    <row r="841" spans="4:27" x14ac:dyDescent="0.2">
      <c r="D841" s="34">
        <v>822</v>
      </c>
      <c r="E841" s="36">
        <v>3377238525.6460218</v>
      </c>
      <c r="F841">
        <f t="shared" si="12"/>
        <v>0</v>
      </c>
      <c r="AA841" s="4"/>
    </row>
    <row r="842" spans="4:27" x14ac:dyDescent="0.2">
      <c r="D842" s="34">
        <v>823</v>
      </c>
      <c r="E842" s="36">
        <v>2973099689.5010352</v>
      </c>
      <c r="F842">
        <f t="shared" si="12"/>
        <v>0</v>
      </c>
      <c r="AA842" s="4"/>
    </row>
    <row r="843" spans="4:27" x14ac:dyDescent="0.2">
      <c r="D843" s="34">
        <v>824</v>
      </c>
      <c r="E843" s="36">
        <v>2859430242.3040276</v>
      </c>
      <c r="F843">
        <f t="shared" si="12"/>
        <v>0</v>
      </c>
      <c r="AA843" s="4"/>
    </row>
    <row r="844" spans="4:27" x14ac:dyDescent="0.2">
      <c r="D844" s="34">
        <v>825</v>
      </c>
      <c r="E844" s="36">
        <v>3057211119.3263202</v>
      </c>
      <c r="F844">
        <f t="shared" si="12"/>
        <v>0</v>
      </c>
      <c r="AA844" s="4"/>
    </row>
    <row r="845" spans="4:27" x14ac:dyDescent="0.2">
      <c r="D845" s="34">
        <v>826</v>
      </c>
      <c r="E845" s="36">
        <v>3045510532.6610756</v>
      </c>
      <c r="F845">
        <f t="shared" si="12"/>
        <v>0</v>
      </c>
      <c r="AA845" s="4"/>
    </row>
    <row r="846" spans="4:27" x14ac:dyDescent="0.2">
      <c r="D846" s="34">
        <v>827</v>
      </c>
      <c r="E846" s="36">
        <v>2885303398.171093</v>
      </c>
      <c r="F846">
        <f t="shared" si="12"/>
        <v>0</v>
      </c>
      <c r="AA846" s="4"/>
    </row>
    <row r="847" spans="4:27" x14ac:dyDescent="0.2">
      <c r="D847" s="34">
        <v>828</v>
      </c>
      <c r="E847" s="36">
        <v>3081080949.5228338</v>
      </c>
      <c r="F847">
        <f t="shared" si="12"/>
        <v>0</v>
      </c>
      <c r="AA847" s="4"/>
    </row>
    <row r="848" spans="4:27" x14ac:dyDescent="0.2">
      <c r="D848" s="34">
        <v>829</v>
      </c>
      <c r="E848" s="36">
        <v>3461422927.078793</v>
      </c>
      <c r="F848">
        <f t="shared" si="12"/>
        <v>0</v>
      </c>
      <c r="AA848" s="4"/>
    </row>
    <row r="849" spans="4:27" x14ac:dyDescent="0.2">
      <c r="D849" s="34">
        <v>830</v>
      </c>
      <c r="E849" s="36">
        <v>2953983868.8467293</v>
      </c>
      <c r="F849">
        <f t="shared" si="12"/>
        <v>0</v>
      </c>
      <c r="AA849" s="4"/>
    </row>
    <row r="850" spans="4:27" x14ac:dyDescent="0.2">
      <c r="D850" s="34">
        <v>831</v>
      </c>
      <c r="E850" s="36">
        <v>2954681459.5827179</v>
      </c>
      <c r="F850">
        <f t="shared" si="12"/>
        <v>0</v>
      </c>
      <c r="AA850" s="4"/>
    </row>
    <row r="851" spans="4:27" x14ac:dyDescent="0.2">
      <c r="D851" s="34">
        <v>832</v>
      </c>
      <c r="E851" s="36">
        <v>3244791851.7257552</v>
      </c>
      <c r="F851">
        <f t="shared" si="12"/>
        <v>0</v>
      </c>
      <c r="AA851" s="4"/>
    </row>
    <row r="852" spans="4:27" x14ac:dyDescent="0.2">
      <c r="D852" s="34">
        <v>833</v>
      </c>
      <c r="E852" s="36">
        <v>3152324490.556284</v>
      </c>
      <c r="F852">
        <f t="shared" si="12"/>
        <v>0</v>
      </c>
      <c r="AA852" s="4"/>
    </row>
    <row r="853" spans="4:27" x14ac:dyDescent="0.2">
      <c r="D853" s="34">
        <v>834</v>
      </c>
      <c r="E853" s="36">
        <v>3248119118.1369658</v>
      </c>
      <c r="F853">
        <f t="shared" ref="F853:F916" si="13">IF(E853&lt;1700000000,1,0)</f>
        <v>0</v>
      </c>
      <c r="AA853" s="4"/>
    </row>
    <row r="854" spans="4:27" x14ac:dyDescent="0.2">
      <c r="D854" s="34">
        <v>835</v>
      </c>
      <c r="E854" s="36">
        <v>2815961688.5248575</v>
      </c>
      <c r="F854">
        <f t="shared" si="13"/>
        <v>0</v>
      </c>
      <c r="AA854" s="4"/>
    </row>
    <row r="855" spans="4:27" x14ac:dyDescent="0.2">
      <c r="D855" s="34">
        <v>836</v>
      </c>
      <c r="E855" s="36">
        <v>2998808195.295907</v>
      </c>
      <c r="F855">
        <f t="shared" si="13"/>
        <v>0</v>
      </c>
      <c r="AA855" s="4"/>
    </row>
    <row r="856" spans="4:27" x14ac:dyDescent="0.2">
      <c r="D856" s="34">
        <v>837</v>
      </c>
      <c r="E856" s="36">
        <v>3390786999.4025884</v>
      </c>
      <c r="F856">
        <f t="shared" si="13"/>
        <v>0</v>
      </c>
      <c r="AA856" s="4"/>
    </row>
    <row r="857" spans="4:27" x14ac:dyDescent="0.2">
      <c r="D857" s="34">
        <v>838</v>
      </c>
      <c r="E857" s="36">
        <v>2764982031.6786389</v>
      </c>
      <c r="F857">
        <f t="shared" si="13"/>
        <v>0</v>
      </c>
      <c r="AA857" s="4"/>
    </row>
    <row r="858" spans="4:27" x14ac:dyDescent="0.2">
      <c r="D858" s="34">
        <v>839</v>
      </c>
      <c r="E858" s="36">
        <v>2915089857.8980598</v>
      </c>
      <c r="F858">
        <f t="shared" si="13"/>
        <v>0</v>
      </c>
      <c r="AA858" s="4"/>
    </row>
    <row r="859" spans="4:27" x14ac:dyDescent="0.2">
      <c r="D859" s="34">
        <v>840</v>
      </c>
      <c r="E859" s="36">
        <v>3229793588.7197356</v>
      </c>
      <c r="F859">
        <f t="shared" si="13"/>
        <v>0</v>
      </c>
      <c r="AA859" s="4"/>
    </row>
    <row r="860" spans="4:27" x14ac:dyDescent="0.2">
      <c r="D860" s="34">
        <v>841</v>
      </c>
      <c r="E860" s="36">
        <v>2843503087.7712736</v>
      </c>
      <c r="F860">
        <f t="shared" si="13"/>
        <v>0</v>
      </c>
      <c r="AA860" s="4"/>
    </row>
    <row r="861" spans="4:27" x14ac:dyDescent="0.2">
      <c r="D861" s="34">
        <v>842</v>
      </c>
      <c r="E861" s="36">
        <v>3130729641.8974686</v>
      </c>
      <c r="F861">
        <f t="shared" si="13"/>
        <v>0</v>
      </c>
      <c r="AA861" s="4"/>
    </row>
    <row r="862" spans="4:27" x14ac:dyDescent="0.2">
      <c r="D862" s="34">
        <v>843</v>
      </c>
      <c r="E862" s="36">
        <v>3126325848.1979098</v>
      </c>
      <c r="F862">
        <f t="shared" si="13"/>
        <v>0</v>
      </c>
      <c r="AA862" s="4"/>
    </row>
    <row r="863" spans="4:27" x14ac:dyDescent="0.2">
      <c r="D863" s="34">
        <v>844</v>
      </c>
      <c r="E863" s="36">
        <v>2834956975.3421941</v>
      </c>
      <c r="F863">
        <f t="shared" si="13"/>
        <v>0</v>
      </c>
      <c r="AA863" s="4"/>
    </row>
    <row r="864" spans="4:27" x14ac:dyDescent="0.2">
      <c r="D864" s="34">
        <v>845</v>
      </c>
      <c r="E864" s="36">
        <v>3199585860.6110902</v>
      </c>
      <c r="F864">
        <f t="shared" si="13"/>
        <v>0</v>
      </c>
      <c r="AA864" s="4"/>
    </row>
    <row r="865" spans="4:27" x14ac:dyDescent="0.2">
      <c r="D865" s="34">
        <v>846</v>
      </c>
      <c r="E865" s="36">
        <v>3206317680.5513101</v>
      </c>
      <c r="F865">
        <f t="shared" si="13"/>
        <v>0</v>
      </c>
      <c r="AA865" s="4"/>
    </row>
    <row r="866" spans="4:27" x14ac:dyDescent="0.2">
      <c r="D866" s="34">
        <v>847</v>
      </c>
      <c r="E866" s="36">
        <v>2946269425.871357</v>
      </c>
      <c r="F866">
        <f t="shared" si="13"/>
        <v>0</v>
      </c>
      <c r="AA866" s="4"/>
    </row>
    <row r="867" spans="4:27" x14ac:dyDescent="0.2">
      <c r="D867" s="34">
        <v>848</v>
      </c>
      <c r="E867" s="36">
        <v>2842144566.1364646</v>
      </c>
      <c r="F867">
        <f t="shared" si="13"/>
        <v>0</v>
      </c>
      <c r="AA867" s="4"/>
    </row>
    <row r="868" spans="4:27" x14ac:dyDescent="0.2">
      <c r="D868" s="34">
        <v>849</v>
      </c>
      <c r="E868" s="36">
        <v>3196518552.013402</v>
      </c>
      <c r="F868">
        <f t="shared" si="13"/>
        <v>0</v>
      </c>
      <c r="AA868" s="4"/>
    </row>
    <row r="869" spans="4:27" x14ac:dyDescent="0.2">
      <c r="D869" s="34">
        <v>850</v>
      </c>
      <c r="E869" s="36">
        <v>2990926032.4560056</v>
      </c>
      <c r="F869">
        <f t="shared" si="13"/>
        <v>0</v>
      </c>
      <c r="AA869" s="4"/>
    </row>
    <row r="870" spans="4:27" x14ac:dyDescent="0.2">
      <c r="D870" s="34">
        <v>851</v>
      </c>
      <c r="E870" s="36">
        <v>2902747235.3548284</v>
      </c>
      <c r="F870">
        <f t="shared" si="13"/>
        <v>0</v>
      </c>
      <c r="AA870" s="4"/>
    </row>
    <row r="871" spans="4:27" x14ac:dyDescent="0.2">
      <c r="D871" s="34">
        <v>852</v>
      </c>
      <c r="E871" s="36">
        <v>3142070212.8096414</v>
      </c>
      <c r="F871">
        <f t="shared" si="13"/>
        <v>0</v>
      </c>
      <c r="AA871" s="4"/>
    </row>
    <row r="872" spans="4:27" x14ac:dyDescent="0.2">
      <c r="D872" s="34">
        <v>853</v>
      </c>
      <c r="E872" s="36">
        <v>3296078178.9463363</v>
      </c>
      <c r="F872">
        <f t="shared" si="13"/>
        <v>0</v>
      </c>
      <c r="AA872" s="4"/>
    </row>
    <row r="873" spans="4:27" x14ac:dyDescent="0.2">
      <c r="D873" s="34">
        <v>854</v>
      </c>
      <c r="E873" s="36">
        <v>3154065874.564683</v>
      </c>
      <c r="F873">
        <f t="shared" si="13"/>
        <v>0</v>
      </c>
      <c r="AA873" s="4"/>
    </row>
    <row r="874" spans="4:27" x14ac:dyDescent="0.2">
      <c r="D874" s="34">
        <v>855</v>
      </c>
      <c r="E874" s="36">
        <v>3110965192.7060113</v>
      </c>
      <c r="F874">
        <f t="shared" si="13"/>
        <v>0</v>
      </c>
      <c r="AA874" s="4"/>
    </row>
    <row r="875" spans="4:27" x14ac:dyDescent="0.2">
      <c r="D875" s="34">
        <v>856</v>
      </c>
      <c r="E875" s="36">
        <v>3208973826.6074624</v>
      </c>
      <c r="F875">
        <f t="shared" si="13"/>
        <v>0</v>
      </c>
      <c r="AA875" s="4"/>
    </row>
    <row r="876" spans="4:27" x14ac:dyDescent="0.2">
      <c r="D876" s="34">
        <v>857</v>
      </c>
      <c r="E876" s="36">
        <v>3120673238.1940093</v>
      </c>
      <c r="F876">
        <f t="shared" si="13"/>
        <v>0</v>
      </c>
      <c r="AA876" s="4"/>
    </row>
    <row r="877" spans="4:27" x14ac:dyDescent="0.2">
      <c r="D877" s="34">
        <v>858</v>
      </c>
      <c r="E877" s="36">
        <v>3303343141.2820616</v>
      </c>
      <c r="F877">
        <f t="shared" si="13"/>
        <v>0</v>
      </c>
      <c r="AA877" s="4"/>
    </row>
    <row r="878" spans="4:27" x14ac:dyDescent="0.2">
      <c r="D878" s="34">
        <v>859</v>
      </c>
      <c r="E878" s="36">
        <v>3218987996.1882157</v>
      </c>
      <c r="F878">
        <f t="shared" si="13"/>
        <v>0</v>
      </c>
      <c r="AA878" s="4"/>
    </row>
    <row r="879" spans="4:27" x14ac:dyDescent="0.2">
      <c r="D879" s="34">
        <v>860</v>
      </c>
      <c r="E879" s="36">
        <v>3116214872.7584438</v>
      </c>
      <c r="F879">
        <f t="shared" si="13"/>
        <v>0</v>
      </c>
      <c r="AA879" s="4"/>
    </row>
    <row r="880" spans="4:27" x14ac:dyDescent="0.2">
      <c r="D880" s="34">
        <v>861</v>
      </c>
      <c r="E880" s="36">
        <v>2944140046.0484753</v>
      </c>
      <c r="F880">
        <f t="shared" si="13"/>
        <v>0</v>
      </c>
      <c r="AA880" s="4"/>
    </row>
    <row r="881" spans="4:27" x14ac:dyDescent="0.2">
      <c r="D881" s="34">
        <v>862</v>
      </c>
      <c r="E881" s="36">
        <v>3228116106.9238596</v>
      </c>
      <c r="F881">
        <f t="shared" si="13"/>
        <v>0</v>
      </c>
      <c r="AA881" s="4"/>
    </row>
    <row r="882" spans="4:27" x14ac:dyDescent="0.2">
      <c r="D882" s="34">
        <v>863</v>
      </c>
      <c r="E882" s="36">
        <v>3101669947.5431571</v>
      </c>
      <c r="F882">
        <f t="shared" si="13"/>
        <v>0</v>
      </c>
      <c r="AA882" s="4"/>
    </row>
    <row r="883" spans="4:27" x14ac:dyDescent="0.2">
      <c r="D883" s="34">
        <v>864</v>
      </c>
      <c r="E883" s="36">
        <v>3243708760.2721143</v>
      </c>
      <c r="F883">
        <f t="shared" si="13"/>
        <v>0</v>
      </c>
      <c r="AA883" s="4"/>
    </row>
    <row r="884" spans="4:27" x14ac:dyDescent="0.2">
      <c r="D884" s="34">
        <v>865</v>
      </c>
      <c r="E884" s="36">
        <v>3198025031.2557364</v>
      </c>
      <c r="F884">
        <f t="shared" si="13"/>
        <v>0</v>
      </c>
      <c r="AA884" s="4"/>
    </row>
    <row r="885" spans="4:27" x14ac:dyDescent="0.2">
      <c r="D885" s="34">
        <v>866</v>
      </c>
      <c r="E885" s="36">
        <v>2905517141.9261656</v>
      </c>
      <c r="F885">
        <f t="shared" si="13"/>
        <v>0</v>
      </c>
      <c r="AA885" s="4"/>
    </row>
    <row r="886" spans="4:27" x14ac:dyDescent="0.2">
      <c r="D886" s="34">
        <v>867</v>
      </c>
      <c r="E886" s="36">
        <v>3386460184.3924494</v>
      </c>
      <c r="F886">
        <f t="shared" si="13"/>
        <v>0</v>
      </c>
      <c r="AA886" s="4"/>
    </row>
    <row r="887" spans="4:27" x14ac:dyDescent="0.2">
      <c r="D887" s="34">
        <v>868</v>
      </c>
      <c r="E887" s="36">
        <v>2848380542.5010242</v>
      </c>
      <c r="F887">
        <f t="shared" si="13"/>
        <v>0</v>
      </c>
      <c r="AA887" s="4"/>
    </row>
    <row r="888" spans="4:27" x14ac:dyDescent="0.2">
      <c r="D888" s="34">
        <v>869</v>
      </c>
      <c r="E888" s="36">
        <v>3065719978.5093369</v>
      </c>
      <c r="F888">
        <f t="shared" si="13"/>
        <v>0</v>
      </c>
      <c r="AA888" s="4"/>
    </row>
    <row r="889" spans="4:27" x14ac:dyDescent="0.2">
      <c r="D889" s="34">
        <v>870</v>
      </c>
      <c r="E889" s="36">
        <v>2885262233.7391682</v>
      </c>
      <c r="F889">
        <f t="shared" si="13"/>
        <v>0</v>
      </c>
      <c r="AA889" s="4"/>
    </row>
    <row r="890" spans="4:27" x14ac:dyDescent="0.2">
      <c r="D890" s="34">
        <v>871</v>
      </c>
      <c r="E890" s="36">
        <v>3200405381.2274489</v>
      </c>
      <c r="F890">
        <f t="shared" si="13"/>
        <v>0</v>
      </c>
      <c r="AA890" s="4"/>
    </row>
    <row r="891" spans="4:27" x14ac:dyDescent="0.2">
      <c r="D891" s="34">
        <v>872</v>
      </c>
      <c r="E891" s="36">
        <v>3141918157.3293877</v>
      </c>
      <c r="F891">
        <f t="shared" si="13"/>
        <v>0</v>
      </c>
      <c r="AA891" s="4"/>
    </row>
    <row r="892" spans="4:27" x14ac:dyDescent="0.2">
      <c r="D892" s="34">
        <v>873</v>
      </c>
      <c r="E892" s="36">
        <v>2953635233.2901626</v>
      </c>
      <c r="F892">
        <f t="shared" si="13"/>
        <v>0</v>
      </c>
      <c r="AA892" s="4"/>
    </row>
    <row r="893" spans="4:27" x14ac:dyDescent="0.2">
      <c r="D893" s="34">
        <v>874</v>
      </c>
      <c r="E893" s="36">
        <v>3079064291.7643814</v>
      </c>
      <c r="F893">
        <f t="shared" si="13"/>
        <v>0</v>
      </c>
      <c r="AA893" s="4"/>
    </row>
    <row r="894" spans="4:27" x14ac:dyDescent="0.2">
      <c r="D894" s="34">
        <v>875</v>
      </c>
      <c r="E894" s="36">
        <v>3241885515.6634603</v>
      </c>
      <c r="F894">
        <f t="shared" si="13"/>
        <v>0</v>
      </c>
      <c r="AA894" s="4"/>
    </row>
    <row r="895" spans="4:27" x14ac:dyDescent="0.2">
      <c r="D895" s="34">
        <v>876</v>
      </c>
      <c r="E895" s="36">
        <v>2886813734.5449119</v>
      </c>
      <c r="F895">
        <f t="shared" si="13"/>
        <v>0</v>
      </c>
      <c r="AA895" s="4"/>
    </row>
    <row r="896" spans="4:27" x14ac:dyDescent="0.2">
      <c r="D896" s="34">
        <v>877</v>
      </c>
      <c r="E896" s="36">
        <v>3359606885.6230493</v>
      </c>
      <c r="F896">
        <f t="shared" si="13"/>
        <v>0</v>
      </c>
      <c r="AA896" s="4"/>
    </row>
    <row r="897" spans="4:27" x14ac:dyDescent="0.2">
      <c r="D897" s="34">
        <v>878</v>
      </c>
      <c r="E897" s="36">
        <v>3384474369.0636225</v>
      </c>
      <c r="F897">
        <f t="shared" si="13"/>
        <v>0</v>
      </c>
      <c r="AA897" s="4"/>
    </row>
    <row r="898" spans="4:27" x14ac:dyDescent="0.2">
      <c r="D898" s="34">
        <v>879</v>
      </c>
      <c r="E898" s="36">
        <v>2931718864.8056335</v>
      </c>
      <c r="F898">
        <f t="shared" si="13"/>
        <v>0</v>
      </c>
      <c r="AA898" s="4"/>
    </row>
    <row r="899" spans="4:27" x14ac:dyDescent="0.2">
      <c r="D899" s="34">
        <v>880</v>
      </c>
      <c r="E899" s="36">
        <v>3087233426.4355311</v>
      </c>
      <c r="F899">
        <f t="shared" si="13"/>
        <v>0</v>
      </c>
      <c r="AA899" s="4"/>
    </row>
    <row r="900" spans="4:27" x14ac:dyDescent="0.2">
      <c r="D900" s="34">
        <v>881</v>
      </c>
      <c r="E900" s="36">
        <v>3539950131.0426283</v>
      </c>
      <c r="F900">
        <f t="shared" si="13"/>
        <v>0</v>
      </c>
      <c r="AA900" s="4"/>
    </row>
    <row r="901" spans="4:27" x14ac:dyDescent="0.2">
      <c r="D901" s="34">
        <v>882</v>
      </c>
      <c r="E901" s="36">
        <v>3000669068.0681829</v>
      </c>
      <c r="F901">
        <f t="shared" si="13"/>
        <v>0</v>
      </c>
      <c r="AA901" s="4"/>
    </row>
    <row r="902" spans="4:27" x14ac:dyDescent="0.2">
      <c r="D902" s="34">
        <v>883</v>
      </c>
      <c r="E902" s="36">
        <v>3250508903.9008698</v>
      </c>
      <c r="F902">
        <f t="shared" si="13"/>
        <v>0</v>
      </c>
      <c r="AA902" s="4"/>
    </row>
    <row r="903" spans="4:27" x14ac:dyDescent="0.2">
      <c r="D903" s="34">
        <v>884</v>
      </c>
      <c r="E903" s="36">
        <v>3365720048.4692602</v>
      </c>
      <c r="F903">
        <f t="shared" si="13"/>
        <v>0</v>
      </c>
      <c r="AA903" s="4"/>
    </row>
    <row r="904" spans="4:27" x14ac:dyDescent="0.2">
      <c r="D904" s="34">
        <v>885</v>
      </c>
      <c r="E904" s="36">
        <v>3025564101.173018</v>
      </c>
      <c r="F904">
        <f t="shared" si="13"/>
        <v>0</v>
      </c>
      <c r="AA904" s="4"/>
    </row>
    <row r="905" spans="4:27" x14ac:dyDescent="0.2">
      <c r="D905" s="34">
        <v>886</v>
      </c>
      <c r="E905" s="36">
        <v>3346162627.1502705</v>
      </c>
      <c r="F905">
        <f t="shared" si="13"/>
        <v>0</v>
      </c>
      <c r="AA905" s="4"/>
    </row>
    <row r="906" spans="4:27" x14ac:dyDescent="0.2">
      <c r="D906" s="34">
        <v>887</v>
      </c>
      <c r="E906" s="36">
        <v>3315998000.0780706</v>
      </c>
      <c r="F906">
        <f t="shared" si="13"/>
        <v>0</v>
      </c>
      <c r="AA906" s="4"/>
    </row>
    <row r="907" spans="4:27" x14ac:dyDescent="0.2">
      <c r="D907" s="34">
        <v>888</v>
      </c>
      <c r="E907" s="36">
        <v>3084680100.5149274</v>
      </c>
      <c r="F907">
        <f t="shared" si="13"/>
        <v>0</v>
      </c>
      <c r="AA907" s="4"/>
    </row>
    <row r="908" spans="4:27" x14ac:dyDescent="0.2">
      <c r="D908" s="34">
        <v>889</v>
      </c>
      <c r="E908" s="36">
        <v>3321935439.0271626</v>
      </c>
      <c r="F908">
        <f t="shared" si="13"/>
        <v>0</v>
      </c>
      <c r="AA908" s="4"/>
    </row>
    <row r="909" spans="4:27" x14ac:dyDescent="0.2">
      <c r="D909" s="34">
        <v>890</v>
      </c>
      <c r="E909" s="36">
        <v>3616896742.1929069</v>
      </c>
      <c r="F909">
        <f t="shared" si="13"/>
        <v>0</v>
      </c>
      <c r="AA909" s="4"/>
    </row>
    <row r="910" spans="4:27" x14ac:dyDescent="0.2">
      <c r="D910" s="34">
        <v>891</v>
      </c>
      <c r="E910" s="36">
        <v>3350124269.1000695</v>
      </c>
      <c r="F910">
        <f t="shared" si="13"/>
        <v>0</v>
      </c>
      <c r="AA910" s="4"/>
    </row>
    <row r="911" spans="4:27" x14ac:dyDescent="0.2">
      <c r="D911" s="34">
        <v>892</v>
      </c>
      <c r="E911" s="36">
        <v>3231460056.2536645</v>
      </c>
      <c r="F911">
        <f t="shared" si="13"/>
        <v>0</v>
      </c>
      <c r="AA911" s="4"/>
    </row>
    <row r="912" spans="4:27" x14ac:dyDescent="0.2">
      <c r="D912" s="34">
        <v>893</v>
      </c>
      <c r="E912" s="36">
        <v>2882904147.7972236</v>
      </c>
      <c r="F912">
        <f t="shared" si="13"/>
        <v>0</v>
      </c>
      <c r="AA912" s="4"/>
    </row>
    <row r="913" spans="4:27" x14ac:dyDescent="0.2">
      <c r="D913" s="34">
        <v>894</v>
      </c>
      <c r="E913" s="36">
        <v>3248116165.2351565</v>
      </c>
      <c r="F913">
        <f t="shared" si="13"/>
        <v>0</v>
      </c>
      <c r="AA913" s="4"/>
    </row>
    <row r="914" spans="4:27" x14ac:dyDescent="0.2">
      <c r="D914" s="34">
        <v>895</v>
      </c>
      <c r="E914" s="36">
        <v>3441236178.454277</v>
      </c>
      <c r="F914">
        <f t="shared" si="13"/>
        <v>0</v>
      </c>
      <c r="AA914" s="4"/>
    </row>
    <row r="915" spans="4:27" x14ac:dyDescent="0.2">
      <c r="D915" s="34">
        <v>896</v>
      </c>
      <c r="E915" s="36">
        <v>3218701244.758996</v>
      </c>
      <c r="F915">
        <f t="shared" si="13"/>
        <v>0</v>
      </c>
      <c r="AA915" s="4"/>
    </row>
    <row r="916" spans="4:27" x14ac:dyDescent="0.2">
      <c r="D916" s="34">
        <v>897</v>
      </c>
      <c r="E916" s="36">
        <v>3187597154.6041031</v>
      </c>
      <c r="F916">
        <f t="shared" si="13"/>
        <v>0</v>
      </c>
      <c r="AA916" s="4"/>
    </row>
    <row r="917" spans="4:27" x14ac:dyDescent="0.2">
      <c r="D917" s="34">
        <v>898</v>
      </c>
      <c r="E917" s="36">
        <v>3132526289.518476</v>
      </c>
      <c r="F917">
        <f t="shared" ref="F917:F980" si="14">IF(E917&lt;1700000000,1,0)</f>
        <v>0</v>
      </c>
      <c r="AA917" s="4"/>
    </row>
    <row r="918" spans="4:27" x14ac:dyDescent="0.2">
      <c r="D918" s="34">
        <v>899</v>
      </c>
      <c r="E918" s="36">
        <v>3198601176.9756184</v>
      </c>
      <c r="F918">
        <f t="shared" si="14"/>
        <v>0</v>
      </c>
      <c r="AA918" s="4"/>
    </row>
    <row r="919" spans="4:27" x14ac:dyDescent="0.2">
      <c r="D919" s="34">
        <v>900</v>
      </c>
      <c r="E919" s="36">
        <v>3081959952.4117708</v>
      </c>
      <c r="F919">
        <f t="shared" si="14"/>
        <v>0</v>
      </c>
      <c r="AA919" s="4"/>
    </row>
    <row r="920" spans="4:27" x14ac:dyDescent="0.2">
      <c r="D920" s="34">
        <v>901</v>
      </c>
      <c r="E920" s="36">
        <v>3031420022.3198094</v>
      </c>
      <c r="F920">
        <f t="shared" si="14"/>
        <v>0</v>
      </c>
      <c r="AA920" s="4"/>
    </row>
    <row r="921" spans="4:27" x14ac:dyDescent="0.2">
      <c r="D921" s="34">
        <v>902</v>
      </c>
      <c r="E921" s="36">
        <v>2888409827.7841582</v>
      </c>
      <c r="F921">
        <f t="shared" si="14"/>
        <v>0</v>
      </c>
      <c r="AA921" s="4"/>
    </row>
    <row r="922" spans="4:27" x14ac:dyDescent="0.2">
      <c r="D922" s="34">
        <v>903</v>
      </c>
      <c r="E922" s="36">
        <v>2873693553.269515</v>
      </c>
      <c r="F922">
        <f t="shared" si="14"/>
        <v>0</v>
      </c>
      <c r="AA922" s="4"/>
    </row>
    <row r="923" spans="4:27" x14ac:dyDescent="0.2">
      <c r="D923" s="34">
        <v>904</v>
      </c>
      <c r="E923" s="36">
        <v>3000007181.6139708</v>
      </c>
      <c r="F923">
        <f t="shared" si="14"/>
        <v>0</v>
      </c>
      <c r="AA923" s="4"/>
    </row>
    <row r="924" spans="4:27" x14ac:dyDescent="0.2">
      <c r="D924" s="34">
        <v>905</v>
      </c>
      <c r="E924" s="36">
        <v>3459166193.7025118</v>
      </c>
      <c r="F924">
        <f t="shared" si="14"/>
        <v>0</v>
      </c>
      <c r="AA924" s="4"/>
    </row>
    <row r="925" spans="4:27" x14ac:dyDescent="0.2">
      <c r="D925" s="34">
        <v>906</v>
      </c>
      <c r="E925" s="36">
        <v>3140950000.9771662</v>
      </c>
      <c r="F925">
        <f t="shared" si="14"/>
        <v>0</v>
      </c>
      <c r="AA925" s="4"/>
    </row>
    <row r="926" spans="4:27" x14ac:dyDescent="0.2">
      <c r="D926" s="34">
        <v>907</v>
      </c>
      <c r="E926" s="36">
        <v>3134864868.7993698</v>
      </c>
      <c r="F926">
        <f t="shared" si="14"/>
        <v>0</v>
      </c>
      <c r="AA926" s="4"/>
    </row>
    <row r="927" spans="4:27" x14ac:dyDescent="0.2">
      <c r="D927" s="34">
        <v>908</v>
      </c>
      <c r="E927" s="36">
        <v>3178329582.5092134</v>
      </c>
      <c r="F927">
        <f t="shared" si="14"/>
        <v>0</v>
      </c>
      <c r="AA927" s="4"/>
    </row>
    <row r="928" spans="4:27" x14ac:dyDescent="0.2">
      <c r="D928" s="34">
        <v>909</v>
      </c>
      <c r="E928" s="36">
        <v>3071057075.5075011</v>
      </c>
      <c r="F928">
        <f t="shared" si="14"/>
        <v>0</v>
      </c>
      <c r="AA928" s="4"/>
    </row>
    <row r="929" spans="4:27" x14ac:dyDescent="0.2">
      <c r="D929" s="34">
        <v>910</v>
      </c>
      <c r="E929" s="36">
        <v>3010825166.7645245</v>
      </c>
      <c r="F929">
        <f t="shared" si="14"/>
        <v>0</v>
      </c>
      <c r="AA929" s="4"/>
    </row>
    <row r="930" spans="4:27" x14ac:dyDescent="0.2">
      <c r="D930" s="34">
        <v>911</v>
      </c>
      <c r="E930" s="36">
        <v>2954068187.4168105</v>
      </c>
      <c r="F930">
        <f t="shared" si="14"/>
        <v>0</v>
      </c>
      <c r="AA930" s="4"/>
    </row>
    <row r="931" spans="4:27" x14ac:dyDescent="0.2">
      <c r="D931" s="34">
        <v>912</v>
      </c>
      <c r="E931" s="36">
        <v>3059197982.8310962</v>
      </c>
      <c r="F931">
        <f t="shared" si="14"/>
        <v>0</v>
      </c>
      <c r="AA931" s="4"/>
    </row>
    <row r="932" spans="4:27" x14ac:dyDescent="0.2">
      <c r="D932" s="34">
        <v>913</v>
      </c>
      <c r="E932" s="36">
        <v>3195506921.7352443</v>
      </c>
      <c r="F932">
        <f t="shared" si="14"/>
        <v>0</v>
      </c>
      <c r="AA932" s="4"/>
    </row>
    <row r="933" spans="4:27" x14ac:dyDescent="0.2">
      <c r="D933" s="34">
        <v>914</v>
      </c>
      <c r="E933" s="36">
        <v>2859306099.2144217</v>
      </c>
      <c r="F933">
        <f t="shared" si="14"/>
        <v>0</v>
      </c>
      <c r="AA933" s="4"/>
    </row>
    <row r="934" spans="4:27" x14ac:dyDescent="0.2">
      <c r="D934" s="34">
        <v>915</v>
      </c>
      <c r="E934" s="36">
        <v>3141553042.2182131</v>
      </c>
      <c r="F934">
        <f t="shared" si="14"/>
        <v>0</v>
      </c>
      <c r="AA934" s="4"/>
    </row>
    <row r="935" spans="4:27" x14ac:dyDescent="0.2">
      <c r="D935" s="34">
        <v>916</v>
      </c>
      <c r="E935" s="36">
        <v>3136287920.1062016</v>
      </c>
      <c r="F935">
        <f t="shared" si="14"/>
        <v>0</v>
      </c>
      <c r="AA935" s="4"/>
    </row>
    <row r="936" spans="4:27" x14ac:dyDescent="0.2">
      <c r="D936" s="34">
        <v>917</v>
      </c>
      <c r="E936" s="36">
        <v>3123634905.7929964</v>
      </c>
      <c r="F936">
        <f t="shared" si="14"/>
        <v>0</v>
      </c>
      <c r="AA936" s="4"/>
    </row>
    <row r="937" spans="4:27" x14ac:dyDescent="0.2">
      <c r="D937" s="34">
        <v>918</v>
      </c>
      <c r="E937" s="36">
        <v>3051034445.8848963</v>
      </c>
      <c r="F937">
        <f t="shared" si="14"/>
        <v>0</v>
      </c>
      <c r="AA937" s="4"/>
    </row>
    <row r="938" spans="4:27" x14ac:dyDescent="0.2">
      <c r="D938" s="34">
        <v>919</v>
      </c>
      <c r="E938" s="36">
        <v>3177692081.9577742</v>
      </c>
      <c r="F938">
        <f t="shared" si="14"/>
        <v>0</v>
      </c>
      <c r="AA938" s="4"/>
    </row>
    <row r="939" spans="4:27" x14ac:dyDescent="0.2">
      <c r="D939" s="34">
        <v>920</v>
      </c>
      <c r="E939" s="36">
        <v>2891837989.6810637</v>
      </c>
      <c r="F939">
        <f t="shared" si="14"/>
        <v>0</v>
      </c>
      <c r="AA939" s="4"/>
    </row>
    <row r="940" spans="4:27" x14ac:dyDescent="0.2">
      <c r="D940" s="34">
        <v>921</v>
      </c>
      <c r="E940" s="36">
        <v>2860144807.067616</v>
      </c>
      <c r="F940">
        <f t="shared" si="14"/>
        <v>0</v>
      </c>
      <c r="AA940" s="4"/>
    </row>
    <row r="941" spans="4:27" x14ac:dyDescent="0.2">
      <c r="D941" s="34">
        <v>922</v>
      </c>
      <c r="E941" s="36">
        <v>3224943948.920608</v>
      </c>
      <c r="F941">
        <f t="shared" si="14"/>
        <v>0</v>
      </c>
      <c r="AA941" s="4"/>
    </row>
    <row r="942" spans="4:27" x14ac:dyDescent="0.2">
      <c r="D942" s="34">
        <v>923</v>
      </c>
      <c r="E942" s="36">
        <v>3270095925.6700025</v>
      </c>
      <c r="F942">
        <f t="shared" si="14"/>
        <v>0</v>
      </c>
      <c r="AA942" s="4"/>
    </row>
    <row r="943" spans="4:27" x14ac:dyDescent="0.2">
      <c r="D943" s="34">
        <v>924</v>
      </c>
      <c r="E943" s="36">
        <v>3022726762.8628097</v>
      </c>
      <c r="F943">
        <f t="shared" si="14"/>
        <v>0</v>
      </c>
      <c r="AA943" s="4"/>
    </row>
    <row r="944" spans="4:27" x14ac:dyDescent="0.2">
      <c r="D944" s="34">
        <v>925</v>
      </c>
      <c r="E944" s="36">
        <v>3355522249.4395204</v>
      </c>
      <c r="F944">
        <f t="shared" si="14"/>
        <v>0</v>
      </c>
      <c r="AA944" s="4"/>
    </row>
    <row r="945" spans="4:27" x14ac:dyDescent="0.2">
      <c r="D945" s="34">
        <v>926</v>
      </c>
      <c r="E945" s="36">
        <v>2977823555.6250429</v>
      </c>
      <c r="F945">
        <f t="shared" si="14"/>
        <v>0</v>
      </c>
      <c r="AA945" s="4"/>
    </row>
    <row r="946" spans="4:27" x14ac:dyDescent="0.2">
      <c r="D946" s="34">
        <v>927</v>
      </c>
      <c r="E946" s="36">
        <v>3024102984.7121243</v>
      </c>
      <c r="F946">
        <f t="shared" si="14"/>
        <v>0</v>
      </c>
      <c r="AA946" s="4"/>
    </row>
    <row r="947" spans="4:27" x14ac:dyDescent="0.2">
      <c r="D947" s="34">
        <v>928</v>
      </c>
      <c r="E947" s="36">
        <v>3087960987.3006787</v>
      </c>
      <c r="F947">
        <f t="shared" si="14"/>
        <v>0</v>
      </c>
      <c r="AA947" s="4"/>
    </row>
    <row r="948" spans="4:27" x14ac:dyDescent="0.2">
      <c r="D948" s="34">
        <v>929</v>
      </c>
      <c r="E948" s="36">
        <v>3306497449.4619813</v>
      </c>
      <c r="F948">
        <f t="shared" si="14"/>
        <v>0</v>
      </c>
      <c r="AA948" s="4"/>
    </row>
    <row r="949" spans="4:27" x14ac:dyDescent="0.2">
      <c r="D949" s="34">
        <v>930</v>
      </c>
      <c r="E949" s="36">
        <v>3054856345.2831869</v>
      </c>
      <c r="F949">
        <f t="shared" si="14"/>
        <v>0</v>
      </c>
      <c r="AA949" s="4"/>
    </row>
    <row r="950" spans="4:27" x14ac:dyDescent="0.2">
      <c r="D950" s="34">
        <v>931</v>
      </c>
      <c r="E950" s="36">
        <v>3438090953.5710773</v>
      </c>
      <c r="F950">
        <f t="shared" si="14"/>
        <v>0</v>
      </c>
      <c r="AA950" s="4"/>
    </row>
    <row r="951" spans="4:27" x14ac:dyDescent="0.2">
      <c r="D951" s="34">
        <v>932</v>
      </c>
      <c r="E951" s="36">
        <v>3075260939.4740148</v>
      </c>
      <c r="F951">
        <f t="shared" si="14"/>
        <v>0</v>
      </c>
      <c r="AA951" s="4"/>
    </row>
    <row r="952" spans="4:27" x14ac:dyDescent="0.2">
      <c r="D952" s="34">
        <v>933</v>
      </c>
      <c r="E952" s="36">
        <v>3216411220.5351481</v>
      </c>
      <c r="F952">
        <f t="shared" si="14"/>
        <v>0</v>
      </c>
      <c r="AA952" s="4"/>
    </row>
    <row r="953" spans="4:27" x14ac:dyDescent="0.2">
      <c r="D953" s="34">
        <v>934</v>
      </c>
      <c r="E953" s="36">
        <v>3366195601.6702309</v>
      </c>
      <c r="F953">
        <f t="shared" si="14"/>
        <v>0</v>
      </c>
      <c r="AA953" s="4"/>
    </row>
    <row r="954" spans="4:27" x14ac:dyDescent="0.2">
      <c r="D954" s="34">
        <v>935</v>
      </c>
      <c r="E954" s="36">
        <v>3014884836.6399117</v>
      </c>
      <c r="F954">
        <f t="shared" si="14"/>
        <v>0</v>
      </c>
      <c r="AA954" s="4"/>
    </row>
    <row r="955" spans="4:27" x14ac:dyDescent="0.2">
      <c r="D955" s="34">
        <v>936</v>
      </c>
      <c r="E955" s="36">
        <v>2890862963.2300148</v>
      </c>
      <c r="F955">
        <f t="shared" si="14"/>
        <v>0</v>
      </c>
      <c r="AA955" s="4"/>
    </row>
    <row r="956" spans="4:27" x14ac:dyDescent="0.2">
      <c r="D956" s="34">
        <v>937</v>
      </c>
      <c r="E956" s="36">
        <v>3248388887.906229</v>
      </c>
      <c r="F956">
        <f t="shared" si="14"/>
        <v>0</v>
      </c>
      <c r="AA956" s="4"/>
    </row>
    <row r="957" spans="4:27" x14ac:dyDescent="0.2">
      <c r="D957" s="34">
        <v>938</v>
      </c>
      <c r="E957" s="36">
        <v>3002238454.8702679</v>
      </c>
      <c r="F957">
        <f t="shared" si="14"/>
        <v>0</v>
      </c>
      <c r="AA957" s="4"/>
    </row>
    <row r="958" spans="4:27" x14ac:dyDescent="0.2">
      <c r="D958" s="34">
        <v>939</v>
      </c>
      <c r="E958" s="36">
        <v>3251389350.9202757</v>
      </c>
      <c r="F958">
        <f t="shared" si="14"/>
        <v>0</v>
      </c>
      <c r="AA958" s="4"/>
    </row>
    <row r="959" spans="4:27" x14ac:dyDescent="0.2">
      <c r="D959" s="34">
        <v>940</v>
      </c>
      <c r="E959" s="36">
        <v>3264584276.4364834</v>
      </c>
      <c r="F959">
        <f t="shared" si="14"/>
        <v>0</v>
      </c>
      <c r="AA959" s="4"/>
    </row>
    <row r="960" spans="4:27" x14ac:dyDescent="0.2">
      <c r="D960" s="34">
        <v>941</v>
      </c>
      <c r="E960" s="36">
        <v>3000519835.4798889</v>
      </c>
      <c r="F960">
        <f t="shared" si="14"/>
        <v>0</v>
      </c>
      <c r="AA960" s="4"/>
    </row>
    <row r="961" spans="4:27" x14ac:dyDescent="0.2">
      <c r="D961" s="34">
        <v>942</v>
      </c>
      <c r="E961" s="36">
        <v>3320011334.5305715</v>
      </c>
      <c r="F961">
        <f t="shared" si="14"/>
        <v>0</v>
      </c>
      <c r="AA961" s="4"/>
    </row>
    <row r="962" spans="4:27" x14ac:dyDescent="0.2">
      <c r="D962" s="34">
        <v>943</v>
      </c>
      <c r="E962" s="36">
        <v>3477089632.5058112</v>
      </c>
      <c r="F962">
        <f t="shared" si="14"/>
        <v>0</v>
      </c>
      <c r="AA962" s="4"/>
    </row>
    <row r="963" spans="4:27" x14ac:dyDescent="0.2">
      <c r="D963" s="34">
        <v>944</v>
      </c>
      <c r="E963" s="36">
        <v>3113483142.0019631</v>
      </c>
      <c r="F963">
        <f t="shared" si="14"/>
        <v>0</v>
      </c>
      <c r="AA963" s="4"/>
    </row>
    <row r="964" spans="4:27" x14ac:dyDescent="0.2">
      <c r="D964" s="34">
        <v>945</v>
      </c>
      <c r="E964" s="36">
        <v>3158973462.4066253</v>
      </c>
      <c r="F964">
        <f t="shared" si="14"/>
        <v>0</v>
      </c>
      <c r="AA964" s="4"/>
    </row>
    <row r="965" spans="4:27" x14ac:dyDescent="0.2">
      <c r="D965" s="34">
        <v>946</v>
      </c>
      <c r="E965" s="36">
        <v>2843143430.6621661</v>
      </c>
      <c r="F965">
        <f t="shared" si="14"/>
        <v>0</v>
      </c>
      <c r="AA965" s="4"/>
    </row>
    <row r="966" spans="4:27" x14ac:dyDescent="0.2">
      <c r="D966" s="34">
        <v>947</v>
      </c>
      <c r="E966" s="36">
        <v>3170254849.9536233</v>
      </c>
      <c r="F966">
        <f t="shared" si="14"/>
        <v>0</v>
      </c>
      <c r="AA966" s="4"/>
    </row>
    <row r="967" spans="4:27" x14ac:dyDescent="0.2">
      <c r="D967" s="34">
        <v>948</v>
      </c>
      <c r="E967" s="36">
        <v>3109280594.8176813</v>
      </c>
      <c r="F967">
        <f t="shared" si="14"/>
        <v>0</v>
      </c>
      <c r="AA967" s="4"/>
    </row>
    <row r="968" spans="4:27" x14ac:dyDescent="0.2">
      <c r="D968" s="34">
        <v>949</v>
      </c>
      <c r="E968" s="36">
        <v>2983616554.1750102</v>
      </c>
      <c r="F968">
        <f t="shared" si="14"/>
        <v>0</v>
      </c>
      <c r="AA968" s="4"/>
    </row>
    <row r="969" spans="4:27" x14ac:dyDescent="0.2">
      <c r="D969" s="34">
        <v>950</v>
      </c>
      <c r="E969" s="36">
        <v>2864824916.608057</v>
      </c>
      <c r="F969">
        <f t="shared" si="14"/>
        <v>0</v>
      </c>
      <c r="AA969" s="4"/>
    </row>
    <row r="970" spans="4:27" x14ac:dyDescent="0.2">
      <c r="D970" s="34">
        <v>951</v>
      </c>
      <c r="E970" s="36">
        <v>2785187913.7358713</v>
      </c>
      <c r="F970">
        <f t="shared" si="14"/>
        <v>0</v>
      </c>
      <c r="AA970" s="4"/>
    </row>
    <row r="971" spans="4:27" x14ac:dyDescent="0.2">
      <c r="D971" s="34">
        <v>952</v>
      </c>
      <c r="E971" s="36">
        <v>3229854832.3581629</v>
      </c>
      <c r="F971">
        <f t="shared" si="14"/>
        <v>0</v>
      </c>
      <c r="AA971" s="4"/>
    </row>
    <row r="972" spans="4:27" x14ac:dyDescent="0.2">
      <c r="D972" s="34">
        <v>953</v>
      </c>
      <c r="E972" s="36">
        <v>2966462831.0310216</v>
      </c>
      <c r="F972">
        <f t="shared" si="14"/>
        <v>0</v>
      </c>
      <c r="AA972" s="4"/>
    </row>
    <row r="973" spans="4:27" x14ac:dyDescent="0.2">
      <c r="D973" s="34">
        <v>954</v>
      </c>
      <c r="E973" s="36">
        <v>3078852402.1956496</v>
      </c>
      <c r="F973">
        <f t="shared" si="14"/>
        <v>0</v>
      </c>
      <c r="AA973" s="4"/>
    </row>
    <row r="974" spans="4:27" x14ac:dyDescent="0.2">
      <c r="D974" s="34">
        <v>955</v>
      </c>
      <c r="E974" s="36">
        <v>2928104098.3121886</v>
      </c>
      <c r="F974">
        <f t="shared" si="14"/>
        <v>0</v>
      </c>
      <c r="AA974" s="4"/>
    </row>
    <row r="975" spans="4:27" x14ac:dyDescent="0.2">
      <c r="D975" s="34">
        <v>956</v>
      </c>
      <c r="E975" s="36">
        <v>3173920805.0000238</v>
      </c>
      <c r="F975">
        <f t="shared" si="14"/>
        <v>0</v>
      </c>
      <c r="AA975" s="4"/>
    </row>
    <row r="976" spans="4:27" x14ac:dyDescent="0.2">
      <c r="D976" s="34">
        <v>957</v>
      </c>
      <c r="E976" s="36">
        <v>3165713321.7763567</v>
      </c>
      <c r="F976">
        <f t="shared" si="14"/>
        <v>0</v>
      </c>
      <c r="AA976" s="4"/>
    </row>
    <row r="977" spans="4:27" x14ac:dyDescent="0.2">
      <c r="D977" s="34">
        <v>958</v>
      </c>
      <c r="E977" s="36">
        <v>2989983703.0169296</v>
      </c>
      <c r="F977">
        <f t="shared" si="14"/>
        <v>0</v>
      </c>
      <c r="AA977" s="4"/>
    </row>
    <row r="978" spans="4:27" x14ac:dyDescent="0.2">
      <c r="D978" s="34">
        <v>959</v>
      </c>
      <c r="E978" s="36">
        <v>3276568932.8274627</v>
      </c>
      <c r="F978">
        <f t="shared" si="14"/>
        <v>0</v>
      </c>
      <c r="AA978" s="4"/>
    </row>
    <row r="979" spans="4:27" x14ac:dyDescent="0.2">
      <c r="D979" s="34">
        <v>960</v>
      </c>
      <c r="E979" s="36">
        <v>2891332901.7604465</v>
      </c>
      <c r="F979">
        <f t="shared" si="14"/>
        <v>0</v>
      </c>
      <c r="AA979" s="4"/>
    </row>
    <row r="980" spans="4:27" x14ac:dyDescent="0.2">
      <c r="D980" s="34">
        <v>961</v>
      </c>
      <c r="E980" s="36">
        <v>3260273057.5151458</v>
      </c>
      <c r="F980">
        <f t="shared" si="14"/>
        <v>0</v>
      </c>
      <c r="AA980" s="4"/>
    </row>
    <row r="981" spans="4:27" x14ac:dyDescent="0.2">
      <c r="D981" s="34">
        <v>962</v>
      </c>
      <c r="E981" s="36">
        <v>3051372116.4981308</v>
      </c>
      <c r="F981">
        <f t="shared" ref="F981:F1019" si="15">IF(E981&lt;1700000000,1,0)</f>
        <v>0</v>
      </c>
      <c r="AA981" s="4"/>
    </row>
    <row r="982" spans="4:27" x14ac:dyDescent="0.2">
      <c r="D982" s="34">
        <v>963</v>
      </c>
      <c r="E982" s="36">
        <v>3093011318.443119</v>
      </c>
      <c r="F982">
        <f t="shared" si="15"/>
        <v>0</v>
      </c>
      <c r="AA982" s="4"/>
    </row>
    <row r="983" spans="4:27" x14ac:dyDescent="0.2">
      <c r="D983" s="34">
        <v>964</v>
      </c>
      <c r="E983" s="36">
        <v>3258510379.4237437</v>
      </c>
      <c r="F983">
        <f t="shared" si="15"/>
        <v>0</v>
      </c>
      <c r="AA983" s="4"/>
    </row>
    <row r="984" spans="4:27" x14ac:dyDescent="0.2">
      <c r="D984" s="34">
        <v>965</v>
      </c>
      <c r="E984" s="36">
        <v>2856159049.4004502</v>
      </c>
      <c r="F984">
        <f t="shared" si="15"/>
        <v>0</v>
      </c>
      <c r="AA984" s="4"/>
    </row>
    <row r="985" spans="4:27" x14ac:dyDescent="0.2">
      <c r="D985" s="34">
        <v>966</v>
      </c>
      <c r="E985" s="36">
        <v>3013912918.3672018</v>
      </c>
      <c r="F985">
        <f t="shared" si="15"/>
        <v>0</v>
      </c>
      <c r="AA985" s="4"/>
    </row>
    <row r="986" spans="4:27" x14ac:dyDescent="0.2">
      <c r="D986" s="34">
        <v>967</v>
      </c>
      <c r="E986" s="36">
        <v>3256713275.9101882</v>
      </c>
      <c r="F986">
        <f t="shared" si="15"/>
        <v>0</v>
      </c>
      <c r="AA986" s="4"/>
    </row>
    <row r="987" spans="4:27" x14ac:dyDescent="0.2">
      <c r="D987" s="34">
        <v>968</v>
      </c>
      <c r="E987" s="36">
        <v>3278586780.4954467</v>
      </c>
      <c r="F987">
        <f t="shared" si="15"/>
        <v>0</v>
      </c>
      <c r="AA987" s="4"/>
    </row>
    <row r="988" spans="4:27" x14ac:dyDescent="0.2">
      <c r="D988" s="34">
        <v>969</v>
      </c>
      <c r="E988" s="36">
        <v>3082115624.2129316</v>
      </c>
      <c r="F988">
        <f t="shared" si="15"/>
        <v>0</v>
      </c>
      <c r="AA988" s="4"/>
    </row>
    <row r="989" spans="4:27" x14ac:dyDescent="0.2">
      <c r="D989" s="34">
        <v>970</v>
      </c>
      <c r="E989" s="36">
        <v>3203896017.4428511</v>
      </c>
      <c r="F989">
        <f t="shared" si="15"/>
        <v>0</v>
      </c>
      <c r="AA989" s="4"/>
    </row>
    <row r="990" spans="4:27" x14ac:dyDescent="0.2">
      <c r="D990" s="34">
        <v>971</v>
      </c>
      <c r="E990" s="36">
        <v>3074652378.9808502</v>
      </c>
      <c r="F990">
        <f t="shared" si="15"/>
        <v>0</v>
      </c>
      <c r="AA990" s="4"/>
    </row>
    <row r="991" spans="4:27" x14ac:dyDescent="0.2">
      <c r="D991" s="34">
        <v>972</v>
      </c>
      <c r="E991" s="36">
        <v>3162173096.4324551</v>
      </c>
      <c r="F991">
        <f t="shared" si="15"/>
        <v>0</v>
      </c>
      <c r="AA991" s="4"/>
    </row>
    <row r="992" spans="4:27" x14ac:dyDescent="0.2">
      <c r="D992" s="34">
        <v>973</v>
      </c>
      <c r="E992" s="36">
        <v>3211206215.3252659</v>
      </c>
      <c r="F992">
        <f t="shared" si="15"/>
        <v>0</v>
      </c>
      <c r="AA992" s="4"/>
    </row>
    <row r="993" spans="4:27" x14ac:dyDescent="0.2">
      <c r="D993" s="34">
        <v>974</v>
      </c>
      <c r="E993" s="36">
        <v>3238602209.0441952</v>
      </c>
      <c r="F993">
        <f t="shared" si="15"/>
        <v>0</v>
      </c>
      <c r="AA993" s="4"/>
    </row>
    <row r="994" spans="4:27" x14ac:dyDescent="0.2">
      <c r="D994" s="34">
        <v>975</v>
      </c>
      <c r="E994" s="36">
        <v>3178189750.7806144</v>
      </c>
      <c r="F994">
        <f t="shared" si="15"/>
        <v>0</v>
      </c>
      <c r="AA994" s="4"/>
    </row>
    <row r="995" spans="4:27" x14ac:dyDescent="0.2">
      <c r="D995" s="34">
        <v>976</v>
      </c>
      <c r="E995" s="36">
        <v>2929818490.6955752</v>
      </c>
      <c r="F995">
        <f t="shared" si="15"/>
        <v>0</v>
      </c>
      <c r="AA995" s="4"/>
    </row>
    <row r="996" spans="4:27" x14ac:dyDescent="0.2">
      <c r="D996" s="34">
        <v>977</v>
      </c>
      <c r="E996" s="36">
        <v>3399466857.092164</v>
      </c>
      <c r="F996">
        <f t="shared" si="15"/>
        <v>0</v>
      </c>
      <c r="AA996" s="4"/>
    </row>
    <row r="997" spans="4:27" x14ac:dyDescent="0.2">
      <c r="D997" s="34">
        <v>978</v>
      </c>
      <c r="E997" s="36">
        <v>2859955825.7996426</v>
      </c>
      <c r="F997">
        <f t="shared" si="15"/>
        <v>0</v>
      </c>
      <c r="AA997" s="4"/>
    </row>
    <row r="998" spans="4:27" x14ac:dyDescent="0.2">
      <c r="D998" s="34">
        <v>979</v>
      </c>
      <c r="E998" s="36">
        <v>3087453082.8288088</v>
      </c>
      <c r="F998">
        <f t="shared" si="15"/>
        <v>0</v>
      </c>
      <c r="AA998" s="4"/>
    </row>
    <row r="999" spans="4:27" x14ac:dyDescent="0.2">
      <c r="D999" s="34">
        <v>980</v>
      </c>
      <c r="E999" s="36">
        <v>3262806005.1017995</v>
      </c>
      <c r="F999">
        <f t="shared" si="15"/>
        <v>0</v>
      </c>
      <c r="AA999" s="4"/>
    </row>
    <row r="1000" spans="4:27" x14ac:dyDescent="0.2">
      <c r="D1000" s="34">
        <v>981</v>
      </c>
      <c r="E1000" s="36">
        <v>3043702439.2366281</v>
      </c>
      <c r="F1000">
        <f t="shared" si="15"/>
        <v>0</v>
      </c>
      <c r="AA1000" s="4"/>
    </row>
    <row r="1001" spans="4:27" x14ac:dyDescent="0.2">
      <c r="D1001" s="34">
        <v>982</v>
      </c>
      <c r="E1001" s="36">
        <v>3075290349.6585078</v>
      </c>
      <c r="F1001">
        <f t="shared" si="15"/>
        <v>0</v>
      </c>
      <c r="AA1001" s="4"/>
    </row>
    <row r="1002" spans="4:27" x14ac:dyDescent="0.2">
      <c r="D1002" s="34">
        <v>983</v>
      </c>
      <c r="E1002" s="36">
        <v>2922218709.4041734</v>
      </c>
      <c r="F1002">
        <f t="shared" si="15"/>
        <v>0</v>
      </c>
      <c r="AA1002" s="4"/>
    </row>
    <row r="1003" spans="4:27" x14ac:dyDescent="0.2">
      <c r="D1003" s="34">
        <v>984</v>
      </c>
      <c r="E1003" s="36">
        <v>3283778950.091486</v>
      </c>
      <c r="F1003">
        <f t="shared" si="15"/>
        <v>0</v>
      </c>
      <c r="AA1003" s="4"/>
    </row>
    <row r="1004" spans="4:27" x14ac:dyDescent="0.2">
      <c r="D1004" s="34">
        <v>985</v>
      </c>
      <c r="E1004" s="36">
        <v>3467560640.0892925</v>
      </c>
      <c r="F1004">
        <f t="shared" si="15"/>
        <v>0</v>
      </c>
      <c r="AA1004" s="4"/>
    </row>
    <row r="1005" spans="4:27" x14ac:dyDescent="0.2">
      <c r="D1005" s="34">
        <v>986</v>
      </c>
      <c r="E1005" s="36">
        <v>2776736405.5884671</v>
      </c>
      <c r="F1005">
        <f t="shared" si="15"/>
        <v>0</v>
      </c>
      <c r="AA1005" s="4"/>
    </row>
    <row r="1006" spans="4:27" x14ac:dyDescent="0.2">
      <c r="D1006" s="34">
        <v>987</v>
      </c>
      <c r="E1006" s="36">
        <v>3142421101.8636599</v>
      </c>
      <c r="F1006">
        <f t="shared" si="15"/>
        <v>0</v>
      </c>
      <c r="AA1006" s="4"/>
    </row>
    <row r="1007" spans="4:27" x14ac:dyDescent="0.2">
      <c r="D1007" s="34">
        <v>988</v>
      </c>
      <c r="E1007" s="36">
        <v>3070706046.7767735</v>
      </c>
      <c r="F1007">
        <f t="shared" si="15"/>
        <v>0</v>
      </c>
      <c r="AA1007" s="4"/>
    </row>
    <row r="1008" spans="4:27" x14ac:dyDescent="0.2">
      <c r="D1008" s="34">
        <v>989</v>
      </c>
      <c r="E1008" s="36">
        <v>3101037587.2422066</v>
      </c>
      <c r="F1008">
        <f t="shared" si="15"/>
        <v>0</v>
      </c>
      <c r="AA1008" s="4"/>
    </row>
    <row r="1009" spans="4:27" x14ac:dyDescent="0.2">
      <c r="D1009" s="34">
        <v>990</v>
      </c>
      <c r="E1009" s="36">
        <v>3151497858.7477965</v>
      </c>
      <c r="F1009">
        <f t="shared" si="15"/>
        <v>0</v>
      </c>
      <c r="AA1009" s="4"/>
    </row>
    <row r="1010" spans="4:27" x14ac:dyDescent="0.2">
      <c r="D1010" s="34">
        <v>991</v>
      </c>
      <c r="E1010" s="36">
        <v>3322440393.6309476</v>
      </c>
      <c r="F1010">
        <f t="shared" si="15"/>
        <v>0</v>
      </c>
      <c r="AA1010" s="4"/>
    </row>
    <row r="1011" spans="4:27" x14ac:dyDescent="0.2">
      <c r="D1011" s="34">
        <v>992</v>
      </c>
      <c r="E1011" s="36">
        <v>3111814607.6425233</v>
      </c>
      <c r="F1011">
        <f t="shared" si="15"/>
        <v>0</v>
      </c>
      <c r="AA1011" s="4"/>
    </row>
    <row r="1012" spans="4:27" x14ac:dyDescent="0.2">
      <c r="D1012" s="34">
        <v>993</v>
      </c>
      <c r="E1012" s="36">
        <v>3325331578.8382287</v>
      </c>
      <c r="F1012">
        <f t="shared" si="15"/>
        <v>0</v>
      </c>
      <c r="AA1012" s="4"/>
    </row>
    <row r="1013" spans="4:27" x14ac:dyDescent="0.2">
      <c r="D1013" s="34">
        <v>994</v>
      </c>
      <c r="E1013" s="36">
        <v>3266414046.1359911</v>
      </c>
      <c r="F1013">
        <f t="shared" si="15"/>
        <v>0</v>
      </c>
      <c r="AA1013" s="4"/>
    </row>
    <row r="1014" spans="4:27" x14ac:dyDescent="0.2">
      <c r="D1014" s="34">
        <v>995</v>
      </c>
      <c r="E1014" s="36">
        <v>3077063159.799026</v>
      </c>
      <c r="F1014">
        <f t="shared" si="15"/>
        <v>0</v>
      </c>
      <c r="AA1014" s="4"/>
    </row>
    <row r="1015" spans="4:27" x14ac:dyDescent="0.2">
      <c r="D1015" s="34">
        <v>996</v>
      </c>
      <c r="E1015" s="36">
        <v>3287267777.6504688</v>
      </c>
      <c r="F1015">
        <f t="shared" si="15"/>
        <v>0</v>
      </c>
      <c r="AA1015" s="4"/>
    </row>
    <row r="1016" spans="4:27" x14ac:dyDescent="0.2">
      <c r="D1016" s="34">
        <v>997</v>
      </c>
      <c r="E1016" s="36">
        <v>3215991010.6175346</v>
      </c>
      <c r="F1016">
        <f t="shared" si="15"/>
        <v>0</v>
      </c>
      <c r="AA1016" s="4"/>
    </row>
    <row r="1017" spans="4:27" x14ac:dyDescent="0.2">
      <c r="D1017" s="34">
        <v>998</v>
      </c>
      <c r="E1017" s="36">
        <v>2800517687.6056781</v>
      </c>
      <c r="F1017">
        <f t="shared" si="15"/>
        <v>0</v>
      </c>
      <c r="AA1017" s="4"/>
    </row>
    <row r="1018" spans="4:27" x14ac:dyDescent="0.2">
      <c r="D1018" s="34">
        <v>999</v>
      </c>
      <c r="E1018" s="36">
        <v>3182938743.2848611</v>
      </c>
      <c r="F1018">
        <f t="shared" si="15"/>
        <v>0</v>
      </c>
      <c r="AA1018" s="4"/>
    </row>
    <row r="1019" spans="4:27" x14ac:dyDescent="0.2">
      <c r="D1019" s="34">
        <v>1000</v>
      </c>
      <c r="E1019" s="36">
        <v>3084563691.3236294</v>
      </c>
      <c r="F1019">
        <f t="shared" si="15"/>
        <v>0</v>
      </c>
      <c r="AA1019" s="4"/>
    </row>
    <row r="1020" spans="4:27" x14ac:dyDescent="0.2">
      <c r="AA1020" s="4"/>
    </row>
    <row r="1021" spans="4:27" x14ac:dyDescent="0.2">
      <c r="AA1021" s="4"/>
    </row>
    <row r="1022" spans="4:27" x14ac:dyDescent="0.2">
      <c r="AA1022" s="4"/>
    </row>
    <row r="1023" spans="4:27" x14ac:dyDescent="0.2">
      <c r="AA1023" s="4"/>
    </row>
    <row r="1024" spans="4:27" x14ac:dyDescent="0.2">
      <c r="AA1024" s="4"/>
    </row>
    <row r="1025" spans="27:27" x14ac:dyDescent="0.2">
      <c r="AA1025" s="4"/>
    </row>
    <row r="1026" spans="27:27" x14ac:dyDescent="0.2">
      <c r="AA1026" s="4"/>
    </row>
    <row r="1027" spans="27:27" x14ac:dyDescent="0.2">
      <c r="AA1027" s="4"/>
    </row>
    <row r="1028" spans="27:27" x14ac:dyDescent="0.2">
      <c r="AA1028" s="4"/>
    </row>
    <row r="1029" spans="27:27" x14ac:dyDescent="0.2">
      <c r="AA1029" s="4"/>
    </row>
    <row r="1030" spans="27:27" x14ac:dyDescent="0.2">
      <c r="AA1030" s="4"/>
    </row>
    <row r="1031" spans="27:27" x14ac:dyDescent="0.2">
      <c r="AA1031" s="4"/>
    </row>
    <row r="1032" spans="27:27" x14ac:dyDescent="0.2">
      <c r="AA1032" s="4"/>
    </row>
    <row r="1033" spans="27:27" x14ac:dyDescent="0.2">
      <c r="AA1033" s="4"/>
    </row>
    <row r="1034" spans="27:27" x14ac:dyDescent="0.2">
      <c r="AA1034" s="4"/>
    </row>
    <row r="1035" spans="27:27" x14ac:dyDescent="0.2">
      <c r="AA1035" s="4"/>
    </row>
    <row r="1036" spans="27:27" x14ac:dyDescent="0.2">
      <c r="AA1036" s="4"/>
    </row>
    <row r="1037" spans="27:27" x14ac:dyDescent="0.2">
      <c r="AA1037" s="4"/>
    </row>
    <row r="1038" spans="27:27" x14ac:dyDescent="0.2">
      <c r="AA1038" s="4"/>
    </row>
    <row r="1039" spans="27:27" x14ac:dyDescent="0.2">
      <c r="AA1039" s="4"/>
    </row>
    <row r="1040" spans="27:27" x14ac:dyDescent="0.2">
      <c r="AA1040" s="4"/>
    </row>
    <row r="1041" spans="27:27" x14ac:dyDescent="0.2">
      <c r="AA1041" s="4"/>
    </row>
    <row r="1042" spans="27:27" x14ac:dyDescent="0.2">
      <c r="AA1042" s="4"/>
    </row>
    <row r="1043" spans="27:27" x14ac:dyDescent="0.2">
      <c r="AA1043" s="4"/>
    </row>
    <row r="1044" spans="27:27" x14ac:dyDescent="0.2">
      <c r="AA1044" s="4"/>
    </row>
    <row r="1045" spans="27:27" x14ac:dyDescent="0.2">
      <c r="AA1045" s="4"/>
    </row>
    <row r="1046" spans="27:27" x14ac:dyDescent="0.2">
      <c r="AA1046" s="4"/>
    </row>
    <row r="1047" spans="27:27" x14ac:dyDescent="0.2">
      <c r="AA1047" s="4"/>
    </row>
    <row r="1048" spans="27:27" x14ac:dyDescent="0.2">
      <c r="AA1048" s="4"/>
    </row>
    <row r="1049" spans="27:27" x14ac:dyDescent="0.2">
      <c r="AA1049" s="4"/>
    </row>
    <row r="1050" spans="27:27" x14ac:dyDescent="0.2">
      <c r="AA1050" s="4"/>
    </row>
    <row r="1051" spans="27:27" x14ac:dyDescent="0.2">
      <c r="AA1051" s="4"/>
    </row>
    <row r="1052" spans="27:27" x14ac:dyDescent="0.2">
      <c r="AA1052" s="4"/>
    </row>
    <row r="1053" spans="27:27" x14ac:dyDescent="0.2">
      <c r="AA1053" s="4"/>
    </row>
    <row r="1054" spans="27:27" x14ac:dyDescent="0.2">
      <c r="AA1054" s="4"/>
    </row>
    <row r="1055" spans="27:27" x14ac:dyDescent="0.2">
      <c r="AA1055" s="4"/>
    </row>
    <row r="1056" spans="27:27" x14ac:dyDescent="0.2">
      <c r="AA1056" s="4"/>
    </row>
    <row r="1057" spans="27:27" x14ac:dyDescent="0.2">
      <c r="AA1057" s="4"/>
    </row>
    <row r="1058" spans="27:27" x14ac:dyDescent="0.2">
      <c r="AA1058" s="4"/>
    </row>
    <row r="1059" spans="27:27" x14ac:dyDescent="0.2">
      <c r="AA1059" s="4"/>
    </row>
    <row r="1060" spans="27:27" x14ac:dyDescent="0.2">
      <c r="AA1060" s="4"/>
    </row>
    <row r="1061" spans="27:27" x14ac:dyDescent="0.2">
      <c r="AA1061" s="4"/>
    </row>
    <row r="1062" spans="27:27" x14ac:dyDescent="0.2">
      <c r="AA1062" s="4"/>
    </row>
    <row r="1063" spans="27:27" x14ac:dyDescent="0.2">
      <c r="AA1063" s="4"/>
    </row>
    <row r="1064" spans="27:27" x14ac:dyDescent="0.2">
      <c r="AA1064" s="4"/>
    </row>
    <row r="1065" spans="27:27" x14ac:dyDescent="0.2">
      <c r="AA1065" s="4"/>
    </row>
    <row r="1066" spans="27:27" x14ac:dyDescent="0.2">
      <c r="AA1066" s="4"/>
    </row>
    <row r="1067" spans="27:27" x14ac:dyDescent="0.2">
      <c r="AA1067" s="4"/>
    </row>
    <row r="1068" spans="27:27" x14ac:dyDescent="0.2">
      <c r="AA1068" s="4"/>
    </row>
    <row r="1069" spans="27:27" x14ac:dyDescent="0.2">
      <c r="AA1069" s="4"/>
    </row>
    <row r="1070" spans="27:27" x14ac:dyDescent="0.2">
      <c r="AA1070" s="4"/>
    </row>
    <row r="1071" spans="27:27" x14ac:dyDescent="0.2">
      <c r="AA1071" s="4"/>
    </row>
    <row r="1072" spans="27:27" x14ac:dyDescent="0.2">
      <c r="AA1072" s="4"/>
    </row>
    <row r="1073" spans="27:27" x14ac:dyDescent="0.2">
      <c r="AA1073" s="4"/>
    </row>
    <row r="1074" spans="27:27" x14ac:dyDescent="0.2">
      <c r="AA1074" s="4"/>
    </row>
    <row r="1075" spans="27:27" x14ac:dyDescent="0.2">
      <c r="AA1075" s="4"/>
    </row>
    <row r="1076" spans="27:27" x14ac:dyDescent="0.2">
      <c r="AA1076" s="4"/>
    </row>
    <row r="1077" spans="27:27" x14ac:dyDescent="0.2">
      <c r="AA1077" s="4"/>
    </row>
    <row r="1078" spans="27:27" x14ac:dyDescent="0.2">
      <c r="AA1078" s="4"/>
    </row>
    <row r="1079" spans="27:27" x14ac:dyDescent="0.2">
      <c r="AA1079" s="4"/>
    </row>
    <row r="1080" spans="27:27" x14ac:dyDescent="0.2">
      <c r="AA1080" s="4"/>
    </row>
    <row r="1081" spans="27:27" x14ac:dyDescent="0.2">
      <c r="AA1081" s="4"/>
    </row>
    <row r="1082" spans="27:27" x14ac:dyDescent="0.2">
      <c r="AA1082" s="4"/>
    </row>
    <row r="1083" spans="27:27" x14ac:dyDescent="0.2">
      <c r="AA1083" s="4"/>
    </row>
    <row r="1084" spans="27:27" x14ac:dyDescent="0.2">
      <c r="AA1084" s="4"/>
    </row>
    <row r="1085" spans="27:27" x14ac:dyDescent="0.2">
      <c r="AA1085" s="4"/>
    </row>
    <row r="1086" spans="27:27" x14ac:dyDescent="0.2">
      <c r="AA1086" s="4"/>
    </row>
    <row r="1087" spans="27:27" x14ac:dyDescent="0.2">
      <c r="AA1087" s="4"/>
    </row>
    <row r="1088" spans="27:27" x14ac:dyDescent="0.2">
      <c r="AA1088" s="4"/>
    </row>
    <row r="1089" spans="27:27" x14ac:dyDescent="0.2">
      <c r="AA1089" s="4"/>
    </row>
    <row r="1090" spans="27:27" x14ac:dyDescent="0.2">
      <c r="AA1090" s="4"/>
    </row>
    <row r="1091" spans="27:27" x14ac:dyDescent="0.2">
      <c r="AA1091" s="4"/>
    </row>
    <row r="1092" spans="27:27" x14ac:dyDescent="0.2">
      <c r="AA1092" s="4"/>
    </row>
    <row r="1093" spans="27:27" x14ac:dyDescent="0.2">
      <c r="AA1093" s="4"/>
    </row>
    <row r="1094" spans="27:27" x14ac:dyDescent="0.2">
      <c r="AA1094" s="4"/>
    </row>
    <row r="1095" spans="27:27" x14ac:dyDescent="0.2">
      <c r="AA1095" s="4"/>
    </row>
    <row r="1096" spans="27:27" x14ac:dyDescent="0.2">
      <c r="AA1096" s="4"/>
    </row>
    <row r="1097" spans="27:27" x14ac:dyDescent="0.2">
      <c r="AA1097" s="4"/>
    </row>
    <row r="1098" spans="27:27" x14ac:dyDescent="0.2">
      <c r="AA1098" s="4"/>
    </row>
    <row r="1099" spans="27:27" x14ac:dyDescent="0.2">
      <c r="AA1099" s="4"/>
    </row>
    <row r="1100" spans="27:27" x14ac:dyDescent="0.2">
      <c r="AA1100" s="4"/>
    </row>
    <row r="1101" spans="27:27" x14ac:dyDescent="0.2">
      <c r="AA1101" s="4"/>
    </row>
    <row r="1102" spans="27:27" x14ac:dyDescent="0.2">
      <c r="AA1102" s="4"/>
    </row>
    <row r="1103" spans="27:27" x14ac:dyDescent="0.2">
      <c r="AA1103" s="4"/>
    </row>
    <row r="1104" spans="27:27" x14ac:dyDescent="0.2">
      <c r="AA1104" s="4"/>
    </row>
    <row r="1105" spans="27:27" x14ac:dyDescent="0.2">
      <c r="AA1105" s="4"/>
    </row>
    <row r="1106" spans="27:27" x14ac:dyDescent="0.2">
      <c r="AA1106" s="4"/>
    </row>
    <row r="1107" spans="27:27" x14ac:dyDescent="0.2">
      <c r="AA1107" s="4"/>
    </row>
    <row r="1108" spans="27:27" x14ac:dyDescent="0.2">
      <c r="AA1108" s="4"/>
    </row>
    <row r="1109" spans="27:27" x14ac:dyDescent="0.2">
      <c r="AA1109" s="4"/>
    </row>
    <row r="1110" spans="27:27" x14ac:dyDescent="0.2">
      <c r="AA1110" s="4"/>
    </row>
    <row r="1111" spans="27:27" x14ac:dyDescent="0.2">
      <c r="AA1111" s="4"/>
    </row>
    <row r="1112" spans="27:27" x14ac:dyDescent="0.2">
      <c r="AA1112" s="4"/>
    </row>
    <row r="1113" spans="27:27" x14ac:dyDescent="0.2">
      <c r="AA1113" s="4"/>
    </row>
    <row r="1114" spans="27:27" x14ac:dyDescent="0.2">
      <c r="AA1114" s="4"/>
    </row>
    <row r="1115" spans="27:27" x14ac:dyDescent="0.2">
      <c r="AA1115" s="4"/>
    </row>
    <row r="1116" spans="27:27" x14ac:dyDescent="0.2">
      <c r="AA1116" s="4"/>
    </row>
    <row r="1117" spans="27:27" x14ac:dyDescent="0.2">
      <c r="AA1117" s="4"/>
    </row>
    <row r="1118" spans="27:27" x14ac:dyDescent="0.2">
      <c r="AA1118" s="4"/>
    </row>
    <row r="1119" spans="27:27" x14ac:dyDescent="0.2">
      <c r="AA1119" s="4"/>
    </row>
    <row r="1120" spans="27:27" x14ac:dyDescent="0.2">
      <c r="AA1120" s="4"/>
    </row>
    <row r="1121" spans="27:27" x14ac:dyDescent="0.2">
      <c r="AA1121" s="4"/>
    </row>
    <row r="1122" spans="27:27" x14ac:dyDescent="0.2">
      <c r="AA1122" s="4"/>
    </row>
    <row r="1123" spans="27:27" x14ac:dyDescent="0.2">
      <c r="AA1123" s="4"/>
    </row>
    <row r="1124" spans="27:27" x14ac:dyDescent="0.2">
      <c r="AA1124" s="4"/>
    </row>
    <row r="1125" spans="27:27" x14ac:dyDescent="0.2">
      <c r="AA1125" s="4"/>
    </row>
    <row r="1126" spans="27:27" x14ac:dyDescent="0.2">
      <c r="AA1126" s="4"/>
    </row>
    <row r="1127" spans="27:27" x14ac:dyDescent="0.2">
      <c r="AA1127" s="4"/>
    </row>
    <row r="1128" spans="27:27" x14ac:dyDescent="0.2">
      <c r="AA1128" s="4"/>
    </row>
    <row r="1129" spans="27:27" x14ac:dyDescent="0.2">
      <c r="AA1129" s="4"/>
    </row>
    <row r="1130" spans="27:27" x14ac:dyDescent="0.2">
      <c r="AA1130" s="4"/>
    </row>
    <row r="1131" spans="27:27" x14ac:dyDescent="0.2">
      <c r="AA1131" s="4"/>
    </row>
    <row r="1132" spans="27:27" x14ac:dyDescent="0.2">
      <c r="AA1132" s="4"/>
    </row>
    <row r="1133" spans="27:27" x14ac:dyDescent="0.2">
      <c r="AA1133" s="4"/>
    </row>
    <row r="1134" spans="27:27" x14ac:dyDescent="0.2">
      <c r="AA1134" s="4"/>
    </row>
    <row r="1135" spans="27:27" x14ac:dyDescent="0.2">
      <c r="AA1135" s="4"/>
    </row>
    <row r="1136" spans="27:27" x14ac:dyDescent="0.2">
      <c r="AA1136" s="4"/>
    </row>
    <row r="1137" spans="27:27" x14ac:dyDescent="0.2">
      <c r="AA1137" s="4"/>
    </row>
    <row r="1138" spans="27:27" x14ac:dyDescent="0.2">
      <c r="AA1138" s="4"/>
    </row>
    <row r="1139" spans="27:27" x14ac:dyDescent="0.2">
      <c r="AA1139" s="4"/>
    </row>
    <row r="1140" spans="27:27" x14ac:dyDescent="0.2">
      <c r="AA1140" s="4"/>
    </row>
    <row r="1141" spans="27:27" x14ac:dyDescent="0.2">
      <c r="AA1141" s="4"/>
    </row>
    <row r="1142" spans="27:27" x14ac:dyDescent="0.2">
      <c r="AA1142" s="4"/>
    </row>
    <row r="1143" spans="27:27" x14ac:dyDescent="0.2">
      <c r="AA1143" s="4"/>
    </row>
    <row r="1144" spans="27:27" x14ac:dyDescent="0.2">
      <c r="AA1144" s="4"/>
    </row>
    <row r="1145" spans="27:27" x14ac:dyDescent="0.2">
      <c r="AA1145" s="4"/>
    </row>
    <row r="1146" spans="27:27" x14ac:dyDescent="0.2">
      <c r="AA1146" s="4"/>
    </row>
    <row r="1147" spans="27:27" x14ac:dyDescent="0.2">
      <c r="AA1147" s="4"/>
    </row>
    <row r="1148" spans="27:27" x14ac:dyDescent="0.2">
      <c r="AA1148" s="4"/>
    </row>
    <row r="1149" spans="27:27" x14ac:dyDescent="0.2">
      <c r="AA1149" s="4"/>
    </row>
    <row r="1150" spans="27:27" x14ac:dyDescent="0.2">
      <c r="AA1150" s="4"/>
    </row>
    <row r="1151" spans="27:27" x14ac:dyDescent="0.2">
      <c r="AA1151" s="4"/>
    </row>
    <row r="1152" spans="27:27" x14ac:dyDescent="0.2">
      <c r="AA1152" s="4"/>
    </row>
    <row r="1153" spans="27:27" x14ac:dyDescent="0.2">
      <c r="AA1153" s="4"/>
    </row>
    <row r="1154" spans="27:27" x14ac:dyDescent="0.2">
      <c r="AA1154" s="4"/>
    </row>
    <row r="1155" spans="27:27" x14ac:dyDescent="0.2">
      <c r="AA1155" s="4"/>
    </row>
    <row r="1156" spans="27:27" x14ac:dyDescent="0.2">
      <c r="AA1156" s="4"/>
    </row>
    <row r="1157" spans="27:27" x14ac:dyDescent="0.2">
      <c r="AA1157" s="4"/>
    </row>
    <row r="1158" spans="27:27" x14ac:dyDescent="0.2">
      <c r="AA1158" s="4"/>
    </row>
    <row r="1159" spans="27:27" x14ac:dyDescent="0.2">
      <c r="AA1159" s="4"/>
    </row>
    <row r="1160" spans="27:27" x14ac:dyDescent="0.2">
      <c r="AA1160" s="4"/>
    </row>
    <row r="1161" spans="27:27" x14ac:dyDescent="0.2">
      <c r="AA1161" s="4"/>
    </row>
    <row r="1162" spans="27:27" x14ac:dyDescent="0.2">
      <c r="AA1162" s="4"/>
    </row>
    <row r="1163" spans="27:27" x14ac:dyDescent="0.2">
      <c r="AA1163" s="4"/>
    </row>
    <row r="1164" spans="27:27" x14ac:dyDescent="0.2">
      <c r="AA1164" s="4"/>
    </row>
    <row r="1165" spans="27:27" x14ac:dyDescent="0.2">
      <c r="AA1165" s="4"/>
    </row>
    <row r="1166" spans="27:27" x14ac:dyDescent="0.2">
      <c r="AA1166" s="4"/>
    </row>
    <row r="1167" spans="27:27" x14ac:dyDescent="0.2">
      <c r="AA1167" s="4"/>
    </row>
    <row r="1168" spans="27:27" x14ac:dyDescent="0.2">
      <c r="AA1168" s="4"/>
    </row>
    <row r="1169" spans="27:27" x14ac:dyDescent="0.2">
      <c r="AA1169" s="4"/>
    </row>
    <row r="1170" spans="27:27" x14ac:dyDescent="0.2">
      <c r="AA1170" s="4"/>
    </row>
    <row r="1171" spans="27:27" x14ac:dyDescent="0.2">
      <c r="AA1171" s="4"/>
    </row>
    <row r="1172" spans="27:27" x14ac:dyDescent="0.2">
      <c r="AA1172" s="4"/>
    </row>
    <row r="1173" spans="27:27" x14ac:dyDescent="0.2">
      <c r="AA1173" s="4"/>
    </row>
    <row r="1174" spans="27:27" x14ac:dyDescent="0.2">
      <c r="AA1174" s="4"/>
    </row>
    <row r="1175" spans="27:27" x14ac:dyDescent="0.2">
      <c r="AA1175" s="4"/>
    </row>
    <row r="1176" spans="27:27" x14ac:dyDescent="0.2">
      <c r="AA1176" s="4"/>
    </row>
    <row r="1177" spans="27:27" x14ac:dyDescent="0.2">
      <c r="AA1177" s="4"/>
    </row>
    <row r="1178" spans="27:27" x14ac:dyDescent="0.2">
      <c r="AA1178" s="4"/>
    </row>
    <row r="1179" spans="27:27" x14ac:dyDescent="0.2">
      <c r="AA1179" s="4"/>
    </row>
    <row r="1180" spans="27:27" x14ac:dyDescent="0.2">
      <c r="AA1180" s="4"/>
    </row>
    <row r="1181" spans="27:27" x14ac:dyDescent="0.2">
      <c r="AA1181" s="4"/>
    </row>
    <row r="1182" spans="27:27" x14ac:dyDescent="0.2">
      <c r="AA1182" s="4"/>
    </row>
    <row r="1183" spans="27:27" x14ac:dyDescent="0.2">
      <c r="AA1183" s="4"/>
    </row>
    <row r="1184" spans="27:27" x14ac:dyDescent="0.2">
      <c r="AA1184" s="4"/>
    </row>
    <row r="1185" spans="27:27" x14ac:dyDescent="0.2">
      <c r="AA1185" s="4"/>
    </row>
    <row r="1186" spans="27:27" x14ac:dyDescent="0.2">
      <c r="AA1186" s="4"/>
    </row>
    <row r="1187" spans="27:27" x14ac:dyDescent="0.2">
      <c r="AA1187" s="4"/>
    </row>
    <row r="1188" spans="27:27" x14ac:dyDescent="0.2">
      <c r="AA1188" s="4"/>
    </row>
    <row r="1189" spans="27:27" x14ac:dyDescent="0.2">
      <c r="AA1189" s="4"/>
    </row>
    <row r="1190" spans="27:27" x14ac:dyDescent="0.2">
      <c r="AA1190" s="4"/>
    </row>
    <row r="1191" spans="27:27" x14ac:dyDescent="0.2">
      <c r="AA1191" s="4"/>
    </row>
    <row r="1192" spans="27:27" x14ac:dyDescent="0.2">
      <c r="AA1192" s="4"/>
    </row>
    <row r="1193" spans="27:27" x14ac:dyDescent="0.2">
      <c r="AA1193" s="4"/>
    </row>
    <row r="1194" spans="27:27" x14ac:dyDescent="0.2">
      <c r="AA1194" s="4"/>
    </row>
    <row r="1195" spans="27:27" x14ac:dyDescent="0.2">
      <c r="AA1195" s="4"/>
    </row>
    <row r="1196" spans="27:27" x14ac:dyDescent="0.2">
      <c r="AA1196" s="4"/>
    </row>
    <row r="1197" spans="27:27" x14ac:dyDescent="0.2">
      <c r="AA1197" s="4"/>
    </row>
    <row r="1198" spans="27:27" x14ac:dyDescent="0.2">
      <c r="AA1198" s="4"/>
    </row>
    <row r="1199" spans="27:27" x14ac:dyDescent="0.2">
      <c r="AA1199" s="4"/>
    </row>
    <row r="1200" spans="27:27" x14ac:dyDescent="0.2">
      <c r="AA1200" s="4"/>
    </row>
    <row r="1201" spans="27:27" x14ac:dyDescent="0.2">
      <c r="AA1201" s="4"/>
    </row>
    <row r="1202" spans="27:27" x14ac:dyDescent="0.2">
      <c r="AA1202" s="4"/>
    </row>
    <row r="1203" spans="27:27" x14ac:dyDescent="0.2">
      <c r="AA1203" s="4"/>
    </row>
    <row r="1204" spans="27:27" x14ac:dyDescent="0.2">
      <c r="AA1204" s="4"/>
    </row>
    <row r="1205" spans="27:27" x14ac:dyDescent="0.2">
      <c r="AA1205" s="4"/>
    </row>
    <row r="1206" spans="27:27" x14ac:dyDescent="0.2">
      <c r="AA1206" s="4"/>
    </row>
    <row r="1207" spans="27:27" x14ac:dyDescent="0.2">
      <c r="AA1207" s="4"/>
    </row>
    <row r="1208" spans="27:27" x14ac:dyDescent="0.2">
      <c r="AA1208" s="4"/>
    </row>
    <row r="1209" spans="27:27" x14ac:dyDescent="0.2">
      <c r="AA1209" s="4"/>
    </row>
    <row r="1210" spans="27:27" x14ac:dyDescent="0.2">
      <c r="AA1210" s="4"/>
    </row>
    <row r="1211" spans="27:27" x14ac:dyDescent="0.2">
      <c r="AA1211" s="4"/>
    </row>
    <row r="1212" spans="27:27" x14ac:dyDescent="0.2">
      <c r="AA1212" s="4"/>
    </row>
    <row r="1213" spans="27:27" x14ac:dyDescent="0.2">
      <c r="AA1213" s="4"/>
    </row>
    <row r="1214" spans="27:27" x14ac:dyDescent="0.2">
      <c r="AA1214" s="4"/>
    </row>
    <row r="1215" spans="27:27" x14ac:dyDescent="0.2">
      <c r="AA1215" s="4"/>
    </row>
    <row r="1216" spans="27:27" x14ac:dyDescent="0.2">
      <c r="AA1216" s="4"/>
    </row>
    <row r="1217" spans="27:27" x14ac:dyDescent="0.2">
      <c r="AA1217" s="4"/>
    </row>
    <row r="1218" spans="27:27" x14ac:dyDescent="0.2">
      <c r="AA1218" s="4"/>
    </row>
    <row r="1219" spans="27:27" x14ac:dyDescent="0.2">
      <c r="AA1219" s="4"/>
    </row>
    <row r="1220" spans="27:27" x14ac:dyDescent="0.2">
      <c r="AA1220" s="4"/>
    </row>
    <row r="1221" spans="27:27" x14ac:dyDescent="0.2">
      <c r="AA1221" s="4"/>
    </row>
    <row r="1222" spans="27:27" x14ac:dyDescent="0.2">
      <c r="AA1222" s="4"/>
    </row>
    <row r="1223" spans="27:27" x14ac:dyDescent="0.2">
      <c r="AA1223" s="4"/>
    </row>
    <row r="1224" spans="27:27" x14ac:dyDescent="0.2">
      <c r="AA1224" s="4"/>
    </row>
    <row r="1225" spans="27:27" x14ac:dyDescent="0.2">
      <c r="AA1225" s="4"/>
    </row>
    <row r="1226" spans="27:27" x14ac:dyDescent="0.2">
      <c r="AA1226" s="4"/>
    </row>
    <row r="1227" spans="27:27" x14ac:dyDescent="0.2">
      <c r="AA1227" s="4"/>
    </row>
    <row r="1228" spans="27:27" x14ac:dyDescent="0.2">
      <c r="AA1228" s="4"/>
    </row>
    <row r="1229" spans="27:27" x14ac:dyDescent="0.2">
      <c r="AA1229" s="4"/>
    </row>
    <row r="1230" spans="27:27" x14ac:dyDescent="0.2">
      <c r="AA1230" s="4"/>
    </row>
    <row r="1231" spans="27:27" x14ac:dyDescent="0.2">
      <c r="AA1231" s="4"/>
    </row>
    <row r="1232" spans="27:27" x14ac:dyDescent="0.2">
      <c r="AA1232" s="4"/>
    </row>
    <row r="1233" spans="27:27" x14ac:dyDescent="0.2">
      <c r="AA1233" s="4"/>
    </row>
    <row r="1234" spans="27:27" x14ac:dyDescent="0.2">
      <c r="AA1234" s="4"/>
    </row>
    <row r="1235" spans="27:27" x14ac:dyDescent="0.2">
      <c r="AA1235" s="4"/>
    </row>
    <row r="1236" spans="27:27" x14ac:dyDescent="0.2">
      <c r="AA1236" s="4"/>
    </row>
    <row r="1237" spans="27:27" x14ac:dyDescent="0.2">
      <c r="AA1237" s="4"/>
    </row>
    <row r="1238" spans="27:27" x14ac:dyDescent="0.2">
      <c r="AA1238" s="4"/>
    </row>
    <row r="1239" spans="27:27" x14ac:dyDescent="0.2">
      <c r="AA1239" s="4"/>
    </row>
    <row r="1240" spans="27:27" x14ac:dyDescent="0.2">
      <c r="AA1240" s="4"/>
    </row>
    <row r="1241" spans="27:27" x14ac:dyDescent="0.2">
      <c r="AA1241" s="4"/>
    </row>
    <row r="1242" spans="27:27" x14ac:dyDescent="0.2">
      <c r="AA1242" s="4"/>
    </row>
    <row r="1243" spans="27:27" x14ac:dyDescent="0.2">
      <c r="AA1243" s="4"/>
    </row>
    <row r="1244" spans="27:27" x14ac:dyDescent="0.2">
      <c r="AA1244" s="4"/>
    </row>
    <row r="1245" spans="27:27" x14ac:dyDescent="0.2">
      <c r="AA1245" s="4"/>
    </row>
    <row r="1246" spans="27:27" x14ac:dyDescent="0.2">
      <c r="AA1246" s="4"/>
    </row>
    <row r="1247" spans="27:27" x14ac:dyDescent="0.2">
      <c r="AA1247" s="4"/>
    </row>
    <row r="1248" spans="27:27" x14ac:dyDescent="0.2">
      <c r="AA1248" s="4"/>
    </row>
    <row r="1249" spans="27:27" x14ac:dyDescent="0.2">
      <c r="AA1249" s="4"/>
    </row>
    <row r="1250" spans="27:27" x14ac:dyDescent="0.2">
      <c r="AA1250" s="4"/>
    </row>
    <row r="1251" spans="27:27" x14ac:dyDescent="0.2">
      <c r="AA1251" s="4"/>
    </row>
    <row r="1252" spans="27:27" x14ac:dyDescent="0.2">
      <c r="AA1252" s="4"/>
    </row>
    <row r="1253" spans="27:27" x14ac:dyDescent="0.2">
      <c r="AA1253" s="4"/>
    </row>
    <row r="1254" spans="27:27" x14ac:dyDescent="0.2">
      <c r="AA1254" s="4"/>
    </row>
    <row r="1255" spans="27:27" x14ac:dyDescent="0.2">
      <c r="AA1255" s="4"/>
    </row>
    <row r="1256" spans="27:27" x14ac:dyDescent="0.2">
      <c r="AA1256" s="4"/>
    </row>
    <row r="1257" spans="27:27" x14ac:dyDescent="0.2">
      <c r="AA1257" s="4"/>
    </row>
    <row r="1258" spans="27:27" x14ac:dyDescent="0.2">
      <c r="AA1258" s="4"/>
    </row>
    <row r="1259" spans="27:27" x14ac:dyDescent="0.2">
      <c r="AA1259" s="4"/>
    </row>
    <row r="1260" spans="27:27" x14ac:dyDescent="0.2">
      <c r="AA1260" s="4"/>
    </row>
    <row r="1261" spans="27:27" x14ac:dyDescent="0.2">
      <c r="AA1261" s="4"/>
    </row>
    <row r="1262" spans="27:27" x14ac:dyDescent="0.2">
      <c r="AA1262" s="4"/>
    </row>
    <row r="1263" spans="27:27" x14ac:dyDescent="0.2">
      <c r="AA1263" s="4"/>
    </row>
    <row r="1264" spans="27:27" x14ac:dyDescent="0.2">
      <c r="AA1264" s="4"/>
    </row>
    <row r="1265" spans="27:27" x14ac:dyDescent="0.2">
      <c r="AA1265" s="4"/>
    </row>
    <row r="1266" spans="27:27" x14ac:dyDescent="0.2">
      <c r="AA1266" s="4"/>
    </row>
    <row r="1267" spans="27:27" x14ac:dyDescent="0.2">
      <c r="AA1267" s="4"/>
    </row>
    <row r="1268" spans="27:27" x14ac:dyDescent="0.2">
      <c r="AA1268" s="4"/>
    </row>
    <row r="1269" spans="27:27" x14ac:dyDescent="0.2">
      <c r="AA1269" s="4"/>
    </row>
    <row r="1270" spans="27:27" x14ac:dyDescent="0.2">
      <c r="AA1270" s="4"/>
    </row>
    <row r="1271" spans="27:27" x14ac:dyDescent="0.2">
      <c r="AA1271" s="4"/>
    </row>
    <row r="1272" spans="27:27" x14ac:dyDescent="0.2">
      <c r="AA1272" s="4"/>
    </row>
    <row r="1273" spans="27:27" x14ac:dyDescent="0.2">
      <c r="AA1273" s="4"/>
    </row>
    <row r="1274" spans="27:27" x14ac:dyDescent="0.2">
      <c r="AA1274" s="4"/>
    </row>
    <row r="1275" spans="27:27" x14ac:dyDescent="0.2">
      <c r="AA1275" s="4"/>
    </row>
    <row r="1276" spans="27:27" x14ac:dyDescent="0.2">
      <c r="AA1276" s="4"/>
    </row>
    <row r="1277" spans="27:27" x14ac:dyDescent="0.2">
      <c r="AA1277" s="4"/>
    </row>
    <row r="1278" spans="27:27" x14ac:dyDescent="0.2">
      <c r="AA1278" s="4"/>
    </row>
    <row r="1279" spans="27:27" x14ac:dyDescent="0.2">
      <c r="AA1279" s="4"/>
    </row>
    <row r="1280" spans="27:27" x14ac:dyDescent="0.2">
      <c r="AA1280" s="4"/>
    </row>
    <row r="1281" spans="27:27" x14ac:dyDescent="0.2">
      <c r="AA1281" s="4"/>
    </row>
    <row r="1282" spans="27:27" x14ac:dyDescent="0.2">
      <c r="AA1282" s="4"/>
    </row>
    <row r="1283" spans="27:27" x14ac:dyDescent="0.2">
      <c r="AA1283" s="4"/>
    </row>
    <row r="1284" spans="27:27" x14ac:dyDescent="0.2">
      <c r="AA1284" s="4"/>
    </row>
    <row r="1285" spans="27:27" x14ac:dyDescent="0.2">
      <c r="AA1285" s="4"/>
    </row>
    <row r="1286" spans="27:27" x14ac:dyDescent="0.2">
      <c r="AA1286" s="4"/>
    </row>
    <row r="1287" spans="27:27" x14ac:dyDescent="0.2">
      <c r="AA1287" s="4"/>
    </row>
    <row r="1288" spans="27:27" x14ac:dyDescent="0.2">
      <c r="AA1288" s="4"/>
    </row>
    <row r="1289" spans="27:27" x14ac:dyDescent="0.2">
      <c r="AA1289" s="4"/>
    </row>
    <row r="1290" spans="27:27" x14ac:dyDescent="0.2">
      <c r="AA1290" s="4"/>
    </row>
    <row r="1291" spans="27:27" x14ac:dyDescent="0.2">
      <c r="AA1291" s="4"/>
    </row>
    <row r="1292" spans="27:27" x14ac:dyDescent="0.2">
      <c r="AA1292" s="4"/>
    </row>
    <row r="1293" spans="27:27" x14ac:dyDescent="0.2">
      <c r="AA1293" s="4"/>
    </row>
    <row r="1294" spans="27:27" x14ac:dyDescent="0.2">
      <c r="AA1294" s="4"/>
    </row>
    <row r="1295" spans="27:27" x14ac:dyDescent="0.2">
      <c r="AA1295" s="4"/>
    </row>
    <row r="1296" spans="27:27" x14ac:dyDescent="0.2">
      <c r="AA1296" s="4"/>
    </row>
    <row r="1297" spans="27:27" x14ac:dyDescent="0.2">
      <c r="AA1297" s="4"/>
    </row>
    <row r="1298" spans="27:27" x14ac:dyDescent="0.2">
      <c r="AA1298" s="4"/>
    </row>
    <row r="1299" spans="27:27" x14ac:dyDescent="0.2">
      <c r="AA1299" s="4"/>
    </row>
    <row r="1300" spans="27:27" x14ac:dyDescent="0.2">
      <c r="AA1300" s="4"/>
    </row>
    <row r="1301" spans="27:27" x14ac:dyDescent="0.2">
      <c r="AA1301" s="4"/>
    </row>
    <row r="1302" spans="27:27" x14ac:dyDescent="0.2">
      <c r="AA1302" s="4"/>
    </row>
    <row r="1303" spans="27:27" x14ac:dyDescent="0.2">
      <c r="AA1303" s="4"/>
    </row>
    <row r="1304" spans="27:27" x14ac:dyDescent="0.2">
      <c r="AA1304" s="4"/>
    </row>
    <row r="1305" spans="27:27" x14ac:dyDescent="0.2">
      <c r="AA1305" s="4"/>
    </row>
    <row r="1306" spans="27:27" x14ac:dyDescent="0.2">
      <c r="AA1306" s="4"/>
    </row>
    <row r="1307" spans="27:27" x14ac:dyDescent="0.2">
      <c r="AA1307" s="4"/>
    </row>
    <row r="1308" spans="27:27" x14ac:dyDescent="0.2">
      <c r="AA1308" s="4"/>
    </row>
    <row r="1309" spans="27:27" x14ac:dyDescent="0.2">
      <c r="AA1309" s="4"/>
    </row>
    <row r="1310" spans="27:27" x14ac:dyDescent="0.2">
      <c r="AA1310" s="4"/>
    </row>
    <row r="1311" spans="27:27" x14ac:dyDescent="0.2">
      <c r="AA1311" s="4"/>
    </row>
    <row r="1312" spans="27:27" x14ac:dyDescent="0.2">
      <c r="AA1312" s="4"/>
    </row>
    <row r="1313" spans="27:27" x14ac:dyDescent="0.2">
      <c r="AA1313" s="4"/>
    </row>
    <row r="1314" spans="27:27" x14ac:dyDescent="0.2">
      <c r="AA1314" s="4"/>
    </row>
    <row r="1315" spans="27:27" x14ac:dyDescent="0.2">
      <c r="AA1315" s="4"/>
    </row>
    <row r="1316" spans="27:27" x14ac:dyDescent="0.2">
      <c r="AA1316" s="4"/>
    </row>
    <row r="1317" spans="27:27" x14ac:dyDescent="0.2">
      <c r="AA1317" s="4"/>
    </row>
    <row r="1318" spans="27:27" x14ac:dyDescent="0.2">
      <c r="AA1318" s="4"/>
    </row>
    <row r="1319" spans="27:27" x14ac:dyDescent="0.2">
      <c r="AA1319" s="4"/>
    </row>
    <row r="1320" spans="27:27" x14ac:dyDescent="0.2">
      <c r="AA1320" s="4"/>
    </row>
    <row r="1321" spans="27:27" x14ac:dyDescent="0.2">
      <c r="AA1321" s="4"/>
    </row>
    <row r="1322" spans="27:27" x14ac:dyDescent="0.2">
      <c r="AA1322" s="4"/>
    </row>
    <row r="1323" spans="27:27" x14ac:dyDescent="0.2">
      <c r="AA1323" s="4"/>
    </row>
    <row r="1324" spans="27:27" x14ac:dyDescent="0.2">
      <c r="AA1324" s="4"/>
    </row>
    <row r="1325" spans="27:27" x14ac:dyDescent="0.2">
      <c r="AA1325" s="4"/>
    </row>
    <row r="1326" spans="27:27" x14ac:dyDescent="0.2">
      <c r="AA1326" s="4"/>
    </row>
    <row r="1327" spans="27:27" x14ac:dyDescent="0.2">
      <c r="AA1327" s="4"/>
    </row>
    <row r="1328" spans="27:27" x14ac:dyDescent="0.2">
      <c r="AA1328" s="4"/>
    </row>
    <row r="1329" spans="27:27" x14ac:dyDescent="0.2">
      <c r="AA1329" s="4"/>
    </row>
    <row r="1330" spans="27:27" x14ac:dyDescent="0.2">
      <c r="AA1330" s="4"/>
    </row>
    <row r="1331" spans="27:27" x14ac:dyDescent="0.2">
      <c r="AA1331" s="4"/>
    </row>
    <row r="1332" spans="27:27" x14ac:dyDescent="0.2">
      <c r="AA1332" s="4"/>
    </row>
    <row r="1333" spans="27:27" x14ac:dyDescent="0.2">
      <c r="AA1333" s="4"/>
    </row>
    <row r="1334" spans="27:27" x14ac:dyDescent="0.2">
      <c r="AA1334" s="4"/>
    </row>
    <row r="1335" spans="27:27" x14ac:dyDescent="0.2">
      <c r="AA1335" s="4"/>
    </row>
    <row r="1336" spans="27:27" x14ac:dyDescent="0.2">
      <c r="AA1336" s="4"/>
    </row>
    <row r="1337" spans="27:27" x14ac:dyDescent="0.2">
      <c r="AA1337" s="4"/>
    </row>
    <row r="1338" spans="27:27" x14ac:dyDescent="0.2">
      <c r="AA1338" s="4"/>
    </row>
    <row r="1339" spans="27:27" x14ac:dyDescent="0.2">
      <c r="AA1339" s="4"/>
    </row>
    <row r="1340" spans="27:27" x14ac:dyDescent="0.2">
      <c r="AA1340" s="4"/>
    </row>
    <row r="1341" spans="27:27" x14ac:dyDescent="0.2">
      <c r="AA1341" s="4"/>
    </row>
    <row r="1342" spans="27:27" x14ac:dyDescent="0.2">
      <c r="AA1342" s="4"/>
    </row>
    <row r="1343" spans="27:27" x14ac:dyDescent="0.2">
      <c r="AA1343" s="4"/>
    </row>
    <row r="1344" spans="27:27" x14ac:dyDescent="0.2">
      <c r="AA1344" s="4"/>
    </row>
    <row r="1345" spans="27:27" x14ac:dyDescent="0.2">
      <c r="AA1345" s="4"/>
    </row>
    <row r="1346" spans="27:27" x14ac:dyDescent="0.2">
      <c r="AA1346" s="4"/>
    </row>
    <row r="1347" spans="27:27" x14ac:dyDescent="0.2">
      <c r="AA1347" s="4"/>
    </row>
    <row r="1348" spans="27:27" x14ac:dyDescent="0.2">
      <c r="AA1348" s="4"/>
    </row>
    <row r="1349" spans="27:27" x14ac:dyDescent="0.2">
      <c r="AA1349" s="4"/>
    </row>
    <row r="1350" spans="27:27" x14ac:dyDescent="0.2">
      <c r="AA1350" s="4"/>
    </row>
    <row r="1351" spans="27:27" x14ac:dyDescent="0.2">
      <c r="AA1351" s="4"/>
    </row>
    <row r="1352" spans="27:27" x14ac:dyDescent="0.2">
      <c r="AA1352" s="4"/>
    </row>
    <row r="1353" spans="27:27" x14ac:dyDescent="0.2">
      <c r="AA1353" s="4"/>
    </row>
    <row r="1354" spans="27:27" x14ac:dyDescent="0.2">
      <c r="AA1354" s="4"/>
    </row>
    <row r="1355" spans="27:27" x14ac:dyDescent="0.2">
      <c r="AA1355" s="4"/>
    </row>
    <row r="1356" spans="27:27" x14ac:dyDescent="0.2">
      <c r="AA1356" s="4"/>
    </row>
    <row r="1357" spans="27:27" x14ac:dyDescent="0.2">
      <c r="AA1357" s="4"/>
    </row>
    <row r="1358" spans="27:27" x14ac:dyDescent="0.2">
      <c r="AA1358" s="4"/>
    </row>
    <row r="1359" spans="27:27" x14ac:dyDescent="0.2">
      <c r="AA1359" s="4"/>
    </row>
    <row r="1360" spans="27:27" x14ac:dyDescent="0.2">
      <c r="AA1360" s="4"/>
    </row>
    <row r="1361" spans="27:27" x14ac:dyDescent="0.2">
      <c r="AA1361" s="4"/>
    </row>
    <row r="1362" spans="27:27" x14ac:dyDescent="0.2">
      <c r="AA1362" s="4"/>
    </row>
    <row r="1363" spans="27:27" x14ac:dyDescent="0.2">
      <c r="AA1363" s="4"/>
    </row>
    <row r="1364" spans="27:27" x14ac:dyDescent="0.2">
      <c r="AA1364" s="4"/>
    </row>
    <row r="1365" spans="27:27" x14ac:dyDescent="0.2">
      <c r="AA1365" s="4"/>
    </row>
    <row r="1366" spans="27:27" x14ac:dyDescent="0.2">
      <c r="AA1366" s="4"/>
    </row>
    <row r="1367" spans="27:27" x14ac:dyDescent="0.2">
      <c r="AA1367" s="4"/>
    </row>
    <row r="1368" spans="27:27" x14ac:dyDescent="0.2">
      <c r="AA1368" s="4"/>
    </row>
    <row r="1369" spans="27:27" x14ac:dyDescent="0.2">
      <c r="AA1369" s="4"/>
    </row>
    <row r="1370" spans="27:27" x14ac:dyDescent="0.2">
      <c r="AA1370" s="4"/>
    </row>
    <row r="1371" spans="27:27" x14ac:dyDescent="0.2">
      <c r="AA1371" s="4"/>
    </row>
    <row r="1372" spans="27:27" x14ac:dyDescent="0.2">
      <c r="AA1372" s="4"/>
    </row>
    <row r="1373" spans="27:27" x14ac:dyDescent="0.2">
      <c r="AA1373" s="4"/>
    </row>
    <row r="1374" spans="27:27" x14ac:dyDescent="0.2">
      <c r="AA1374" s="4"/>
    </row>
    <row r="1375" spans="27:27" x14ac:dyDescent="0.2">
      <c r="AA1375" s="4"/>
    </row>
    <row r="1376" spans="27:27" x14ac:dyDescent="0.2">
      <c r="AA1376" s="4"/>
    </row>
    <row r="1377" spans="27:27" x14ac:dyDescent="0.2">
      <c r="AA1377" s="4"/>
    </row>
    <row r="1378" spans="27:27" x14ac:dyDescent="0.2">
      <c r="AA1378" s="4"/>
    </row>
    <row r="1379" spans="27:27" x14ac:dyDescent="0.2">
      <c r="AA1379" s="4"/>
    </row>
    <row r="1380" spans="27:27" x14ac:dyDescent="0.2">
      <c r="AA1380" s="4"/>
    </row>
    <row r="1381" spans="27:27" x14ac:dyDescent="0.2">
      <c r="AA1381" s="4"/>
    </row>
    <row r="1382" spans="27:27" x14ac:dyDescent="0.2">
      <c r="AA1382" s="4"/>
    </row>
    <row r="1383" spans="27:27" x14ac:dyDescent="0.2">
      <c r="AA1383" s="4"/>
    </row>
    <row r="1384" spans="27:27" x14ac:dyDescent="0.2">
      <c r="AA1384" s="4"/>
    </row>
    <row r="1385" spans="27:27" x14ac:dyDescent="0.2">
      <c r="AA1385" s="4"/>
    </row>
    <row r="1386" spans="27:27" x14ac:dyDescent="0.2">
      <c r="AA1386" s="4"/>
    </row>
    <row r="1387" spans="27:27" x14ac:dyDescent="0.2">
      <c r="AA1387" s="4"/>
    </row>
    <row r="1388" spans="27:27" x14ac:dyDescent="0.2">
      <c r="AA1388" s="4"/>
    </row>
    <row r="1389" spans="27:27" x14ac:dyDescent="0.2">
      <c r="AA1389" s="4"/>
    </row>
    <row r="1390" spans="27:27" x14ac:dyDescent="0.2">
      <c r="AA1390" s="4"/>
    </row>
    <row r="1391" spans="27:27" x14ac:dyDescent="0.2">
      <c r="AA1391" s="4"/>
    </row>
    <row r="1392" spans="27:27" x14ac:dyDescent="0.2">
      <c r="AA1392" s="4"/>
    </row>
    <row r="1393" spans="27:27" x14ac:dyDescent="0.2">
      <c r="AA1393" s="4"/>
    </row>
    <row r="1394" spans="27:27" x14ac:dyDescent="0.2">
      <c r="AA1394" s="4"/>
    </row>
    <row r="1395" spans="27:27" x14ac:dyDescent="0.2">
      <c r="AA1395" s="4"/>
    </row>
    <row r="1396" spans="27:27" x14ac:dyDescent="0.2">
      <c r="AA1396" s="4"/>
    </row>
    <row r="1397" spans="27:27" x14ac:dyDescent="0.2">
      <c r="AA1397" s="4"/>
    </row>
    <row r="1398" spans="27:27" x14ac:dyDescent="0.2">
      <c r="AA1398" s="4"/>
    </row>
    <row r="1399" spans="27:27" x14ac:dyDescent="0.2">
      <c r="AA1399" s="4"/>
    </row>
    <row r="1400" spans="27:27" x14ac:dyDescent="0.2">
      <c r="AA1400" s="4"/>
    </row>
    <row r="1401" spans="27:27" x14ac:dyDescent="0.2">
      <c r="AA1401" s="4"/>
    </row>
    <row r="1402" spans="27:27" x14ac:dyDescent="0.2">
      <c r="AA1402" s="4"/>
    </row>
    <row r="1403" spans="27:27" x14ac:dyDescent="0.2">
      <c r="AA1403" s="4"/>
    </row>
    <row r="1404" spans="27:27" x14ac:dyDescent="0.2">
      <c r="AA1404" s="4"/>
    </row>
    <row r="1405" spans="27:27" x14ac:dyDescent="0.2">
      <c r="AA1405" s="4"/>
    </row>
    <row r="1406" spans="27:27" x14ac:dyDescent="0.2">
      <c r="AA1406" s="4"/>
    </row>
    <row r="1407" spans="27:27" x14ac:dyDescent="0.2">
      <c r="AA1407" s="4"/>
    </row>
    <row r="1408" spans="27:27" x14ac:dyDescent="0.2">
      <c r="AA1408" s="4"/>
    </row>
    <row r="1409" spans="27:27" x14ac:dyDescent="0.2">
      <c r="AA1409" s="4"/>
    </row>
    <row r="1410" spans="27:27" x14ac:dyDescent="0.2">
      <c r="AA1410" s="4"/>
    </row>
    <row r="1411" spans="27:27" x14ac:dyDescent="0.2">
      <c r="AA1411" s="4"/>
    </row>
    <row r="1412" spans="27:27" x14ac:dyDescent="0.2">
      <c r="AA1412" s="4"/>
    </row>
    <row r="1413" spans="27:27" x14ac:dyDescent="0.2">
      <c r="AA1413" s="4"/>
    </row>
    <row r="1414" spans="27:27" x14ac:dyDescent="0.2">
      <c r="AA1414" s="4"/>
    </row>
    <row r="1415" spans="27:27" x14ac:dyDescent="0.2">
      <c r="AA1415" s="4"/>
    </row>
    <row r="1416" spans="27:27" x14ac:dyDescent="0.2">
      <c r="AA1416" s="4"/>
    </row>
    <row r="1417" spans="27:27" x14ac:dyDescent="0.2">
      <c r="AA1417" s="4"/>
    </row>
    <row r="1418" spans="27:27" x14ac:dyDescent="0.2">
      <c r="AA1418" s="4"/>
    </row>
    <row r="1419" spans="27:27" x14ac:dyDescent="0.2">
      <c r="AA1419" s="4"/>
    </row>
    <row r="1420" spans="27:27" x14ac:dyDescent="0.2">
      <c r="AA1420" s="4"/>
    </row>
    <row r="1421" spans="27:27" x14ac:dyDescent="0.2">
      <c r="AA1421" s="4"/>
    </row>
    <row r="1422" spans="27:27" x14ac:dyDescent="0.2">
      <c r="AA1422" s="4"/>
    </row>
    <row r="1423" spans="27:27" x14ac:dyDescent="0.2">
      <c r="AA1423" s="4"/>
    </row>
    <row r="1424" spans="27:27" x14ac:dyDescent="0.2">
      <c r="AA1424" s="4"/>
    </row>
    <row r="1425" spans="27:27" x14ac:dyDescent="0.2">
      <c r="AA1425" s="4"/>
    </row>
    <row r="1426" spans="27:27" x14ac:dyDescent="0.2">
      <c r="AA1426" s="4"/>
    </row>
    <row r="1427" spans="27:27" x14ac:dyDescent="0.2">
      <c r="AA1427" s="4"/>
    </row>
    <row r="1428" spans="27:27" x14ac:dyDescent="0.2">
      <c r="AA1428" s="4"/>
    </row>
    <row r="1429" spans="27:27" x14ac:dyDescent="0.2">
      <c r="AA1429" s="4"/>
    </row>
    <row r="1430" spans="27:27" x14ac:dyDescent="0.2">
      <c r="AA1430" s="4"/>
    </row>
    <row r="1431" spans="27:27" x14ac:dyDescent="0.2">
      <c r="AA1431" s="4"/>
    </row>
    <row r="1432" spans="27:27" x14ac:dyDescent="0.2">
      <c r="AA1432" s="4"/>
    </row>
    <row r="1433" spans="27:27" x14ac:dyDescent="0.2">
      <c r="AA1433" s="4"/>
    </row>
    <row r="1434" spans="27:27" x14ac:dyDescent="0.2">
      <c r="AA1434" s="4"/>
    </row>
    <row r="1435" spans="27:27" x14ac:dyDescent="0.2">
      <c r="AA1435" s="4"/>
    </row>
    <row r="1436" spans="27:27" x14ac:dyDescent="0.2">
      <c r="AA1436" s="4"/>
    </row>
    <row r="1437" spans="27:27" x14ac:dyDescent="0.2">
      <c r="AA1437" s="4"/>
    </row>
    <row r="1438" spans="27:27" x14ac:dyDescent="0.2">
      <c r="AA1438" s="4"/>
    </row>
    <row r="1439" spans="27:27" x14ac:dyDescent="0.2">
      <c r="AA1439" s="4"/>
    </row>
    <row r="1440" spans="27:27" x14ac:dyDescent="0.2">
      <c r="AA1440" s="4"/>
    </row>
    <row r="1441" spans="27:27" x14ac:dyDescent="0.2">
      <c r="AA1441" s="4"/>
    </row>
    <row r="1442" spans="27:27" x14ac:dyDescent="0.2">
      <c r="AA1442" s="4"/>
    </row>
    <row r="1443" spans="27:27" x14ac:dyDescent="0.2">
      <c r="AA1443" s="4"/>
    </row>
    <row r="1444" spans="27:27" x14ac:dyDescent="0.2">
      <c r="AA1444" s="4"/>
    </row>
    <row r="1445" spans="27:27" x14ac:dyDescent="0.2">
      <c r="AA1445" s="4"/>
    </row>
    <row r="1446" spans="27:27" x14ac:dyDescent="0.2">
      <c r="AA1446" s="4"/>
    </row>
    <row r="1447" spans="27:27" x14ac:dyDescent="0.2">
      <c r="AA1447" s="4"/>
    </row>
    <row r="1448" spans="27:27" x14ac:dyDescent="0.2">
      <c r="AA1448" s="4"/>
    </row>
    <row r="1449" spans="27:27" x14ac:dyDescent="0.2">
      <c r="AA1449" s="4"/>
    </row>
    <row r="1450" spans="27:27" x14ac:dyDescent="0.2">
      <c r="AA1450" s="4"/>
    </row>
    <row r="1451" spans="27:27" x14ac:dyDescent="0.2">
      <c r="AA1451" s="4"/>
    </row>
    <row r="1452" spans="27:27" x14ac:dyDescent="0.2">
      <c r="AA1452" s="4"/>
    </row>
    <row r="1453" spans="27:27" x14ac:dyDescent="0.2">
      <c r="AA1453" s="4"/>
    </row>
    <row r="1454" spans="27:27" x14ac:dyDescent="0.2">
      <c r="AA1454" s="4"/>
    </row>
    <row r="1455" spans="27:27" x14ac:dyDescent="0.2">
      <c r="AA1455" s="4"/>
    </row>
    <row r="1456" spans="27:27" x14ac:dyDescent="0.2">
      <c r="AA1456" s="4"/>
    </row>
    <row r="1457" spans="27:27" x14ac:dyDescent="0.2">
      <c r="AA1457" s="4"/>
    </row>
    <row r="1458" spans="27:27" x14ac:dyDescent="0.2">
      <c r="AA1458" s="4"/>
    </row>
    <row r="1459" spans="27:27" x14ac:dyDescent="0.2">
      <c r="AA1459" s="4"/>
    </row>
    <row r="1460" spans="27:27" x14ac:dyDescent="0.2">
      <c r="AA1460" s="4"/>
    </row>
    <row r="1461" spans="27:27" x14ac:dyDescent="0.2">
      <c r="AA1461" s="4"/>
    </row>
    <row r="1462" spans="27:27" x14ac:dyDescent="0.2">
      <c r="AA1462" s="4"/>
    </row>
    <row r="1463" spans="27:27" x14ac:dyDescent="0.2">
      <c r="AA1463" s="4"/>
    </row>
    <row r="1464" spans="27:27" x14ac:dyDescent="0.2">
      <c r="AA1464" s="4"/>
    </row>
    <row r="1465" spans="27:27" x14ac:dyDescent="0.2">
      <c r="AA1465" s="4"/>
    </row>
    <row r="1466" spans="27:27" x14ac:dyDescent="0.2">
      <c r="AA1466" s="4"/>
    </row>
    <row r="1467" spans="27:27" x14ac:dyDescent="0.2">
      <c r="AA1467" s="4"/>
    </row>
    <row r="1468" spans="27:27" x14ac:dyDescent="0.2">
      <c r="AA1468" s="4"/>
    </row>
    <row r="1469" spans="27:27" x14ac:dyDescent="0.2">
      <c r="AA1469" s="4"/>
    </row>
    <row r="1470" spans="27:27" x14ac:dyDescent="0.2">
      <c r="AA1470" s="4"/>
    </row>
    <row r="1471" spans="27:27" x14ac:dyDescent="0.2">
      <c r="AA1471" s="4"/>
    </row>
    <row r="1472" spans="27:27" x14ac:dyDescent="0.2">
      <c r="AA1472" s="4"/>
    </row>
    <row r="1473" spans="27:27" x14ac:dyDescent="0.2">
      <c r="AA1473" s="4"/>
    </row>
    <row r="1474" spans="27:27" x14ac:dyDescent="0.2">
      <c r="AA1474" s="4"/>
    </row>
    <row r="1475" spans="27:27" x14ac:dyDescent="0.2">
      <c r="AA1475" s="4"/>
    </row>
    <row r="1476" spans="27:27" x14ac:dyDescent="0.2">
      <c r="AA1476" s="4"/>
    </row>
    <row r="1477" spans="27:27" x14ac:dyDescent="0.2">
      <c r="AA1477" s="4"/>
    </row>
    <row r="1478" spans="27:27" x14ac:dyDescent="0.2">
      <c r="AA1478" s="4"/>
    </row>
    <row r="1479" spans="27:27" x14ac:dyDescent="0.2">
      <c r="AA1479" s="4"/>
    </row>
    <row r="1480" spans="27:27" x14ac:dyDescent="0.2">
      <c r="AA1480" s="4"/>
    </row>
    <row r="1481" spans="27:27" x14ac:dyDescent="0.2">
      <c r="AA1481" s="4"/>
    </row>
    <row r="1482" spans="27:27" x14ac:dyDescent="0.2">
      <c r="AA1482" s="4"/>
    </row>
    <row r="1483" spans="27:27" x14ac:dyDescent="0.2">
      <c r="AA1483" s="4"/>
    </row>
    <row r="1484" spans="27:27" x14ac:dyDescent="0.2">
      <c r="AA1484" s="4"/>
    </row>
    <row r="1485" spans="27:27" x14ac:dyDescent="0.2">
      <c r="AA1485" s="4"/>
    </row>
    <row r="1486" spans="27:27" x14ac:dyDescent="0.2">
      <c r="AA1486" s="4"/>
    </row>
    <row r="1487" spans="27:27" x14ac:dyDescent="0.2">
      <c r="AA1487" s="4"/>
    </row>
    <row r="1488" spans="27:27" x14ac:dyDescent="0.2">
      <c r="AA1488" s="4"/>
    </row>
    <row r="1489" spans="27:27" x14ac:dyDescent="0.2">
      <c r="AA1489" s="4"/>
    </row>
    <row r="1490" spans="27:27" x14ac:dyDescent="0.2">
      <c r="AA1490" s="4"/>
    </row>
    <row r="1491" spans="27:27" x14ac:dyDescent="0.2">
      <c r="AA1491" s="4"/>
    </row>
    <row r="1492" spans="27:27" x14ac:dyDescent="0.2">
      <c r="AA1492" s="4"/>
    </row>
    <row r="1493" spans="27:27" x14ac:dyDescent="0.2">
      <c r="AA1493" s="4"/>
    </row>
    <row r="1494" spans="27:27" x14ac:dyDescent="0.2">
      <c r="AA1494" s="4"/>
    </row>
    <row r="1495" spans="27:27" x14ac:dyDescent="0.2">
      <c r="AA1495" s="4"/>
    </row>
    <row r="1496" spans="27:27" x14ac:dyDescent="0.2">
      <c r="AA1496" s="4"/>
    </row>
    <row r="1497" spans="27:27" x14ac:dyDescent="0.2">
      <c r="AA1497" s="4"/>
    </row>
    <row r="1498" spans="27:27" x14ac:dyDescent="0.2">
      <c r="AA1498" s="4"/>
    </row>
    <row r="1499" spans="27:27" x14ac:dyDescent="0.2">
      <c r="AA1499" s="4"/>
    </row>
    <row r="1500" spans="27:27" x14ac:dyDescent="0.2">
      <c r="AA1500" s="4"/>
    </row>
    <row r="1501" spans="27:27" x14ac:dyDescent="0.2">
      <c r="AA1501" s="4"/>
    </row>
    <row r="1502" spans="27:27" x14ac:dyDescent="0.2">
      <c r="AA1502" s="4"/>
    </row>
    <row r="1503" spans="27:27" x14ac:dyDescent="0.2">
      <c r="AA1503" s="4"/>
    </row>
    <row r="1504" spans="27:27" x14ac:dyDescent="0.2">
      <c r="AA1504" s="4"/>
    </row>
    <row r="1505" spans="27:27" x14ac:dyDescent="0.2">
      <c r="AA1505" s="4"/>
    </row>
    <row r="1506" spans="27:27" x14ac:dyDescent="0.2">
      <c r="AA1506" s="4"/>
    </row>
    <row r="1507" spans="27:27" x14ac:dyDescent="0.2">
      <c r="AA1507" s="4"/>
    </row>
    <row r="1508" spans="27:27" x14ac:dyDescent="0.2">
      <c r="AA1508" s="4"/>
    </row>
    <row r="1509" spans="27:27" x14ac:dyDescent="0.2">
      <c r="AA1509" s="4"/>
    </row>
    <row r="1510" spans="27:27" x14ac:dyDescent="0.2">
      <c r="AA1510" s="4"/>
    </row>
    <row r="1511" spans="27:27" x14ac:dyDescent="0.2">
      <c r="AA1511" s="4"/>
    </row>
    <row r="1512" spans="27:27" x14ac:dyDescent="0.2">
      <c r="AA1512" s="4"/>
    </row>
    <row r="1513" spans="27:27" x14ac:dyDescent="0.2">
      <c r="AA1513" s="4"/>
    </row>
    <row r="1514" spans="27:27" x14ac:dyDescent="0.2">
      <c r="AA1514" s="4"/>
    </row>
    <row r="1515" spans="27:27" x14ac:dyDescent="0.2">
      <c r="AA1515" s="4"/>
    </row>
    <row r="1516" spans="27:27" x14ac:dyDescent="0.2">
      <c r="AA1516" s="4"/>
    </row>
    <row r="1517" spans="27:27" x14ac:dyDescent="0.2">
      <c r="AA1517" s="4"/>
    </row>
    <row r="1518" spans="27:27" x14ac:dyDescent="0.2">
      <c r="AA1518" s="4"/>
    </row>
    <row r="1519" spans="27:27" x14ac:dyDescent="0.2">
      <c r="AA1519" s="4"/>
    </row>
    <row r="1520" spans="27:27" x14ac:dyDescent="0.2">
      <c r="AA1520" s="4"/>
    </row>
    <row r="1521" spans="27:27" x14ac:dyDescent="0.2">
      <c r="AA1521" s="4"/>
    </row>
    <row r="1522" spans="27:27" x14ac:dyDescent="0.2">
      <c r="AA1522" s="4"/>
    </row>
    <row r="1523" spans="27:27" x14ac:dyDescent="0.2">
      <c r="AA1523" s="4"/>
    </row>
    <row r="1524" spans="27:27" x14ac:dyDescent="0.2">
      <c r="AA1524" s="4"/>
    </row>
    <row r="1525" spans="27:27" x14ac:dyDescent="0.2">
      <c r="AA1525" s="4"/>
    </row>
    <row r="1526" spans="27:27" x14ac:dyDescent="0.2">
      <c r="AA1526" s="4"/>
    </row>
    <row r="1527" spans="27:27" x14ac:dyDescent="0.2">
      <c r="AA1527" s="4"/>
    </row>
    <row r="1528" spans="27:27" x14ac:dyDescent="0.2">
      <c r="AA1528" s="4"/>
    </row>
    <row r="1529" spans="27:27" x14ac:dyDescent="0.2">
      <c r="AA1529" s="4"/>
    </row>
    <row r="1530" spans="27:27" x14ac:dyDescent="0.2">
      <c r="AA1530" s="4"/>
    </row>
    <row r="1531" spans="27:27" x14ac:dyDescent="0.2">
      <c r="AA1531" s="4"/>
    </row>
    <row r="1532" spans="27:27" x14ac:dyDescent="0.2">
      <c r="AA1532" s="4"/>
    </row>
    <row r="1533" spans="27:27" x14ac:dyDescent="0.2">
      <c r="AA1533" s="4"/>
    </row>
    <row r="1534" spans="27:27" x14ac:dyDescent="0.2">
      <c r="AA1534" s="4"/>
    </row>
    <row r="1535" spans="27:27" x14ac:dyDescent="0.2">
      <c r="AA1535" s="4"/>
    </row>
    <row r="1536" spans="27:27" x14ac:dyDescent="0.2">
      <c r="AA1536" s="4"/>
    </row>
    <row r="1537" spans="27:27" x14ac:dyDescent="0.2">
      <c r="AA1537" s="4"/>
    </row>
    <row r="1538" spans="27:27" x14ac:dyDescent="0.2">
      <c r="AA1538" s="4"/>
    </row>
    <row r="1539" spans="27:27" x14ac:dyDescent="0.2">
      <c r="AA1539" s="4"/>
    </row>
    <row r="1540" spans="27:27" x14ac:dyDescent="0.2">
      <c r="AA1540" s="4"/>
    </row>
    <row r="1541" spans="27:27" x14ac:dyDescent="0.2">
      <c r="AA1541" s="4"/>
    </row>
    <row r="1542" spans="27:27" x14ac:dyDescent="0.2">
      <c r="AA1542" s="4"/>
    </row>
    <row r="1543" spans="27:27" x14ac:dyDescent="0.2">
      <c r="AA1543" s="4"/>
    </row>
    <row r="1544" spans="27:27" x14ac:dyDescent="0.2">
      <c r="AA1544" s="4"/>
    </row>
    <row r="1545" spans="27:27" x14ac:dyDescent="0.2">
      <c r="AA1545" s="4"/>
    </row>
    <row r="1546" spans="27:27" x14ac:dyDescent="0.2">
      <c r="AA1546" s="4"/>
    </row>
    <row r="1547" spans="27:27" x14ac:dyDescent="0.2">
      <c r="AA1547" s="4"/>
    </row>
    <row r="1548" spans="27:27" x14ac:dyDescent="0.2">
      <c r="AA1548" s="4"/>
    </row>
    <row r="1549" spans="27:27" x14ac:dyDescent="0.2">
      <c r="AA1549" s="4"/>
    </row>
    <row r="1550" spans="27:27" x14ac:dyDescent="0.2">
      <c r="AA1550" s="4"/>
    </row>
    <row r="1551" spans="27:27" x14ac:dyDescent="0.2">
      <c r="AA1551" s="4"/>
    </row>
    <row r="1552" spans="27:27" x14ac:dyDescent="0.2">
      <c r="AA1552" s="4"/>
    </row>
    <row r="1553" spans="27:27" x14ac:dyDescent="0.2">
      <c r="AA1553" s="4"/>
    </row>
    <row r="1554" spans="27:27" x14ac:dyDescent="0.2">
      <c r="AA1554" s="4"/>
    </row>
    <row r="1555" spans="27:27" x14ac:dyDescent="0.2">
      <c r="AA1555" s="4"/>
    </row>
    <row r="1556" spans="27:27" x14ac:dyDescent="0.2">
      <c r="AA1556" s="4"/>
    </row>
    <row r="1557" spans="27:27" x14ac:dyDescent="0.2">
      <c r="AA1557" s="4"/>
    </row>
    <row r="1558" spans="27:27" x14ac:dyDescent="0.2">
      <c r="AA1558" s="4"/>
    </row>
    <row r="1559" spans="27:27" x14ac:dyDescent="0.2">
      <c r="AA1559" s="4"/>
    </row>
    <row r="1560" spans="27:27" x14ac:dyDescent="0.2">
      <c r="AA1560" s="4"/>
    </row>
    <row r="1561" spans="27:27" x14ac:dyDescent="0.2">
      <c r="AA1561" s="4"/>
    </row>
    <row r="1562" spans="27:27" x14ac:dyDescent="0.2">
      <c r="AA1562" s="4"/>
    </row>
    <row r="1563" spans="27:27" x14ac:dyDescent="0.2">
      <c r="AA1563" s="4"/>
    </row>
    <row r="1564" spans="27:27" x14ac:dyDescent="0.2">
      <c r="AA1564" s="4"/>
    </row>
    <row r="1565" spans="27:27" x14ac:dyDescent="0.2">
      <c r="AA1565" s="4"/>
    </row>
    <row r="1566" spans="27:27" x14ac:dyDescent="0.2">
      <c r="AA1566" s="4"/>
    </row>
    <row r="1567" spans="27:27" x14ac:dyDescent="0.2">
      <c r="AA1567" s="4"/>
    </row>
    <row r="1568" spans="27:27" x14ac:dyDescent="0.2">
      <c r="AA1568" s="4"/>
    </row>
    <row r="1569" spans="27:27" x14ac:dyDescent="0.2">
      <c r="AA1569" s="4"/>
    </row>
    <row r="1570" spans="27:27" x14ac:dyDescent="0.2">
      <c r="AA1570" s="4"/>
    </row>
    <row r="1571" spans="27:27" x14ac:dyDescent="0.2">
      <c r="AA1571" s="4"/>
    </row>
    <row r="1572" spans="27:27" x14ac:dyDescent="0.2">
      <c r="AA1572" s="4"/>
    </row>
    <row r="1573" spans="27:27" x14ac:dyDescent="0.2">
      <c r="AA1573" s="4"/>
    </row>
    <row r="1574" spans="27:27" x14ac:dyDescent="0.2">
      <c r="AA1574" s="4"/>
    </row>
    <row r="1575" spans="27:27" x14ac:dyDescent="0.2">
      <c r="AA1575" s="4"/>
    </row>
    <row r="1576" spans="27:27" x14ac:dyDescent="0.2">
      <c r="AA1576" s="4"/>
    </row>
    <row r="1577" spans="27:27" x14ac:dyDescent="0.2">
      <c r="AA1577" s="4"/>
    </row>
    <row r="1578" spans="27:27" x14ac:dyDescent="0.2">
      <c r="AA1578" s="4"/>
    </row>
    <row r="1579" spans="27:27" x14ac:dyDescent="0.2">
      <c r="AA1579" s="4"/>
    </row>
    <row r="1580" spans="27:27" x14ac:dyDescent="0.2">
      <c r="AA1580" s="4"/>
    </row>
    <row r="1581" spans="27:27" x14ac:dyDescent="0.2">
      <c r="AA1581" s="4"/>
    </row>
    <row r="1582" spans="27:27" x14ac:dyDescent="0.2">
      <c r="AA1582" s="4"/>
    </row>
    <row r="1583" spans="27:27" x14ac:dyDescent="0.2">
      <c r="AA1583" s="4"/>
    </row>
    <row r="1584" spans="27:27" x14ac:dyDescent="0.2">
      <c r="AA1584" s="4"/>
    </row>
    <row r="1585" spans="27:27" x14ac:dyDescent="0.2">
      <c r="AA1585" s="4"/>
    </row>
    <row r="1586" spans="27:27" x14ac:dyDescent="0.2">
      <c r="AA1586" s="4"/>
    </row>
    <row r="1587" spans="27:27" x14ac:dyDescent="0.2">
      <c r="AA1587" s="4"/>
    </row>
    <row r="1588" spans="27:27" x14ac:dyDescent="0.2">
      <c r="AA1588" s="4"/>
    </row>
    <row r="1589" spans="27:27" x14ac:dyDescent="0.2">
      <c r="AA1589" s="4"/>
    </row>
    <row r="1590" spans="27:27" x14ac:dyDescent="0.2">
      <c r="AA1590" s="4"/>
    </row>
    <row r="1591" spans="27:27" x14ac:dyDescent="0.2">
      <c r="AA1591" s="4"/>
    </row>
    <row r="1592" spans="27:27" x14ac:dyDescent="0.2">
      <c r="AA1592" s="4"/>
    </row>
    <row r="1593" spans="27:27" x14ac:dyDescent="0.2">
      <c r="AA1593" s="4"/>
    </row>
    <row r="1594" spans="27:27" x14ac:dyDescent="0.2">
      <c r="AA1594" s="4"/>
    </row>
    <row r="1595" spans="27:27" x14ac:dyDescent="0.2">
      <c r="AA1595" s="4"/>
    </row>
    <row r="1596" spans="27:27" x14ac:dyDescent="0.2">
      <c r="AA1596" s="4"/>
    </row>
    <row r="1597" spans="27:27" x14ac:dyDescent="0.2">
      <c r="AA1597" s="4"/>
    </row>
    <row r="1598" spans="27:27" x14ac:dyDescent="0.2">
      <c r="AA1598" s="4"/>
    </row>
    <row r="1599" spans="27:27" x14ac:dyDescent="0.2">
      <c r="AA1599" s="4"/>
    </row>
    <row r="1600" spans="27:27" x14ac:dyDescent="0.2">
      <c r="AA1600" s="4"/>
    </row>
    <row r="1601" spans="27:27" x14ac:dyDescent="0.2">
      <c r="AA1601" s="4"/>
    </row>
    <row r="1602" spans="27:27" x14ac:dyDescent="0.2">
      <c r="AA1602" s="4"/>
    </row>
    <row r="1603" spans="27:27" x14ac:dyDescent="0.2">
      <c r="AA1603" s="4"/>
    </row>
    <row r="1604" spans="27:27" x14ac:dyDescent="0.2">
      <c r="AA1604" s="4"/>
    </row>
    <row r="1605" spans="27:27" x14ac:dyDescent="0.2">
      <c r="AA1605" s="4"/>
    </row>
    <row r="1606" spans="27:27" x14ac:dyDescent="0.2">
      <c r="AA1606" s="4"/>
    </row>
    <row r="1607" spans="27:27" x14ac:dyDescent="0.2">
      <c r="AA1607" s="4"/>
    </row>
    <row r="1608" spans="27:27" x14ac:dyDescent="0.2">
      <c r="AA1608" s="4"/>
    </row>
    <row r="1609" spans="27:27" x14ac:dyDescent="0.2">
      <c r="AA1609" s="4"/>
    </row>
    <row r="1610" spans="27:27" x14ac:dyDescent="0.2">
      <c r="AA1610" s="4"/>
    </row>
    <row r="1611" spans="27:27" x14ac:dyDescent="0.2">
      <c r="AA1611" s="4"/>
    </row>
    <row r="1612" spans="27:27" x14ac:dyDescent="0.2">
      <c r="AA1612" s="4"/>
    </row>
    <row r="1613" spans="27:27" x14ac:dyDescent="0.2">
      <c r="AA1613" s="4"/>
    </row>
    <row r="1614" spans="27:27" x14ac:dyDescent="0.2">
      <c r="AA1614" s="4"/>
    </row>
    <row r="1615" spans="27:27" x14ac:dyDescent="0.2">
      <c r="AA1615" s="4"/>
    </row>
    <row r="1616" spans="27:27" x14ac:dyDescent="0.2">
      <c r="AA1616" s="4"/>
    </row>
    <row r="1617" spans="27:27" x14ac:dyDescent="0.2">
      <c r="AA1617" s="4"/>
    </row>
    <row r="1618" spans="27:27" x14ac:dyDescent="0.2">
      <c r="AA1618" s="4"/>
    </row>
    <row r="1619" spans="27:27" x14ac:dyDescent="0.2">
      <c r="AA1619" s="4"/>
    </row>
    <row r="1620" spans="27:27" x14ac:dyDescent="0.2">
      <c r="AA1620" s="4"/>
    </row>
    <row r="1621" spans="27:27" x14ac:dyDescent="0.2">
      <c r="AA1621" s="4"/>
    </row>
    <row r="1622" spans="27:27" x14ac:dyDescent="0.2">
      <c r="AA1622" s="4"/>
    </row>
    <row r="1623" spans="27:27" x14ac:dyDescent="0.2">
      <c r="AA1623" s="4"/>
    </row>
    <row r="1624" spans="27:27" x14ac:dyDescent="0.2">
      <c r="AA1624" s="4"/>
    </row>
    <row r="1625" spans="27:27" x14ac:dyDescent="0.2">
      <c r="AA1625" s="4"/>
    </row>
    <row r="1626" spans="27:27" x14ac:dyDescent="0.2">
      <c r="AA1626" s="4"/>
    </row>
    <row r="1627" spans="27:27" x14ac:dyDescent="0.2">
      <c r="AA1627" s="4"/>
    </row>
    <row r="1628" spans="27:27" x14ac:dyDescent="0.2">
      <c r="AA1628" s="4"/>
    </row>
    <row r="1629" spans="27:27" x14ac:dyDescent="0.2">
      <c r="AA1629" s="4"/>
    </row>
    <row r="1630" spans="27:27" x14ac:dyDescent="0.2">
      <c r="AA1630" s="4"/>
    </row>
    <row r="1631" spans="27:27" x14ac:dyDescent="0.2">
      <c r="AA1631" s="4"/>
    </row>
    <row r="1632" spans="27:27" x14ac:dyDescent="0.2">
      <c r="AA1632" s="4"/>
    </row>
    <row r="1633" spans="27:27" x14ac:dyDescent="0.2">
      <c r="AA1633" s="4"/>
    </row>
    <row r="1634" spans="27:27" x14ac:dyDescent="0.2">
      <c r="AA1634" s="4"/>
    </row>
    <row r="1635" spans="27:27" x14ac:dyDescent="0.2">
      <c r="AA1635" s="4"/>
    </row>
    <row r="1636" spans="27:27" x14ac:dyDescent="0.2">
      <c r="AA1636" s="4"/>
    </row>
    <row r="1637" spans="27:27" x14ac:dyDescent="0.2">
      <c r="AA1637" s="4"/>
    </row>
    <row r="1638" spans="27:27" x14ac:dyDescent="0.2">
      <c r="AA1638" s="4"/>
    </row>
    <row r="1639" spans="27:27" x14ac:dyDescent="0.2">
      <c r="AA1639" s="4"/>
    </row>
    <row r="1640" spans="27:27" x14ac:dyDescent="0.2">
      <c r="AA1640" s="4"/>
    </row>
    <row r="1641" spans="27:27" x14ac:dyDescent="0.2">
      <c r="AA1641" s="4"/>
    </row>
    <row r="1642" spans="27:27" x14ac:dyDescent="0.2">
      <c r="AA1642" s="4"/>
    </row>
    <row r="1643" spans="27:27" x14ac:dyDescent="0.2">
      <c r="AA1643" s="4"/>
    </row>
    <row r="1644" spans="27:27" x14ac:dyDescent="0.2">
      <c r="AA1644" s="4"/>
    </row>
    <row r="1645" spans="27:27" x14ac:dyDescent="0.2">
      <c r="AA1645" s="4"/>
    </row>
    <row r="1646" spans="27:27" x14ac:dyDescent="0.2">
      <c r="AA1646" s="4"/>
    </row>
    <row r="1647" spans="27:27" x14ac:dyDescent="0.2">
      <c r="AA1647" s="4"/>
    </row>
    <row r="1648" spans="27:27" x14ac:dyDescent="0.2">
      <c r="AA1648" s="4"/>
    </row>
    <row r="1649" spans="27:27" x14ac:dyDescent="0.2">
      <c r="AA1649" s="4"/>
    </row>
    <row r="1650" spans="27:27" x14ac:dyDescent="0.2">
      <c r="AA1650" s="4"/>
    </row>
    <row r="1651" spans="27:27" x14ac:dyDescent="0.2">
      <c r="AA1651" s="4"/>
    </row>
    <row r="1652" spans="27:27" x14ac:dyDescent="0.2">
      <c r="AA1652" s="4"/>
    </row>
    <row r="1653" spans="27:27" x14ac:dyDescent="0.2">
      <c r="AA1653" s="4"/>
    </row>
    <row r="1654" spans="27:27" x14ac:dyDescent="0.2">
      <c r="AA1654" s="4"/>
    </row>
    <row r="1655" spans="27:27" x14ac:dyDescent="0.2">
      <c r="AA1655" s="4"/>
    </row>
    <row r="1656" spans="27:27" x14ac:dyDescent="0.2">
      <c r="AA1656" s="4"/>
    </row>
    <row r="1657" spans="27:27" x14ac:dyDescent="0.2">
      <c r="AA1657" s="4"/>
    </row>
    <row r="1658" spans="27:27" x14ac:dyDescent="0.2">
      <c r="AA1658" s="4"/>
    </row>
    <row r="1659" spans="27:27" x14ac:dyDescent="0.2">
      <c r="AA1659" s="4"/>
    </row>
    <row r="1660" spans="27:27" x14ac:dyDescent="0.2">
      <c r="AA1660" s="4"/>
    </row>
    <row r="1661" spans="27:27" x14ac:dyDescent="0.2">
      <c r="AA1661" s="4"/>
    </row>
    <row r="1662" spans="27:27" x14ac:dyDescent="0.2">
      <c r="AA1662" s="4"/>
    </row>
    <row r="1663" spans="27:27" x14ac:dyDescent="0.2">
      <c r="AA1663" s="4"/>
    </row>
    <row r="1664" spans="27:27" x14ac:dyDescent="0.2">
      <c r="AA1664" s="4"/>
    </row>
    <row r="1665" spans="27:27" x14ac:dyDescent="0.2">
      <c r="AA1665" s="4"/>
    </row>
    <row r="1666" spans="27:27" x14ac:dyDescent="0.2">
      <c r="AA1666" s="4"/>
    </row>
    <row r="1667" spans="27:27" x14ac:dyDescent="0.2">
      <c r="AA1667" s="4"/>
    </row>
    <row r="1668" spans="27:27" x14ac:dyDescent="0.2">
      <c r="AA1668" s="4"/>
    </row>
    <row r="1669" spans="27:27" x14ac:dyDescent="0.2">
      <c r="AA1669" s="4"/>
    </row>
    <row r="1670" spans="27:27" x14ac:dyDescent="0.2">
      <c r="AA1670" s="4"/>
    </row>
    <row r="1671" spans="27:27" x14ac:dyDescent="0.2">
      <c r="AA1671" s="4"/>
    </row>
    <row r="1672" spans="27:27" x14ac:dyDescent="0.2">
      <c r="AA1672" s="4"/>
    </row>
    <row r="1673" spans="27:27" x14ac:dyDescent="0.2">
      <c r="AA1673" s="4"/>
    </row>
    <row r="1674" spans="27:27" x14ac:dyDescent="0.2">
      <c r="AA1674" s="4"/>
    </row>
    <row r="1675" spans="27:27" x14ac:dyDescent="0.2">
      <c r="AA1675" s="4"/>
    </row>
    <row r="1676" spans="27:27" x14ac:dyDescent="0.2">
      <c r="AA1676" s="4"/>
    </row>
    <row r="1677" spans="27:27" x14ac:dyDescent="0.2">
      <c r="AA1677" s="4"/>
    </row>
    <row r="1678" spans="27:27" x14ac:dyDescent="0.2">
      <c r="AA1678" s="4"/>
    </row>
    <row r="1679" spans="27:27" x14ac:dyDescent="0.2">
      <c r="AA1679" s="4"/>
    </row>
    <row r="1680" spans="27:27" x14ac:dyDescent="0.2">
      <c r="AA1680" s="4"/>
    </row>
    <row r="1681" spans="27:27" x14ac:dyDescent="0.2">
      <c r="AA1681" s="4"/>
    </row>
    <row r="1682" spans="27:27" x14ac:dyDescent="0.2">
      <c r="AA1682" s="4"/>
    </row>
    <row r="1683" spans="27:27" x14ac:dyDescent="0.2">
      <c r="AA1683" s="4"/>
    </row>
    <row r="1684" spans="27:27" x14ac:dyDescent="0.2">
      <c r="AA1684" s="4"/>
    </row>
    <row r="1685" spans="27:27" x14ac:dyDescent="0.2">
      <c r="AA1685" s="4"/>
    </row>
    <row r="1686" spans="27:27" x14ac:dyDescent="0.2">
      <c r="AA1686" s="4"/>
    </row>
    <row r="1687" spans="27:27" x14ac:dyDescent="0.2">
      <c r="AA1687" s="4"/>
    </row>
    <row r="1688" spans="27:27" x14ac:dyDescent="0.2">
      <c r="AA1688" s="4"/>
    </row>
    <row r="1689" spans="27:27" x14ac:dyDescent="0.2">
      <c r="AA1689" s="4"/>
    </row>
    <row r="1690" spans="27:27" x14ac:dyDescent="0.2">
      <c r="AA1690" s="4"/>
    </row>
    <row r="1691" spans="27:27" x14ac:dyDescent="0.2">
      <c r="AA1691" s="4"/>
    </row>
    <row r="1692" spans="27:27" x14ac:dyDescent="0.2">
      <c r="AA1692" s="4"/>
    </row>
    <row r="1693" spans="27:27" x14ac:dyDescent="0.2">
      <c r="AA1693" s="4"/>
    </row>
    <row r="1694" spans="27:27" x14ac:dyDescent="0.2">
      <c r="AA1694" s="4"/>
    </row>
    <row r="1695" spans="27:27" x14ac:dyDescent="0.2">
      <c r="AA1695" s="4"/>
    </row>
    <row r="1696" spans="27:27" x14ac:dyDescent="0.2">
      <c r="AA1696" s="4"/>
    </row>
    <row r="1697" spans="27:27" x14ac:dyDescent="0.2">
      <c r="AA1697" s="4"/>
    </row>
    <row r="1698" spans="27:27" x14ac:dyDescent="0.2">
      <c r="AA1698" s="4"/>
    </row>
    <row r="1699" spans="27:27" x14ac:dyDescent="0.2">
      <c r="AA1699" s="4"/>
    </row>
    <row r="1700" spans="27:27" x14ac:dyDescent="0.2">
      <c r="AA1700" s="4"/>
    </row>
    <row r="1701" spans="27:27" x14ac:dyDescent="0.2">
      <c r="AA1701" s="4"/>
    </row>
    <row r="1702" spans="27:27" x14ac:dyDescent="0.2">
      <c r="AA1702" s="4"/>
    </row>
    <row r="1703" spans="27:27" x14ac:dyDescent="0.2">
      <c r="AA1703" s="4"/>
    </row>
    <row r="1704" spans="27:27" x14ac:dyDescent="0.2">
      <c r="AA1704" s="4"/>
    </row>
    <row r="1705" spans="27:27" x14ac:dyDescent="0.2">
      <c r="AA1705" s="4"/>
    </row>
    <row r="1706" spans="27:27" x14ac:dyDescent="0.2">
      <c r="AA1706" s="4"/>
    </row>
    <row r="1707" spans="27:27" x14ac:dyDescent="0.2">
      <c r="AA1707" s="4"/>
    </row>
    <row r="1708" spans="27:27" x14ac:dyDescent="0.2">
      <c r="AA1708" s="4"/>
    </row>
    <row r="1709" spans="27:27" x14ac:dyDescent="0.2">
      <c r="AA1709" s="4"/>
    </row>
    <row r="1710" spans="27:27" x14ac:dyDescent="0.2">
      <c r="AA1710" s="4"/>
    </row>
    <row r="1711" spans="27:27" x14ac:dyDescent="0.2">
      <c r="AA1711" s="4"/>
    </row>
    <row r="1712" spans="27:27" x14ac:dyDescent="0.2">
      <c r="AA1712" s="4"/>
    </row>
    <row r="1713" spans="27:27" x14ac:dyDescent="0.2">
      <c r="AA1713" s="4"/>
    </row>
    <row r="1714" spans="27:27" x14ac:dyDescent="0.2">
      <c r="AA1714" s="4"/>
    </row>
    <row r="1715" spans="27:27" x14ac:dyDescent="0.2">
      <c r="AA1715" s="4"/>
    </row>
    <row r="1716" spans="27:27" x14ac:dyDescent="0.2">
      <c r="AA1716" s="4"/>
    </row>
    <row r="1717" spans="27:27" x14ac:dyDescent="0.2">
      <c r="AA1717" s="4"/>
    </row>
    <row r="1718" spans="27:27" x14ac:dyDescent="0.2">
      <c r="AA1718" s="4"/>
    </row>
    <row r="1719" spans="27:27" x14ac:dyDescent="0.2">
      <c r="AA1719" s="4"/>
    </row>
    <row r="1720" spans="27:27" x14ac:dyDescent="0.2">
      <c r="AA1720" s="4"/>
    </row>
    <row r="1721" spans="27:27" x14ac:dyDescent="0.2">
      <c r="AA1721" s="4"/>
    </row>
    <row r="1722" spans="27:27" x14ac:dyDescent="0.2">
      <c r="AA1722" s="4"/>
    </row>
    <row r="1723" spans="27:27" x14ac:dyDescent="0.2">
      <c r="AA1723" s="4"/>
    </row>
    <row r="1724" spans="27:27" x14ac:dyDescent="0.2">
      <c r="AA1724" s="4"/>
    </row>
    <row r="1725" spans="27:27" x14ac:dyDescent="0.2">
      <c r="AA1725" s="4"/>
    </row>
    <row r="1726" spans="27:27" x14ac:dyDescent="0.2">
      <c r="AA1726" s="4"/>
    </row>
    <row r="1727" spans="27:27" x14ac:dyDescent="0.2">
      <c r="AA1727" s="4"/>
    </row>
    <row r="1728" spans="27:27" x14ac:dyDescent="0.2">
      <c r="AA1728" s="4"/>
    </row>
    <row r="1729" spans="27:27" x14ac:dyDescent="0.2">
      <c r="AA1729" s="4"/>
    </row>
    <row r="1730" spans="27:27" x14ac:dyDescent="0.2">
      <c r="AA1730" s="4"/>
    </row>
    <row r="1731" spans="27:27" x14ac:dyDescent="0.2">
      <c r="AA1731" s="4"/>
    </row>
    <row r="1732" spans="27:27" x14ac:dyDescent="0.2">
      <c r="AA1732" s="4"/>
    </row>
    <row r="1733" spans="27:27" x14ac:dyDescent="0.2">
      <c r="AA1733" s="4"/>
    </row>
    <row r="1734" spans="27:27" x14ac:dyDescent="0.2">
      <c r="AA1734" s="4"/>
    </row>
    <row r="1735" spans="27:27" x14ac:dyDescent="0.2">
      <c r="AA1735" s="4"/>
    </row>
    <row r="1736" spans="27:27" x14ac:dyDescent="0.2">
      <c r="AA1736" s="4"/>
    </row>
    <row r="1737" spans="27:27" x14ac:dyDescent="0.2">
      <c r="AA1737" s="4"/>
    </row>
    <row r="1738" spans="27:27" x14ac:dyDescent="0.2">
      <c r="AA1738" s="4"/>
    </row>
    <row r="1739" spans="27:27" x14ac:dyDescent="0.2">
      <c r="AA1739" s="4"/>
    </row>
    <row r="1740" spans="27:27" x14ac:dyDescent="0.2">
      <c r="AA1740" s="4"/>
    </row>
    <row r="1741" spans="27:27" x14ac:dyDescent="0.2">
      <c r="AA1741" s="4"/>
    </row>
    <row r="1742" spans="27:27" x14ac:dyDescent="0.2">
      <c r="AA1742" s="4"/>
    </row>
    <row r="1743" spans="27:27" x14ac:dyDescent="0.2">
      <c r="AA1743" s="4"/>
    </row>
    <row r="1744" spans="27:27" x14ac:dyDescent="0.2">
      <c r="AA1744" s="4"/>
    </row>
    <row r="1745" spans="27:27" x14ac:dyDescent="0.2">
      <c r="AA1745" s="4"/>
    </row>
    <row r="1746" spans="27:27" x14ac:dyDescent="0.2">
      <c r="AA1746" s="4"/>
    </row>
    <row r="1747" spans="27:27" x14ac:dyDescent="0.2">
      <c r="AA1747" s="4"/>
    </row>
    <row r="1748" spans="27:27" x14ac:dyDescent="0.2">
      <c r="AA1748" s="4"/>
    </row>
    <row r="1749" spans="27:27" x14ac:dyDescent="0.2">
      <c r="AA1749" s="4"/>
    </row>
    <row r="1750" spans="27:27" x14ac:dyDescent="0.2">
      <c r="AA1750" s="4"/>
    </row>
    <row r="1751" spans="27:27" x14ac:dyDescent="0.2">
      <c r="AA1751" s="4"/>
    </row>
    <row r="1752" spans="27:27" x14ac:dyDescent="0.2">
      <c r="AA1752" s="4"/>
    </row>
    <row r="1753" spans="27:27" x14ac:dyDescent="0.2">
      <c r="AA1753" s="4"/>
    </row>
    <row r="1754" spans="27:27" x14ac:dyDescent="0.2">
      <c r="AA1754" s="4"/>
    </row>
    <row r="1755" spans="27:27" x14ac:dyDescent="0.2">
      <c r="AA1755" s="4"/>
    </row>
    <row r="1756" spans="27:27" x14ac:dyDescent="0.2">
      <c r="AA1756" s="4"/>
    </row>
    <row r="1757" spans="27:27" x14ac:dyDescent="0.2">
      <c r="AA1757" s="4"/>
    </row>
    <row r="1758" spans="27:27" x14ac:dyDescent="0.2">
      <c r="AA1758" s="4"/>
    </row>
    <row r="1759" spans="27:27" x14ac:dyDescent="0.2">
      <c r="AA1759" s="4"/>
    </row>
    <row r="1760" spans="27:27" x14ac:dyDescent="0.2">
      <c r="AA1760" s="4"/>
    </row>
    <row r="1761" spans="27:27" x14ac:dyDescent="0.2">
      <c r="AA1761" s="4"/>
    </row>
    <row r="1762" spans="27:27" x14ac:dyDescent="0.2">
      <c r="AA1762" s="4"/>
    </row>
    <row r="1763" spans="27:27" x14ac:dyDescent="0.2">
      <c r="AA1763" s="4"/>
    </row>
    <row r="1764" spans="27:27" x14ac:dyDescent="0.2">
      <c r="AA1764" s="4"/>
    </row>
    <row r="1765" spans="27:27" x14ac:dyDescent="0.2">
      <c r="AA1765" s="4"/>
    </row>
    <row r="1766" spans="27:27" x14ac:dyDescent="0.2">
      <c r="AA1766" s="4"/>
    </row>
    <row r="1767" spans="27:27" x14ac:dyDescent="0.2">
      <c r="AA1767" s="4"/>
    </row>
    <row r="1768" spans="27:27" x14ac:dyDescent="0.2">
      <c r="AA1768" s="4"/>
    </row>
    <row r="1769" spans="27:27" x14ac:dyDescent="0.2">
      <c r="AA1769" s="4"/>
    </row>
    <row r="1770" spans="27:27" x14ac:dyDescent="0.2">
      <c r="AA1770" s="4"/>
    </row>
    <row r="1771" spans="27:27" x14ac:dyDescent="0.2">
      <c r="AA1771" s="4"/>
    </row>
    <row r="1772" spans="27:27" x14ac:dyDescent="0.2">
      <c r="AA1772" s="4"/>
    </row>
    <row r="1773" spans="27:27" x14ac:dyDescent="0.2">
      <c r="AA1773" s="4"/>
    </row>
    <row r="1774" spans="27:27" x14ac:dyDescent="0.2">
      <c r="AA1774" s="4"/>
    </row>
    <row r="1775" spans="27:27" x14ac:dyDescent="0.2">
      <c r="AA1775" s="4"/>
    </row>
    <row r="1776" spans="27:27" x14ac:dyDescent="0.2">
      <c r="AA1776" s="4"/>
    </row>
    <row r="1777" spans="27:27" x14ac:dyDescent="0.2">
      <c r="AA1777" s="4"/>
    </row>
    <row r="1778" spans="27:27" x14ac:dyDescent="0.2">
      <c r="AA1778" s="4"/>
    </row>
    <row r="1779" spans="27:27" x14ac:dyDescent="0.2">
      <c r="AA1779" s="4"/>
    </row>
    <row r="1780" spans="27:27" x14ac:dyDescent="0.2">
      <c r="AA1780" s="4"/>
    </row>
    <row r="1781" spans="27:27" x14ac:dyDescent="0.2">
      <c r="AA1781" s="4"/>
    </row>
    <row r="1782" spans="27:27" x14ac:dyDescent="0.2">
      <c r="AA1782" s="4"/>
    </row>
    <row r="1783" spans="27:27" x14ac:dyDescent="0.2">
      <c r="AA1783" s="4"/>
    </row>
    <row r="1784" spans="27:27" x14ac:dyDescent="0.2">
      <c r="AA1784" s="4"/>
    </row>
    <row r="1785" spans="27:27" x14ac:dyDescent="0.2">
      <c r="AA1785" s="4"/>
    </row>
    <row r="1786" spans="27:27" x14ac:dyDescent="0.2">
      <c r="AA1786" s="4"/>
    </row>
    <row r="1787" spans="27:27" x14ac:dyDescent="0.2">
      <c r="AA1787" s="4"/>
    </row>
    <row r="1788" spans="27:27" x14ac:dyDescent="0.2">
      <c r="AA1788" s="4"/>
    </row>
    <row r="1789" spans="27:27" x14ac:dyDescent="0.2">
      <c r="AA1789" s="4"/>
    </row>
    <row r="1790" spans="27:27" x14ac:dyDescent="0.2">
      <c r="AA1790" s="4"/>
    </row>
    <row r="1791" spans="27:27" x14ac:dyDescent="0.2">
      <c r="AA1791" s="4"/>
    </row>
    <row r="1792" spans="27:27" x14ac:dyDescent="0.2">
      <c r="AA1792" s="4"/>
    </row>
    <row r="1793" spans="27:27" x14ac:dyDescent="0.2">
      <c r="AA1793" s="4"/>
    </row>
    <row r="1794" spans="27:27" x14ac:dyDescent="0.2">
      <c r="AA1794" s="4"/>
    </row>
    <row r="1795" spans="27:27" x14ac:dyDescent="0.2">
      <c r="AA1795" s="4"/>
    </row>
    <row r="1796" spans="27:27" x14ac:dyDescent="0.2">
      <c r="AA1796" s="4"/>
    </row>
    <row r="1797" spans="27:27" x14ac:dyDescent="0.2">
      <c r="AA1797" s="4"/>
    </row>
    <row r="1798" spans="27:27" x14ac:dyDescent="0.2">
      <c r="AA1798" s="4"/>
    </row>
    <row r="1799" spans="27:27" x14ac:dyDescent="0.2">
      <c r="AA1799" s="4"/>
    </row>
    <row r="1800" spans="27:27" x14ac:dyDescent="0.2">
      <c r="AA1800" s="4"/>
    </row>
    <row r="1801" spans="27:27" x14ac:dyDescent="0.2">
      <c r="AA1801" s="4"/>
    </row>
    <row r="1802" spans="27:27" x14ac:dyDescent="0.2">
      <c r="AA1802" s="4"/>
    </row>
    <row r="1803" spans="27:27" x14ac:dyDescent="0.2">
      <c r="AA1803" s="4"/>
    </row>
    <row r="1804" spans="27:27" x14ac:dyDescent="0.2">
      <c r="AA1804" s="4"/>
    </row>
    <row r="1805" spans="27:27" x14ac:dyDescent="0.2">
      <c r="AA1805" s="4"/>
    </row>
    <row r="1806" spans="27:27" x14ac:dyDescent="0.2">
      <c r="AA1806" s="4"/>
    </row>
    <row r="1807" spans="27:27" x14ac:dyDescent="0.2">
      <c r="AA1807" s="4"/>
    </row>
    <row r="1808" spans="27:27" x14ac:dyDescent="0.2">
      <c r="AA1808" s="4"/>
    </row>
    <row r="1809" spans="27:27" x14ac:dyDescent="0.2">
      <c r="AA1809" s="4"/>
    </row>
    <row r="1810" spans="27:27" x14ac:dyDescent="0.2">
      <c r="AA1810" s="4"/>
    </row>
    <row r="1811" spans="27:27" x14ac:dyDescent="0.2">
      <c r="AA1811" s="4"/>
    </row>
    <row r="1812" spans="27:27" x14ac:dyDescent="0.2">
      <c r="AA1812" s="4"/>
    </row>
    <row r="1813" spans="27:27" x14ac:dyDescent="0.2">
      <c r="AA1813" s="4"/>
    </row>
    <row r="1814" spans="27:27" x14ac:dyDescent="0.2">
      <c r="AA1814" s="4"/>
    </row>
    <row r="1815" spans="27:27" x14ac:dyDescent="0.2">
      <c r="AA1815" s="4"/>
    </row>
    <row r="1816" spans="27:27" x14ac:dyDescent="0.2">
      <c r="AA1816" s="4"/>
    </row>
    <row r="1817" spans="27:27" x14ac:dyDescent="0.2">
      <c r="AA1817" s="4"/>
    </row>
    <row r="1818" spans="27:27" x14ac:dyDescent="0.2">
      <c r="AA1818" s="4"/>
    </row>
    <row r="1819" spans="27:27" x14ac:dyDescent="0.2">
      <c r="AA1819" s="4"/>
    </row>
    <row r="1820" spans="27:27" x14ac:dyDescent="0.2">
      <c r="AA1820" s="4"/>
    </row>
    <row r="1821" spans="27:27" x14ac:dyDescent="0.2">
      <c r="AA1821" s="4"/>
    </row>
    <row r="1822" spans="27:27" x14ac:dyDescent="0.2">
      <c r="AA1822" s="4"/>
    </row>
    <row r="1823" spans="27:27" x14ac:dyDescent="0.2">
      <c r="AA1823" s="4"/>
    </row>
    <row r="1824" spans="27:27" x14ac:dyDescent="0.2">
      <c r="AA1824" s="4"/>
    </row>
    <row r="1825" spans="27:27" x14ac:dyDescent="0.2">
      <c r="AA1825" s="4"/>
    </row>
    <row r="1826" spans="27:27" x14ac:dyDescent="0.2">
      <c r="AA1826" s="4"/>
    </row>
    <row r="1827" spans="27:27" x14ac:dyDescent="0.2">
      <c r="AA1827" s="4"/>
    </row>
    <row r="1828" spans="27:27" x14ac:dyDescent="0.2">
      <c r="AA1828" s="4"/>
    </row>
    <row r="1829" spans="27:27" x14ac:dyDescent="0.2">
      <c r="AA1829" s="4"/>
    </row>
    <row r="1830" spans="27:27" x14ac:dyDescent="0.2">
      <c r="AA1830" s="4"/>
    </row>
    <row r="1831" spans="27:27" x14ac:dyDescent="0.2">
      <c r="AA1831" s="4"/>
    </row>
    <row r="1832" spans="27:27" x14ac:dyDescent="0.2">
      <c r="AA1832" s="4"/>
    </row>
    <row r="1833" spans="27:27" x14ac:dyDescent="0.2">
      <c r="AA1833" s="4"/>
    </row>
    <row r="1834" spans="27:27" x14ac:dyDescent="0.2">
      <c r="AA1834" s="4"/>
    </row>
    <row r="1835" spans="27:27" x14ac:dyDescent="0.2">
      <c r="AA1835" s="4"/>
    </row>
    <row r="1836" spans="27:27" x14ac:dyDescent="0.2">
      <c r="AA1836" s="4"/>
    </row>
    <row r="1837" spans="27:27" x14ac:dyDescent="0.2">
      <c r="AA1837" s="4"/>
    </row>
    <row r="1838" spans="27:27" x14ac:dyDescent="0.2">
      <c r="AA1838" s="4"/>
    </row>
    <row r="1839" spans="27:27" x14ac:dyDescent="0.2">
      <c r="AA1839" s="4"/>
    </row>
    <row r="1840" spans="27:27" x14ac:dyDescent="0.2">
      <c r="AA1840" s="4"/>
    </row>
    <row r="1841" spans="27:27" x14ac:dyDescent="0.2">
      <c r="AA1841" s="4"/>
    </row>
    <row r="1842" spans="27:27" x14ac:dyDescent="0.2">
      <c r="AA1842" s="4"/>
    </row>
    <row r="1843" spans="27:27" x14ac:dyDescent="0.2">
      <c r="AA1843" s="4"/>
    </row>
    <row r="1844" spans="27:27" x14ac:dyDescent="0.2">
      <c r="AA1844" s="4"/>
    </row>
    <row r="1845" spans="27:27" x14ac:dyDescent="0.2">
      <c r="AA1845" s="4"/>
    </row>
    <row r="1846" spans="27:27" x14ac:dyDescent="0.2">
      <c r="AA1846" s="4"/>
    </row>
    <row r="1847" spans="27:27" x14ac:dyDescent="0.2">
      <c r="AA1847" s="4"/>
    </row>
    <row r="1848" spans="27:27" x14ac:dyDescent="0.2">
      <c r="AA1848" s="4"/>
    </row>
    <row r="1849" spans="27:27" x14ac:dyDescent="0.2">
      <c r="AA1849" s="4"/>
    </row>
    <row r="1850" spans="27:27" x14ac:dyDescent="0.2">
      <c r="AA1850" s="4"/>
    </row>
    <row r="1851" spans="27:27" x14ac:dyDescent="0.2">
      <c r="AA1851" s="4"/>
    </row>
    <row r="1852" spans="27:27" x14ac:dyDescent="0.2">
      <c r="AA1852" s="4"/>
    </row>
    <row r="1853" spans="27:27" x14ac:dyDescent="0.2">
      <c r="AA1853" s="4"/>
    </row>
    <row r="1854" spans="27:27" x14ac:dyDescent="0.2">
      <c r="AA1854" s="4"/>
    </row>
    <row r="1855" spans="27:27" x14ac:dyDescent="0.2">
      <c r="AA1855" s="4"/>
    </row>
    <row r="1856" spans="27:27" x14ac:dyDescent="0.2">
      <c r="AA1856" s="4"/>
    </row>
    <row r="1857" spans="27:27" x14ac:dyDescent="0.2">
      <c r="AA1857" s="4"/>
    </row>
    <row r="1858" spans="27:27" x14ac:dyDescent="0.2">
      <c r="AA1858" s="4"/>
    </row>
    <row r="1859" spans="27:27" x14ac:dyDescent="0.2">
      <c r="AA1859" s="4"/>
    </row>
    <row r="1860" spans="27:27" x14ac:dyDescent="0.2">
      <c r="AA1860" s="4"/>
    </row>
    <row r="1861" spans="27:27" x14ac:dyDescent="0.2">
      <c r="AA1861" s="4"/>
    </row>
    <row r="1862" spans="27:27" x14ac:dyDescent="0.2">
      <c r="AA1862" s="4"/>
    </row>
    <row r="1863" spans="27:27" x14ac:dyDescent="0.2">
      <c r="AA1863" s="4"/>
    </row>
    <row r="1864" spans="27:27" x14ac:dyDescent="0.2">
      <c r="AA1864" s="4"/>
    </row>
    <row r="1865" spans="27:27" x14ac:dyDescent="0.2">
      <c r="AA1865" s="4"/>
    </row>
    <row r="1866" spans="27:27" x14ac:dyDescent="0.2">
      <c r="AA1866" s="4"/>
    </row>
    <row r="1867" spans="27:27" x14ac:dyDescent="0.2">
      <c r="AA1867" s="4"/>
    </row>
    <row r="1868" spans="27:27" x14ac:dyDescent="0.2">
      <c r="AA1868" s="4"/>
    </row>
    <row r="1869" spans="27:27" x14ac:dyDescent="0.2">
      <c r="AA1869" s="4"/>
    </row>
    <row r="1870" spans="27:27" x14ac:dyDescent="0.2">
      <c r="AA1870" s="4"/>
    </row>
    <row r="1871" spans="27:27" x14ac:dyDescent="0.2">
      <c r="AA1871" s="4"/>
    </row>
    <row r="1872" spans="27:27" x14ac:dyDescent="0.2">
      <c r="AA1872" s="4"/>
    </row>
    <row r="1873" spans="27:27" x14ac:dyDescent="0.2">
      <c r="AA1873" s="4"/>
    </row>
    <row r="1874" spans="27:27" x14ac:dyDescent="0.2">
      <c r="AA1874" s="4"/>
    </row>
    <row r="1875" spans="27:27" x14ac:dyDescent="0.2">
      <c r="AA1875" s="4"/>
    </row>
    <row r="1876" spans="27:27" x14ac:dyDescent="0.2">
      <c r="AA1876" s="4"/>
    </row>
    <row r="1877" spans="27:27" x14ac:dyDescent="0.2">
      <c r="AA1877" s="4"/>
    </row>
    <row r="1878" spans="27:27" x14ac:dyDescent="0.2">
      <c r="AA1878" s="4"/>
    </row>
    <row r="1879" spans="27:27" x14ac:dyDescent="0.2">
      <c r="AA1879" s="4"/>
    </row>
    <row r="1880" spans="27:27" x14ac:dyDescent="0.2">
      <c r="AA1880" s="4"/>
    </row>
    <row r="1881" spans="27:27" x14ac:dyDescent="0.2">
      <c r="AA1881" s="4"/>
    </row>
    <row r="1882" spans="27:27" x14ac:dyDescent="0.2">
      <c r="AA1882" s="4"/>
    </row>
    <row r="1883" spans="27:27" x14ac:dyDescent="0.2">
      <c r="AA1883" s="4"/>
    </row>
    <row r="1884" spans="27:27" x14ac:dyDescent="0.2">
      <c r="AA1884" s="4"/>
    </row>
    <row r="1885" spans="27:27" x14ac:dyDescent="0.2">
      <c r="AA1885" s="4"/>
    </row>
    <row r="1886" spans="27:27" x14ac:dyDescent="0.2">
      <c r="AA1886" s="4"/>
    </row>
    <row r="1887" spans="27:27" x14ac:dyDescent="0.2">
      <c r="AA1887" s="4"/>
    </row>
    <row r="1888" spans="27:27" x14ac:dyDescent="0.2">
      <c r="AA1888" s="4"/>
    </row>
    <row r="1889" spans="27:27" x14ac:dyDescent="0.2">
      <c r="AA1889" s="4"/>
    </row>
    <row r="1890" spans="27:27" x14ac:dyDescent="0.2">
      <c r="AA1890" s="4"/>
    </row>
    <row r="1891" spans="27:27" x14ac:dyDescent="0.2">
      <c r="AA1891" s="4"/>
    </row>
    <row r="1892" spans="27:27" x14ac:dyDescent="0.2">
      <c r="AA1892" s="4"/>
    </row>
    <row r="1893" spans="27:27" x14ac:dyDescent="0.2">
      <c r="AA1893" s="4"/>
    </row>
    <row r="1894" spans="27:27" x14ac:dyDescent="0.2">
      <c r="AA1894" s="4"/>
    </row>
    <row r="1895" spans="27:27" x14ac:dyDescent="0.2">
      <c r="AA1895" s="4"/>
    </row>
    <row r="1896" spans="27:27" x14ac:dyDescent="0.2">
      <c r="AA1896" s="4"/>
    </row>
    <row r="1897" spans="27:27" x14ac:dyDescent="0.2">
      <c r="AA1897" s="4"/>
    </row>
    <row r="1898" spans="27:27" x14ac:dyDescent="0.2">
      <c r="AA1898" s="4"/>
    </row>
    <row r="1899" spans="27:27" x14ac:dyDescent="0.2">
      <c r="AA1899" s="4"/>
    </row>
    <row r="1900" spans="27:27" x14ac:dyDescent="0.2">
      <c r="AA1900" s="4"/>
    </row>
    <row r="1901" spans="27:27" x14ac:dyDescent="0.2">
      <c r="AA1901" s="4"/>
    </row>
    <row r="1902" spans="27:27" x14ac:dyDescent="0.2">
      <c r="AA1902" s="4"/>
    </row>
    <row r="1903" spans="27:27" x14ac:dyDescent="0.2">
      <c r="AA1903" s="4"/>
    </row>
    <row r="1904" spans="27:27" x14ac:dyDescent="0.2">
      <c r="AA1904" s="4"/>
    </row>
    <row r="1905" spans="27:27" x14ac:dyDescent="0.2">
      <c r="AA1905" s="4"/>
    </row>
    <row r="1906" spans="27:27" x14ac:dyDescent="0.2">
      <c r="AA1906" s="4"/>
    </row>
    <row r="1907" spans="27:27" x14ac:dyDescent="0.2">
      <c r="AA1907" s="4"/>
    </row>
    <row r="1908" spans="27:27" x14ac:dyDescent="0.2">
      <c r="AA1908" s="4"/>
    </row>
    <row r="1909" spans="27:27" x14ac:dyDescent="0.2">
      <c r="AA1909" s="4"/>
    </row>
    <row r="1910" spans="27:27" x14ac:dyDescent="0.2">
      <c r="AA1910" s="4"/>
    </row>
    <row r="1911" spans="27:27" x14ac:dyDescent="0.2">
      <c r="AA1911" s="4"/>
    </row>
    <row r="1912" spans="27:27" x14ac:dyDescent="0.2">
      <c r="AA1912" s="4"/>
    </row>
    <row r="1913" spans="27:27" x14ac:dyDescent="0.2">
      <c r="AA1913" s="4"/>
    </row>
    <row r="1914" spans="27:27" x14ac:dyDescent="0.2">
      <c r="AA1914" s="4"/>
    </row>
    <row r="1915" spans="27:27" x14ac:dyDescent="0.2">
      <c r="AA1915" s="4"/>
    </row>
    <row r="1916" spans="27:27" x14ac:dyDescent="0.2">
      <c r="AA1916" s="4"/>
    </row>
    <row r="1917" spans="27:27" x14ac:dyDescent="0.2">
      <c r="AA1917" s="4"/>
    </row>
    <row r="1918" spans="27:27" x14ac:dyDescent="0.2">
      <c r="AA1918" s="4"/>
    </row>
    <row r="1919" spans="27:27" x14ac:dyDescent="0.2">
      <c r="AA1919" s="4"/>
    </row>
    <row r="1920" spans="27:27" x14ac:dyDescent="0.2">
      <c r="AA1920" s="4"/>
    </row>
    <row r="1921" spans="27:27" x14ac:dyDescent="0.2">
      <c r="AA1921" s="4"/>
    </row>
    <row r="1922" spans="27:27" x14ac:dyDescent="0.2">
      <c r="AA1922" s="4"/>
    </row>
    <row r="1923" spans="27:27" x14ac:dyDescent="0.2">
      <c r="AA1923" s="4"/>
    </row>
    <row r="1924" spans="27:27" x14ac:dyDescent="0.2">
      <c r="AA1924" s="4"/>
    </row>
    <row r="1925" spans="27:27" x14ac:dyDescent="0.2">
      <c r="AA1925" s="4"/>
    </row>
    <row r="1926" spans="27:27" x14ac:dyDescent="0.2">
      <c r="AA1926" s="4"/>
    </row>
    <row r="1927" spans="27:27" x14ac:dyDescent="0.2">
      <c r="AA1927" s="4"/>
    </row>
    <row r="1928" spans="27:27" x14ac:dyDescent="0.2">
      <c r="AA1928" s="4"/>
    </row>
    <row r="1929" spans="27:27" x14ac:dyDescent="0.2">
      <c r="AA1929" s="4"/>
    </row>
    <row r="1930" spans="27:27" x14ac:dyDescent="0.2">
      <c r="AA1930" s="4"/>
    </row>
    <row r="1931" spans="27:27" x14ac:dyDescent="0.2">
      <c r="AA1931" s="4"/>
    </row>
    <row r="1932" spans="27:27" x14ac:dyDescent="0.2">
      <c r="AA1932" s="4"/>
    </row>
    <row r="1933" spans="27:27" x14ac:dyDescent="0.2">
      <c r="AA1933" s="4"/>
    </row>
    <row r="1934" spans="27:27" x14ac:dyDescent="0.2">
      <c r="AA1934" s="4"/>
    </row>
    <row r="1935" spans="27:27" x14ac:dyDescent="0.2">
      <c r="AA1935" s="4"/>
    </row>
    <row r="1936" spans="27:27" x14ac:dyDescent="0.2">
      <c r="AA1936" s="4"/>
    </row>
    <row r="1937" spans="27:27" x14ac:dyDescent="0.2">
      <c r="AA1937" s="4"/>
    </row>
    <row r="1938" spans="27:27" x14ac:dyDescent="0.2">
      <c r="AA1938" s="4"/>
    </row>
    <row r="1939" spans="27:27" x14ac:dyDescent="0.2">
      <c r="AA1939" s="4"/>
    </row>
    <row r="1940" spans="27:27" x14ac:dyDescent="0.2">
      <c r="AA1940" s="4"/>
    </row>
    <row r="1941" spans="27:27" x14ac:dyDescent="0.2">
      <c r="AA1941" s="4"/>
    </row>
    <row r="1942" spans="27:27" x14ac:dyDescent="0.2">
      <c r="AA1942" s="4"/>
    </row>
    <row r="1943" spans="27:27" x14ac:dyDescent="0.2">
      <c r="AA1943" s="4"/>
    </row>
    <row r="1944" spans="27:27" x14ac:dyDescent="0.2">
      <c r="AA1944" s="4"/>
    </row>
    <row r="1945" spans="27:27" x14ac:dyDescent="0.2">
      <c r="AA1945" s="4"/>
    </row>
    <row r="1946" spans="27:27" x14ac:dyDescent="0.2">
      <c r="AA1946" s="4"/>
    </row>
    <row r="1947" spans="27:27" x14ac:dyDescent="0.2">
      <c r="AA1947" s="4"/>
    </row>
    <row r="1948" spans="27:27" x14ac:dyDescent="0.2">
      <c r="AA1948" s="4"/>
    </row>
    <row r="1949" spans="27:27" x14ac:dyDescent="0.2">
      <c r="AA1949" s="4"/>
    </row>
    <row r="1950" spans="27:27" x14ac:dyDescent="0.2">
      <c r="AA1950" s="4"/>
    </row>
    <row r="1951" spans="27:27" x14ac:dyDescent="0.2">
      <c r="AA1951" s="4"/>
    </row>
    <row r="1952" spans="27:27" x14ac:dyDescent="0.2">
      <c r="AA1952" s="4"/>
    </row>
    <row r="1953" spans="27:27" x14ac:dyDescent="0.2">
      <c r="AA1953" s="4"/>
    </row>
    <row r="1954" spans="27:27" x14ac:dyDescent="0.2">
      <c r="AA1954" s="4"/>
    </row>
    <row r="1955" spans="27:27" x14ac:dyDescent="0.2">
      <c r="AA1955" s="4"/>
    </row>
    <row r="1956" spans="27:27" x14ac:dyDescent="0.2">
      <c r="AA1956" s="4"/>
    </row>
    <row r="1957" spans="27:27" x14ac:dyDescent="0.2">
      <c r="AA1957" s="4"/>
    </row>
    <row r="1958" spans="27:27" x14ac:dyDescent="0.2">
      <c r="AA1958" s="4"/>
    </row>
    <row r="1959" spans="27:27" x14ac:dyDescent="0.2">
      <c r="AA1959" s="4"/>
    </row>
    <row r="1960" spans="27:27" x14ac:dyDescent="0.2">
      <c r="AA1960" s="4"/>
    </row>
    <row r="1961" spans="27:27" x14ac:dyDescent="0.2">
      <c r="AA1961" s="4"/>
    </row>
    <row r="1962" spans="27:27" x14ac:dyDescent="0.2">
      <c r="AA1962" s="4"/>
    </row>
    <row r="1963" spans="27:27" x14ac:dyDescent="0.2">
      <c r="AA1963" s="4"/>
    </row>
    <row r="1964" spans="27:27" x14ac:dyDescent="0.2">
      <c r="AA1964" s="4"/>
    </row>
    <row r="1965" spans="27:27" x14ac:dyDescent="0.2">
      <c r="AA1965" s="4"/>
    </row>
    <row r="1966" spans="27:27" x14ac:dyDescent="0.2">
      <c r="AA1966" s="4"/>
    </row>
    <row r="1967" spans="27:27" x14ac:dyDescent="0.2">
      <c r="AA1967" s="4"/>
    </row>
    <row r="1968" spans="27:27" x14ac:dyDescent="0.2">
      <c r="AA1968" s="4"/>
    </row>
    <row r="1969" spans="27:27" x14ac:dyDescent="0.2">
      <c r="AA1969" s="4"/>
    </row>
    <row r="1970" spans="27:27" x14ac:dyDescent="0.2">
      <c r="AA1970" s="4"/>
    </row>
    <row r="1971" spans="27:27" x14ac:dyDescent="0.2">
      <c r="AA1971" s="4"/>
    </row>
    <row r="1972" spans="27:27" x14ac:dyDescent="0.2">
      <c r="AA1972" s="4"/>
    </row>
    <row r="1973" spans="27:27" x14ac:dyDescent="0.2">
      <c r="AA1973" s="4"/>
    </row>
    <row r="1974" spans="27:27" x14ac:dyDescent="0.2">
      <c r="AA1974" s="4"/>
    </row>
    <row r="1975" spans="27:27" x14ac:dyDescent="0.2">
      <c r="AA1975" s="4"/>
    </row>
    <row r="1976" spans="27:27" x14ac:dyDescent="0.2">
      <c r="AA1976" s="4"/>
    </row>
    <row r="1977" spans="27:27" x14ac:dyDescent="0.2">
      <c r="AA1977" s="4"/>
    </row>
    <row r="1978" spans="27:27" x14ac:dyDescent="0.2">
      <c r="AA1978" s="4"/>
    </row>
    <row r="1979" spans="27:27" x14ac:dyDescent="0.2">
      <c r="AA1979" s="4"/>
    </row>
    <row r="1980" spans="27:27" x14ac:dyDescent="0.2">
      <c r="AA1980" s="4"/>
    </row>
    <row r="1981" spans="27:27" x14ac:dyDescent="0.2">
      <c r="AA1981" s="4"/>
    </row>
    <row r="1982" spans="27:27" x14ac:dyDescent="0.2">
      <c r="AA1982" s="4"/>
    </row>
    <row r="1983" spans="27:27" x14ac:dyDescent="0.2">
      <c r="AA1983" s="4"/>
    </row>
    <row r="1984" spans="27:27" x14ac:dyDescent="0.2">
      <c r="AA1984" s="4"/>
    </row>
    <row r="1985" spans="27:27" x14ac:dyDescent="0.2">
      <c r="AA1985" s="4"/>
    </row>
    <row r="1986" spans="27:27" x14ac:dyDescent="0.2">
      <c r="AA1986" s="4"/>
    </row>
    <row r="1987" spans="27:27" x14ac:dyDescent="0.2">
      <c r="AA1987" s="4"/>
    </row>
    <row r="1988" spans="27:27" x14ac:dyDescent="0.2">
      <c r="AA1988" s="4"/>
    </row>
    <row r="1989" spans="27:27" x14ac:dyDescent="0.2">
      <c r="AA1989" s="4"/>
    </row>
    <row r="1990" spans="27:27" x14ac:dyDescent="0.2">
      <c r="AA1990" s="4"/>
    </row>
    <row r="1991" spans="27:27" x14ac:dyDescent="0.2">
      <c r="AA1991" s="4"/>
    </row>
    <row r="1992" spans="27:27" x14ac:dyDescent="0.2">
      <c r="AA1992" s="4"/>
    </row>
    <row r="1993" spans="27:27" x14ac:dyDescent="0.2">
      <c r="AA1993" s="4"/>
    </row>
    <row r="1994" spans="27:27" x14ac:dyDescent="0.2">
      <c r="AA1994" s="4"/>
    </row>
    <row r="1995" spans="27:27" x14ac:dyDescent="0.2">
      <c r="AA1995" s="4"/>
    </row>
    <row r="1996" spans="27:27" x14ac:dyDescent="0.2">
      <c r="AA1996" s="4"/>
    </row>
    <row r="1997" spans="27:27" x14ac:dyDescent="0.2">
      <c r="AA1997" s="4"/>
    </row>
    <row r="1998" spans="27:27" x14ac:dyDescent="0.2">
      <c r="AA1998" s="4"/>
    </row>
    <row r="1999" spans="27:27" x14ac:dyDescent="0.2">
      <c r="AA1999" s="4"/>
    </row>
    <row r="2000" spans="27:27" x14ac:dyDescent="0.2">
      <c r="AA2000" s="4"/>
    </row>
    <row r="2001" spans="27:27" x14ac:dyDescent="0.2">
      <c r="AA2001" s="4"/>
    </row>
    <row r="2002" spans="27:27" x14ac:dyDescent="0.2">
      <c r="AA2002" s="4"/>
    </row>
    <row r="2003" spans="27:27" x14ac:dyDescent="0.2">
      <c r="AA2003" s="4"/>
    </row>
    <row r="2004" spans="27:27" x14ac:dyDescent="0.2">
      <c r="AA2004" s="4"/>
    </row>
    <row r="2005" spans="27:27" x14ac:dyDescent="0.2">
      <c r="AA2005" s="4"/>
    </row>
    <row r="2006" spans="27:27" x14ac:dyDescent="0.2">
      <c r="AA2006" s="4"/>
    </row>
    <row r="2007" spans="27:27" x14ac:dyDescent="0.2">
      <c r="AA2007" s="4"/>
    </row>
    <row r="2008" spans="27:27" x14ac:dyDescent="0.2">
      <c r="AA2008" s="4"/>
    </row>
    <row r="2009" spans="27:27" x14ac:dyDescent="0.2">
      <c r="AA2009" s="4"/>
    </row>
    <row r="2010" spans="27:27" x14ac:dyDescent="0.2">
      <c r="AA2010" s="4"/>
    </row>
    <row r="2011" spans="27:27" x14ac:dyDescent="0.2">
      <c r="AA2011" s="4"/>
    </row>
    <row r="2012" spans="27:27" x14ac:dyDescent="0.2">
      <c r="AA2012" s="4"/>
    </row>
    <row r="2013" spans="27:27" x14ac:dyDescent="0.2">
      <c r="AA2013" s="4"/>
    </row>
    <row r="2014" spans="27:27" x14ac:dyDescent="0.2">
      <c r="AA2014" s="4"/>
    </row>
    <row r="2015" spans="27:27" x14ac:dyDescent="0.2">
      <c r="AA2015" s="4"/>
    </row>
    <row r="2016" spans="27:27" x14ac:dyDescent="0.2">
      <c r="AA2016" s="4"/>
    </row>
    <row r="2017" spans="27:27" x14ac:dyDescent="0.2">
      <c r="AA2017" s="4"/>
    </row>
    <row r="2018" spans="27:27" x14ac:dyDescent="0.2">
      <c r="AA2018" s="4"/>
    </row>
    <row r="2019" spans="27:27" x14ac:dyDescent="0.2">
      <c r="AA2019" s="4"/>
    </row>
    <row r="2020" spans="27:27" x14ac:dyDescent="0.2">
      <c r="AA2020" s="4"/>
    </row>
    <row r="2021" spans="27:27" x14ac:dyDescent="0.2">
      <c r="AA2021" s="4"/>
    </row>
    <row r="2022" spans="27:27" x14ac:dyDescent="0.2">
      <c r="AA2022" s="4"/>
    </row>
    <row r="2023" spans="27:27" x14ac:dyDescent="0.2">
      <c r="AA2023" s="4"/>
    </row>
    <row r="2024" spans="27:27" x14ac:dyDescent="0.2">
      <c r="AA2024" s="4"/>
    </row>
    <row r="2025" spans="27:27" x14ac:dyDescent="0.2">
      <c r="AA2025" s="4"/>
    </row>
    <row r="2026" spans="27:27" x14ac:dyDescent="0.2">
      <c r="AA2026" s="4"/>
    </row>
    <row r="2027" spans="27:27" x14ac:dyDescent="0.2">
      <c r="AA2027" s="4"/>
    </row>
    <row r="2028" spans="27:27" x14ac:dyDescent="0.2">
      <c r="AA2028" s="4"/>
    </row>
    <row r="2029" spans="27:27" x14ac:dyDescent="0.2">
      <c r="AA2029" s="4"/>
    </row>
    <row r="2030" spans="27:27" x14ac:dyDescent="0.2">
      <c r="AA2030" s="4"/>
    </row>
    <row r="2031" spans="27:27" x14ac:dyDescent="0.2">
      <c r="AA2031" s="4"/>
    </row>
    <row r="2032" spans="27:27" x14ac:dyDescent="0.2">
      <c r="AA2032" s="4"/>
    </row>
    <row r="2033" spans="27:27" x14ac:dyDescent="0.2">
      <c r="AA2033" s="4"/>
    </row>
    <row r="2034" spans="27:27" x14ac:dyDescent="0.2">
      <c r="AA2034" s="4"/>
    </row>
    <row r="2035" spans="27:27" x14ac:dyDescent="0.2">
      <c r="AA2035" s="4"/>
    </row>
    <row r="2036" spans="27:27" x14ac:dyDescent="0.2">
      <c r="AA2036" s="4"/>
    </row>
    <row r="2037" spans="27:27" x14ac:dyDescent="0.2">
      <c r="AA2037" s="4"/>
    </row>
    <row r="2038" spans="27:27" x14ac:dyDescent="0.2">
      <c r="AA2038" s="4"/>
    </row>
    <row r="2039" spans="27:27" x14ac:dyDescent="0.2">
      <c r="AA2039" s="4"/>
    </row>
    <row r="2040" spans="27:27" x14ac:dyDescent="0.2">
      <c r="AA2040" s="4"/>
    </row>
    <row r="2041" spans="27:27" x14ac:dyDescent="0.2">
      <c r="AA2041" s="4"/>
    </row>
    <row r="2042" spans="27:27" x14ac:dyDescent="0.2">
      <c r="AA2042" s="4"/>
    </row>
    <row r="2043" spans="27:27" x14ac:dyDescent="0.2">
      <c r="AA2043" s="4"/>
    </row>
    <row r="2044" spans="27:27" x14ac:dyDescent="0.2">
      <c r="AA2044" s="4"/>
    </row>
    <row r="2045" spans="27:27" x14ac:dyDescent="0.2">
      <c r="AA2045" s="4"/>
    </row>
    <row r="2046" spans="27:27" x14ac:dyDescent="0.2">
      <c r="AA2046" s="4"/>
    </row>
    <row r="2047" spans="27:27" x14ac:dyDescent="0.2">
      <c r="AA2047" s="4"/>
    </row>
    <row r="2048" spans="27:27" x14ac:dyDescent="0.2">
      <c r="AA2048" s="4"/>
    </row>
    <row r="2049" spans="27:27" x14ac:dyDescent="0.2">
      <c r="AA2049" s="4"/>
    </row>
    <row r="2050" spans="27:27" x14ac:dyDescent="0.2">
      <c r="AA2050" s="4"/>
    </row>
    <row r="2051" spans="27:27" x14ac:dyDescent="0.2">
      <c r="AA2051" s="4"/>
    </row>
    <row r="2052" spans="27:27" x14ac:dyDescent="0.2">
      <c r="AA2052" s="4"/>
    </row>
    <row r="2053" spans="27:27" x14ac:dyDescent="0.2">
      <c r="AA2053" s="4"/>
    </row>
    <row r="2054" spans="27:27" x14ac:dyDescent="0.2">
      <c r="AA2054" s="4"/>
    </row>
    <row r="2055" spans="27:27" x14ac:dyDescent="0.2">
      <c r="AA2055" s="4"/>
    </row>
    <row r="2056" spans="27:27" x14ac:dyDescent="0.2">
      <c r="AA2056" s="4"/>
    </row>
    <row r="2057" spans="27:27" x14ac:dyDescent="0.2">
      <c r="AA2057" s="4"/>
    </row>
    <row r="2058" spans="27:27" x14ac:dyDescent="0.2">
      <c r="AA2058" s="4"/>
    </row>
    <row r="2059" spans="27:27" x14ac:dyDescent="0.2">
      <c r="AA2059" s="4"/>
    </row>
    <row r="2060" spans="27:27" x14ac:dyDescent="0.2">
      <c r="AA2060" s="4"/>
    </row>
    <row r="2061" spans="27:27" x14ac:dyDescent="0.2">
      <c r="AA2061" s="4"/>
    </row>
    <row r="2062" spans="27:27" x14ac:dyDescent="0.2">
      <c r="AA2062" s="4"/>
    </row>
    <row r="2063" spans="27:27" x14ac:dyDescent="0.2">
      <c r="AA2063" s="4"/>
    </row>
    <row r="2064" spans="27:27" x14ac:dyDescent="0.2">
      <c r="AA2064" s="4"/>
    </row>
    <row r="2065" spans="27:27" x14ac:dyDescent="0.2">
      <c r="AA2065" s="4"/>
    </row>
    <row r="2066" spans="27:27" x14ac:dyDescent="0.2">
      <c r="AA2066" s="4"/>
    </row>
    <row r="2067" spans="27:27" x14ac:dyDescent="0.2">
      <c r="AA2067" s="4"/>
    </row>
    <row r="2068" spans="27:27" x14ac:dyDescent="0.2">
      <c r="AA2068" s="4"/>
    </row>
    <row r="2069" spans="27:27" x14ac:dyDescent="0.2">
      <c r="AA2069" s="4"/>
    </row>
    <row r="2070" spans="27:27" x14ac:dyDescent="0.2">
      <c r="AA2070" s="4"/>
    </row>
    <row r="2071" spans="27:27" x14ac:dyDescent="0.2">
      <c r="AA2071" s="4"/>
    </row>
    <row r="2072" spans="27:27" x14ac:dyDescent="0.2">
      <c r="AA2072" s="4"/>
    </row>
    <row r="2073" spans="27:27" x14ac:dyDescent="0.2">
      <c r="AA2073" s="4"/>
    </row>
    <row r="2074" spans="27:27" x14ac:dyDescent="0.2">
      <c r="AA2074" s="4"/>
    </row>
    <row r="2075" spans="27:27" x14ac:dyDescent="0.2">
      <c r="AA2075" s="4"/>
    </row>
    <row r="2076" spans="27:27" x14ac:dyDescent="0.2">
      <c r="AA2076" s="4"/>
    </row>
    <row r="2077" spans="27:27" x14ac:dyDescent="0.2">
      <c r="AA2077" s="4"/>
    </row>
    <row r="2078" spans="27:27" x14ac:dyDescent="0.2">
      <c r="AA2078" s="4"/>
    </row>
    <row r="2079" spans="27:27" x14ac:dyDescent="0.2">
      <c r="AA2079" s="4"/>
    </row>
    <row r="2080" spans="27:27" x14ac:dyDescent="0.2">
      <c r="AA2080" s="4"/>
    </row>
    <row r="2081" spans="27:27" x14ac:dyDescent="0.2">
      <c r="AA2081" s="4"/>
    </row>
    <row r="2082" spans="27:27" x14ac:dyDescent="0.2">
      <c r="AA2082" s="4"/>
    </row>
    <row r="2083" spans="27:27" x14ac:dyDescent="0.2">
      <c r="AA2083" s="4"/>
    </row>
    <row r="2084" spans="27:27" x14ac:dyDescent="0.2">
      <c r="AA2084" s="4"/>
    </row>
    <row r="2085" spans="27:27" x14ac:dyDescent="0.2">
      <c r="AA2085" s="4"/>
    </row>
    <row r="2086" spans="27:27" x14ac:dyDescent="0.2">
      <c r="AA2086" s="4"/>
    </row>
    <row r="2087" spans="27:27" x14ac:dyDescent="0.2">
      <c r="AA2087" s="4"/>
    </row>
    <row r="2088" spans="27:27" x14ac:dyDescent="0.2">
      <c r="AA2088" s="4"/>
    </row>
    <row r="2089" spans="27:27" x14ac:dyDescent="0.2">
      <c r="AA2089" s="4"/>
    </row>
    <row r="2090" spans="27:27" x14ac:dyDescent="0.2">
      <c r="AA2090" s="4"/>
    </row>
    <row r="2091" spans="27:27" x14ac:dyDescent="0.2">
      <c r="AA2091" s="4"/>
    </row>
    <row r="2092" spans="27:27" x14ac:dyDescent="0.2">
      <c r="AA2092" s="4"/>
    </row>
    <row r="2093" spans="27:27" x14ac:dyDescent="0.2">
      <c r="AA2093" s="4"/>
    </row>
    <row r="2094" spans="27:27" x14ac:dyDescent="0.2">
      <c r="AA2094" s="4"/>
    </row>
    <row r="2095" spans="27:27" x14ac:dyDescent="0.2">
      <c r="AA2095" s="4"/>
    </row>
    <row r="2096" spans="27:27" x14ac:dyDescent="0.2">
      <c r="AA2096" s="4"/>
    </row>
    <row r="2097" spans="27:27" x14ac:dyDescent="0.2">
      <c r="AA2097" s="4"/>
    </row>
    <row r="2098" spans="27:27" x14ac:dyDescent="0.2">
      <c r="AA2098" s="4"/>
    </row>
    <row r="2099" spans="27:27" x14ac:dyDescent="0.2">
      <c r="AA2099" s="4"/>
    </row>
    <row r="2100" spans="27:27" x14ac:dyDescent="0.2">
      <c r="AA2100" s="4"/>
    </row>
    <row r="2101" spans="27:27" x14ac:dyDescent="0.2">
      <c r="AA2101" s="4"/>
    </row>
    <row r="2102" spans="27:27" x14ac:dyDescent="0.2">
      <c r="AA2102" s="4"/>
    </row>
    <row r="2103" spans="27:27" x14ac:dyDescent="0.2">
      <c r="AA2103" s="4"/>
    </row>
    <row r="2104" spans="27:27" x14ac:dyDescent="0.2">
      <c r="AA2104" s="4"/>
    </row>
    <row r="2105" spans="27:27" x14ac:dyDescent="0.2">
      <c r="AA2105" s="4"/>
    </row>
    <row r="2106" spans="27:27" x14ac:dyDescent="0.2">
      <c r="AA2106" s="4"/>
    </row>
    <row r="2107" spans="27:27" x14ac:dyDescent="0.2">
      <c r="AA2107" s="4"/>
    </row>
    <row r="2108" spans="27:27" x14ac:dyDescent="0.2">
      <c r="AA2108" s="4"/>
    </row>
    <row r="2109" spans="27:27" x14ac:dyDescent="0.2">
      <c r="AA2109" s="4"/>
    </row>
    <row r="2110" spans="27:27" x14ac:dyDescent="0.2">
      <c r="AA2110" s="4"/>
    </row>
    <row r="2111" spans="27:27" x14ac:dyDescent="0.2">
      <c r="AA2111" s="4"/>
    </row>
    <row r="2112" spans="27:27" x14ac:dyDescent="0.2">
      <c r="AA2112" s="4"/>
    </row>
    <row r="2113" spans="27:27" x14ac:dyDescent="0.2">
      <c r="AA2113" s="4"/>
    </row>
    <row r="2114" spans="27:27" x14ac:dyDescent="0.2">
      <c r="AA2114" s="4"/>
    </row>
    <row r="2115" spans="27:27" x14ac:dyDescent="0.2">
      <c r="AA2115" s="4"/>
    </row>
    <row r="2116" spans="27:27" x14ac:dyDescent="0.2">
      <c r="AA2116" s="4"/>
    </row>
    <row r="2117" spans="27:27" x14ac:dyDescent="0.2">
      <c r="AA2117" s="4"/>
    </row>
    <row r="2118" spans="27:27" x14ac:dyDescent="0.2">
      <c r="AA2118" s="4"/>
    </row>
    <row r="2119" spans="27:27" x14ac:dyDescent="0.2">
      <c r="AA2119" s="4"/>
    </row>
    <row r="2120" spans="27:27" x14ac:dyDescent="0.2">
      <c r="AA2120" s="4"/>
    </row>
    <row r="2121" spans="27:27" x14ac:dyDescent="0.2">
      <c r="AA2121" s="4"/>
    </row>
    <row r="2122" spans="27:27" x14ac:dyDescent="0.2">
      <c r="AA2122" s="4"/>
    </row>
    <row r="2123" spans="27:27" x14ac:dyDescent="0.2">
      <c r="AA2123" s="4"/>
    </row>
    <row r="2124" spans="27:27" x14ac:dyDescent="0.2">
      <c r="AA2124" s="4"/>
    </row>
    <row r="2125" spans="27:27" x14ac:dyDescent="0.2">
      <c r="AA2125" s="4"/>
    </row>
    <row r="2126" spans="27:27" x14ac:dyDescent="0.2">
      <c r="AA2126" s="4"/>
    </row>
    <row r="2127" spans="27:27" x14ac:dyDescent="0.2">
      <c r="AA2127" s="4"/>
    </row>
    <row r="2128" spans="27:27" x14ac:dyDescent="0.2">
      <c r="AA2128" s="4"/>
    </row>
    <row r="2129" spans="27:27" x14ac:dyDescent="0.2">
      <c r="AA2129" s="4"/>
    </row>
    <row r="2130" spans="27:27" x14ac:dyDescent="0.2">
      <c r="AA2130" s="4"/>
    </row>
    <row r="2131" spans="27:27" x14ac:dyDescent="0.2">
      <c r="AA2131" s="4"/>
    </row>
    <row r="2132" spans="27:27" x14ac:dyDescent="0.2">
      <c r="AA2132" s="4"/>
    </row>
    <row r="2133" spans="27:27" x14ac:dyDescent="0.2">
      <c r="AA2133" s="4"/>
    </row>
    <row r="2134" spans="27:27" x14ac:dyDescent="0.2">
      <c r="AA2134" s="4"/>
    </row>
    <row r="2135" spans="27:27" x14ac:dyDescent="0.2">
      <c r="AA2135" s="4"/>
    </row>
    <row r="2136" spans="27:27" x14ac:dyDescent="0.2">
      <c r="AA2136" s="4"/>
    </row>
    <row r="2137" spans="27:27" x14ac:dyDescent="0.2">
      <c r="AA2137" s="4"/>
    </row>
    <row r="2138" spans="27:27" x14ac:dyDescent="0.2">
      <c r="AA2138" s="4"/>
    </row>
    <row r="2139" spans="27:27" x14ac:dyDescent="0.2">
      <c r="AA2139" s="4"/>
    </row>
    <row r="2140" spans="27:27" x14ac:dyDescent="0.2">
      <c r="AA2140" s="4"/>
    </row>
    <row r="2141" spans="27:27" x14ac:dyDescent="0.2">
      <c r="AA2141" s="4"/>
    </row>
    <row r="2142" spans="27:27" x14ac:dyDescent="0.2">
      <c r="AA2142" s="4"/>
    </row>
    <row r="2143" spans="27:27" x14ac:dyDescent="0.2">
      <c r="AA2143" s="4"/>
    </row>
    <row r="2144" spans="27:27" x14ac:dyDescent="0.2">
      <c r="AA2144" s="4"/>
    </row>
    <row r="2145" spans="27:27" x14ac:dyDescent="0.2">
      <c r="AA2145" s="4"/>
    </row>
    <row r="2146" spans="27:27" x14ac:dyDescent="0.2">
      <c r="AA2146" s="4"/>
    </row>
    <row r="2147" spans="27:27" x14ac:dyDescent="0.2">
      <c r="AA2147" s="4"/>
    </row>
    <row r="2148" spans="27:27" x14ac:dyDescent="0.2">
      <c r="AA2148" s="4"/>
    </row>
    <row r="2149" spans="27:27" x14ac:dyDescent="0.2">
      <c r="AA2149" s="4"/>
    </row>
    <row r="2150" spans="27:27" x14ac:dyDescent="0.2">
      <c r="AA2150" s="4"/>
    </row>
    <row r="2151" spans="27:27" x14ac:dyDescent="0.2">
      <c r="AA2151" s="4"/>
    </row>
    <row r="2152" spans="27:27" x14ac:dyDescent="0.2">
      <c r="AA2152" s="4"/>
    </row>
    <row r="2153" spans="27:27" x14ac:dyDescent="0.2">
      <c r="AA2153" s="4"/>
    </row>
    <row r="2154" spans="27:27" x14ac:dyDescent="0.2">
      <c r="AA2154" s="4"/>
    </row>
    <row r="2155" spans="27:27" x14ac:dyDescent="0.2">
      <c r="AA2155" s="4"/>
    </row>
    <row r="2156" spans="27:27" x14ac:dyDescent="0.2">
      <c r="AA2156" s="4"/>
    </row>
    <row r="2157" spans="27:27" x14ac:dyDescent="0.2">
      <c r="AA2157" s="4"/>
    </row>
    <row r="2158" spans="27:27" x14ac:dyDescent="0.2">
      <c r="AA2158" s="4"/>
    </row>
    <row r="2159" spans="27:27" x14ac:dyDescent="0.2">
      <c r="AA2159" s="4"/>
    </row>
    <row r="2160" spans="27:27" x14ac:dyDescent="0.2">
      <c r="AA2160" s="4"/>
    </row>
    <row r="2161" spans="27:27" x14ac:dyDescent="0.2">
      <c r="AA2161" s="4"/>
    </row>
    <row r="2162" spans="27:27" x14ac:dyDescent="0.2">
      <c r="AA2162" s="4"/>
    </row>
    <row r="2163" spans="27:27" x14ac:dyDescent="0.2">
      <c r="AA2163" s="4"/>
    </row>
    <row r="2164" spans="27:27" x14ac:dyDescent="0.2">
      <c r="AA2164" s="4"/>
    </row>
    <row r="2165" spans="27:27" x14ac:dyDescent="0.2">
      <c r="AA2165" s="4"/>
    </row>
    <row r="2166" spans="27:27" x14ac:dyDescent="0.2">
      <c r="AA2166" s="4"/>
    </row>
    <row r="2167" spans="27:27" x14ac:dyDescent="0.2">
      <c r="AA2167" s="4"/>
    </row>
    <row r="2168" spans="27:27" x14ac:dyDescent="0.2">
      <c r="AA2168" s="4"/>
    </row>
    <row r="2169" spans="27:27" x14ac:dyDescent="0.2">
      <c r="AA2169" s="4"/>
    </row>
    <row r="2170" spans="27:27" x14ac:dyDescent="0.2">
      <c r="AA2170" s="4"/>
    </row>
    <row r="2171" spans="27:27" x14ac:dyDescent="0.2">
      <c r="AA2171" s="4"/>
    </row>
    <row r="2172" spans="27:27" x14ac:dyDescent="0.2">
      <c r="AA2172" s="4"/>
    </row>
    <row r="2173" spans="27:27" x14ac:dyDescent="0.2">
      <c r="AA2173" s="4"/>
    </row>
    <row r="2174" spans="27:27" x14ac:dyDescent="0.2">
      <c r="AA2174" s="4"/>
    </row>
    <row r="2175" spans="27:27" x14ac:dyDescent="0.2">
      <c r="AA2175" s="4"/>
    </row>
    <row r="2176" spans="27:27" x14ac:dyDescent="0.2">
      <c r="AA2176" s="4"/>
    </row>
    <row r="2177" spans="27:27" x14ac:dyDescent="0.2">
      <c r="AA2177" s="4"/>
    </row>
    <row r="2178" spans="27:27" x14ac:dyDescent="0.2">
      <c r="AA2178" s="4"/>
    </row>
    <row r="2179" spans="27:27" x14ac:dyDescent="0.2">
      <c r="AA2179" s="4"/>
    </row>
    <row r="2180" spans="27:27" x14ac:dyDescent="0.2">
      <c r="AA2180" s="4"/>
    </row>
    <row r="2181" spans="27:27" x14ac:dyDescent="0.2">
      <c r="AA2181" s="4"/>
    </row>
    <row r="2182" spans="27:27" x14ac:dyDescent="0.2">
      <c r="AA2182" s="4"/>
    </row>
    <row r="2183" spans="27:27" x14ac:dyDescent="0.2">
      <c r="AA2183" s="4"/>
    </row>
    <row r="2184" spans="27:27" x14ac:dyDescent="0.2">
      <c r="AA2184" s="4"/>
    </row>
    <row r="2185" spans="27:27" x14ac:dyDescent="0.2">
      <c r="AA2185" s="4"/>
    </row>
    <row r="2186" spans="27:27" x14ac:dyDescent="0.2">
      <c r="AA2186" s="4"/>
    </row>
    <row r="2187" spans="27:27" x14ac:dyDescent="0.2">
      <c r="AA2187" s="4"/>
    </row>
    <row r="2188" spans="27:27" x14ac:dyDescent="0.2">
      <c r="AA2188" s="4"/>
    </row>
    <row r="2189" spans="27:27" x14ac:dyDescent="0.2">
      <c r="AA2189" s="4"/>
    </row>
    <row r="2190" spans="27:27" x14ac:dyDescent="0.2">
      <c r="AA2190" s="4"/>
    </row>
    <row r="2191" spans="27:27" x14ac:dyDescent="0.2">
      <c r="AA2191" s="4"/>
    </row>
    <row r="2192" spans="27:27" x14ac:dyDescent="0.2">
      <c r="AA2192" s="4"/>
    </row>
    <row r="2193" spans="27:27" x14ac:dyDescent="0.2">
      <c r="AA2193" s="4"/>
    </row>
    <row r="2194" spans="27:27" x14ac:dyDescent="0.2">
      <c r="AA2194" s="4"/>
    </row>
    <row r="2195" spans="27:27" x14ac:dyDescent="0.2">
      <c r="AA2195" s="4"/>
    </row>
    <row r="2196" spans="27:27" x14ac:dyDescent="0.2">
      <c r="AA2196" s="4"/>
    </row>
    <row r="2197" spans="27:27" x14ac:dyDescent="0.2">
      <c r="AA2197" s="4"/>
    </row>
    <row r="2198" spans="27:27" x14ac:dyDescent="0.2">
      <c r="AA2198" s="4"/>
    </row>
    <row r="2199" spans="27:27" x14ac:dyDescent="0.2">
      <c r="AA2199" s="4"/>
    </row>
    <row r="2200" spans="27:27" x14ac:dyDescent="0.2">
      <c r="AA2200" s="4"/>
    </row>
    <row r="2201" spans="27:27" x14ac:dyDescent="0.2">
      <c r="AA2201" s="4"/>
    </row>
    <row r="2202" spans="27:27" x14ac:dyDescent="0.2">
      <c r="AA2202" s="4"/>
    </row>
    <row r="2203" spans="27:27" x14ac:dyDescent="0.2">
      <c r="AA2203" s="4"/>
    </row>
    <row r="2204" spans="27:27" x14ac:dyDescent="0.2">
      <c r="AA2204" s="4"/>
    </row>
    <row r="2205" spans="27:27" x14ac:dyDescent="0.2">
      <c r="AA2205" s="4"/>
    </row>
    <row r="2206" spans="27:27" x14ac:dyDescent="0.2">
      <c r="AA2206" s="4"/>
    </row>
    <row r="2207" spans="27:27" x14ac:dyDescent="0.2">
      <c r="AA2207" s="4"/>
    </row>
    <row r="2208" spans="27:27" x14ac:dyDescent="0.2">
      <c r="AA2208" s="4"/>
    </row>
    <row r="2209" spans="27:27" x14ac:dyDescent="0.2">
      <c r="AA2209" s="4"/>
    </row>
    <row r="2210" spans="27:27" x14ac:dyDescent="0.2">
      <c r="AA2210" s="4"/>
    </row>
    <row r="2211" spans="27:27" x14ac:dyDescent="0.2">
      <c r="AA2211" s="4"/>
    </row>
    <row r="2212" spans="27:27" x14ac:dyDescent="0.2">
      <c r="AA2212" s="4"/>
    </row>
    <row r="2213" spans="27:27" x14ac:dyDescent="0.2">
      <c r="AA2213" s="4"/>
    </row>
    <row r="2214" spans="27:27" x14ac:dyDescent="0.2">
      <c r="AA2214" s="4"/>
    </row>
    <row r="2215" spans="27:27" x14ac:dyDescent="0.2">
      <c r="AA2215" s="4"/>
    </row>
    <row r="2216" spans="27:27" x14ac:dyDescent="0.2">
      <c r="AA2216" s="4"/>
    </row>
    <row r="2217" spans="27:27" x14ac:dyDescent="0.2">
      <c r="AA2217" s="4"/>
    </row>
    <row r="2218" spans="27:27" x14ac:dyDescent="0.2">
      <c r="AA2218" s="4"/>
    </row>
    <row r="2219" spans="27:27" x14ac:dyDescent="0.2">
      <c r="AA2219" s="4"/>
    </row>
    <row r="2220" spans="27:27" x14ac:dyDescent="0.2">
      <c r="AA2220" s="4"/>
    </row>
    <row r="2221" spans="27:27" x14ac:dyDescent="0.2">
      <c r="AA2221" s="4"/>
    </row>
    <row r="2222" spans="27:27" x14ac:dyDescent="0.2">
      <c r="AA2222" s="4"/>
    </row>
    <row r="2223" spans="27:27" x14ac:dyDescent="0.2">
      <c r="AA2223" s="4"/>
    </row>
    <row r="2224" spans="27:27" x14ac:dyDescent="0.2">
      <c r="AA2224" s="4"/>
    </row>
    <row r="2225" spans="27:27" x14ac:dyDescent="0.2">
      <c r="AA2225" s="4"/>
    </row>
    <row r="2226" spans="27:27" x14ac:dyDescent="0.2">
      <c r="AA2226" s="4"/>
    </row>
    <row r="2227" spans="27:27" x14ac:dyDescent="0.2">
      <c r="AA2227" s="4"/>
    </row>
    <row r="2228" spans="27:27" x14ac:dyDescent="0.2">
      <c r="AA2228" s="4"/>
    </row>
    <row r="2229" spans="27:27" x14ac:dyDescent="0.2">
      <c r="AA2229" s="4"/>
    </row>
    <row r="2230" spans="27:27" x14ac:dyDescent="0.2">
      <c r="AA2230" s="4"/>
    </row>
    <row r="2231" spans="27:27" x14ac:dyDescent="0.2">
      <c r="AA2231" s="4"/>
    </row>
    <row r="2232" spans="27:27" x14ac:dyDescent="0.2">
      <c r="AA2232" s="4"/>
    </row>
    <row r="2233" spans="27:27" x14ac:dyDescent="0.2">
      <c r="AA2233" s="4"/>
    </row>
    <row r="2234" spans="27:27" x14ac:dyDescent="0.2">
      <c r="AA2234" s="4"/>
    </row>
    <row r="2235" spans="27:27" x14ac:dyDescent="0.2">
      <c r="AA2235" s="4"/>
    </row>
    <row r="2236" spans="27:27" x14ac:dyDescent="0.2">
      <c r="AA2236" s="4"/>
    </row>
    <row r="2237" spans="27:27" x14ac:dyDescent="0.2">
      <c r="AA2237" s="4"/>
    </row>
    <row r="2238" spans="27:27" x14ac:dyDescent="0.2">
      <c r="AA2238" s="4"/>
    </row>
    <row r="2239" spans="27:27" x14ac:dyDescent="0.2">
      <c r="AA2239" s="4"/>
    </row>
    <row r="2240" spans="27:27" x14ac:dyDescent="0.2">
      <c r="AA2240" s="4"/>
    </row>
    <row r="2241" spans="27:27" x14ac:dyDescent="0.2">
      <c r="AA2241" s="4"/>
    </row>
    <row r="2242" spans="27:27" x14ac:dyDescent="0.2">
      <c r="AA2242" s="4"/>
    </row>
    <row r="2243" spans="27:27" x14ac:dyDescent="0.2">
      <c r="AA2243" s="4"/>
    </row>
    <row r="2244" spans="27:27" x14ac:dyDescent="0.2">
      <c r="AA2244" s="4"/>
    </row>
    <row r="2245" spans="27:27" x14ac:dyDescent="0.2">
      <c r="AA2245" s="4"/>
    </row>
    <row r="2246" spans="27:27" x14ac:dyDescent="0.2">
      <c r="AA2246" s="4"/>
    </row>
    <row r="2247" spans="27:27" x14ac:dyDescent="0.2">
      <c r="AA2247" s="4"/>
    </row>
    <row r="2248" spans="27:27" x14ac:dyDescent="0.2">
      <c r="AA2248" s="4"/>
    </row>
    <row r="2249" spans="27:27" x14ac:dyDescent="0.2">
      <c r="AA2249" s="4"/>
    </row>
    <row r="2250" spans="27:27" x14ac:dyDescent="0.2">
      <c r="AA2250" s="4"/>
    </row>
    <row r="2251" spans="27:27" x14ac:dyDescent="0.2">
      <c r="AA2251" s="4"/>
    </row>
    <row r="2252" spans="27:27" x14ac:dyDescent="0.2">
      <c r="AA2252" s="4"/>
    </row>
    <row r="2253" spans="27:27" x14ac:dyDescent="0.2">
      <c r="AA2253" s="4"/>
    </row>
    <row r="2254" spans="27:27" x14ac:dyDescent="0.2">
      <c r="AA2254" s="4"/>
    </row>
    <row r="2255" spans="27:27" x14ac:dyDescent="0.2">
      <c r="AA2255" s="4"/>
    </row>
    <row r="2256" spans="27:27" x14ac:dyDescent="0.2">
      <c r="AA2256" s="4"/>
    </row>
    <row r="2257" spans="27:27" x14ac:dyDescent="0.2">
      <c r="AA2257" s="4"/>
    </row>
    <row r="2258" spans="27:27" x14ac:dyDescent="0.2">
      <c r="AA2258" s="4"/>
    </row>
    <row r="2259" spans="27:27" x14ac:dyDescent="0.2">
      <c r="AA2259" s="4"/>
    </row>
    <row r="2260" spans="27:27" x14ac:dyDescent="0.2">
      <c r="AA2260" s="4"/>
    </row>
    <row r="2261" spans="27:27" x14ac:dyDescent="0.2">
      <c r="AA2261" s="4"/>
    </row>
    <row r="2262" spans="27:27" x14ac:dyDescent="0.2">
      <c r="AA2262" s="4"/>
    </row>
    <row r="2263" spans="27:27" x14ac:dyDescent="0.2">
      <c r="AA2263" s="4"/>
    </row>
    <row r="2264" spans="27:27" x14ac:dyDescent="0.2">
      <c r="AA2264" s="4"/>
    </row>
    <row r="2265" spans="27:27" x14ac:dyDescent="0.2">
      <c r="AA2265" s="4"/>
    </row>
    <row r="2266" spans="27:27" x14ac:dyDescent="0.2">
      <c r="AA2266" s="4"/>
    </row>
    <row r="2267" spans="27:27" x14ac:dyDescent="0.2">
      <c r="AA2267" s="4"/>
    </row>
    <row r="2268" spans="27:27" x14ac:dyDescent="0.2">
      <c r="AA2268" s="4"/>
    </row>
    <row r="2269" spans="27:27" x14ac:dyDescent="0.2">
      <c r="AA2269" s="4"/>
    </row>
    <row r="2270" spans="27:27" x14ac:dyDescent="0.2">
      <c r="AA2270" s="4"/>
    </row>
    <row r="2271" spans="27:27" x14ac:dyDescent="0.2">
      <c r="AA2271" s="4"/>
    </row>
    <row r="2272" spans="27:27" x14ac:dyDescent="0.2">
      <c r="AA2272" s="4"/>
    </row>
    <row r="2273" spans="27:27" x14ac:dyDescent="0.2">
      <c r="AA2273" s="4"/>
    </row>
    <row r="2274" spans="27:27" x14ac:dyDescent="0.2">
      <c r="AA2274" s="4"/>
    </row>
    <row r="2275" spans="27:27" x14ac:dyDescent="0.2">
      <c r="AA2275" s="4"/>
    </row>
    <row r="2276" spans="27:27" x14ac:dyDescent="0.2">
      <c r="AA2276" s="4"/>
    </row>
    <row r="2277" spans="27:27" x14ac:dyDescent="0.2">
      <c r="AA2277" s="4"/>
    </row>
    <row r="2278" spans="27:27" x14ac:dyDescent="0.2">
      <c r="AA2278" s="4"/>
    </row>
    <row r="2279" spans="27:27" x14ac:dyDescent="0.2">
      <c r="AA2279" s="4"/>
    </row>
    <row r="2280" spans="27:27" x14ac:dyDescent="0.2">
      <c r="AA2280" s="4"/>
    </row>
    <row r="2281" spans="27:27" x14ac:dyDescent="0.2">
      <c r="AA2281" s="4"/>
    </row>
    <row r="2282" spans="27:27" x14ac:dyDescent="0.2">
      <c r="AA2282" s="4"/>
    </row>
    <row r="2283" spans="27:27" x14ac:dyDescent="0.2">
      <c r="AA2283" s="4"/>
    </row>
    <row r="2284" spans="27:27" x14ac:dyDescent="0.2">
      <c r="AA2284" s="4"/>
    </row>
    <row r="2285" spans="27:27" x14ac:dyDescent="0.2">
      <c r="AA2285" s="4"/>
    </row>
    <row r="2286" spans="27:27" x14ac:dyDescent="0.2">
      <c r="AA2286" s="4"/>
    </row>
    <row r="2287" spans="27:27" x14ac:dyDescent="0.2">
      <c r="AA2287" s="4"/>
    </row>
    <row r="2288" spans="27:27" x14ac:dyDescent="0.2">
      <c r="AA2288" s="4"/>
    </row>
    <row r="2289" spans="27:27" x14ac:dyDescent="0.2">
      <c r="AA2289" s="4"/>
    </row>
    <row r="2290" spans="27:27" x14ac:dyDescent="0.2">
      <c r="AA2290" s="4"/>
    </row>
    <row r="2291" spans="27:27" x14ac:dyDescent="0.2">
      <c r="AA2291" s="4"/>
    </row>
    <row r="2292" spans="27:27" x14ac:dyDescent="0.2">
      <c r="AA2292" s="4"/>
    </row>
    <row r="2293" spans="27:27" x14ac:dyDescent="0.2">
      <c r="AA2293" s="4"/>
    </row>
    <row r="2294" spans="27:27" x14ac:dyDescent="0.2">
      <c r="AA2294" s="4"/>
    </row>
    <row r="2295" spans="27:27" x14ac:dyDescent="0.2">
      <c r="AA2295" s="4"/>
    </row>
    <row r="2296" spans="27:27" x14ac:dyDescent="0.2">
      <c r="AA2296" s="4"/>
    </row>
    <row r="2297" spans="27:27" x14ac:dyDescent="0.2">
      <c r="AA2297" s="4"/>
    </row>
    <row r="2298" spans="27:27" x14ac:dyDescent="0.2">
      <c r="AA2298" s="4"/>
    </row>
    <row r="2299" spans="27:27" x14ac:dyDescent="0.2">
      <c r="AA2299" s="4"/>
    </row>
    <row r="2300" spans="27:27" x14ac:dyDescent="0.2">
      <c r="AA2300" s="4"/>
    </row>
    <row r="2301" spans="27:27" x14ac:dyDescent="0.2">
      <c r="AA2301" s="4"/>
    </row>
    <row r="2302" spans="27:27" x14ac:dyDescent="0.2">
      <c r="AA2302" s="4"/>
    </row>
    <row r="2303" spans="27:27" x14ac:dyDescent="0.2">
      <c r="AA2303" s="4"/>
    </row>
    <row r="2304" spans="27:27" x14ac:dyDescent="0.2">
      <c r="AA2304" s="4"/>
    </row>
    <row r="2305" spans="27:27" x14ac:dyDescent="0.2">
      <c r="AA2305" s="4"/>
    </row>
    <row r="2306" spans="27:27" x14ac:dyDescent="0.2">
      <c r="AA2306" s="4"/>
    </row>
    <row r="2307" spans="27:27" x14ac:dyDescent="0.2">
      <c r="AA2307" s="4"/>
    </row>
    <row r="2308" spans="27:27" x14ac:dyDescent="0.2">
      <c r="AA2308" s="4"/>
    </row>
    <row r="2309" spans="27:27" x14ac:dyDescent="0.2">
      <c r="AA2309" s="4"/>
    </row>
    <row r="2310" spans="27:27" x14ac:dyDescent="0.2">
      <c r="AA2310" s="4"/>
    </row>
    <row r="2311" spans="27:27" x14ac:dyDescent="0.2">
      <c r="AA2311" s="4"/>
    </row>
    <row r="2312" spans="27:27" x14ac:dyDescent="0.2">
      <c r="AA2312" s="4"/>
    </row>
    <row r="2313" spans="27:27" x14ac:dyDescent="0.2">
      <c r="AA2313" s="4"/>
    </row>
    <row r="2314" spans="27:27" x14ac:dyDescent="0.2">
      <c r="AA2314" s="4"/>
    </row>
    <row r="2315" spans="27:27" x14ac:dyDescent="0.2">
      <c r="AA2315" s="4"/>
    </row>
    <row r="2316" spans="27:27" x14ac:dyDescent="0.2">
      <c r="AA2316" s="4"/>
    </row>
    <row r="2317" spans="27:27" x14ac:dyDescent="0.2">
      <c r="AA2317" s="4"/>
    </row>
    <row r="2318" spans="27:27" x14ac:dyDescent="0.2">
      <c r="AA2318" s="4"/>
    </row>
    <row r="2319" spans="27:27" x14ac:dyDescent="0.2">
      <c r="AA2319" s="4"/>
    </row>
    <row r="2320" spans="27:27" x14ac:dyDescent="0.2">
      <c r="AA2320" s="4"/>
    </row>
    <row r="2321" spans="27:27" x14ac:dyDescent="0.2">
      <c r="AA2321" s="4"/>
    </row>
    <row r="2322" spans="27:27" x14ac:dyDescent="0.2">
      <c r="AA2322" s="4"/>
    </row>
    <row r="2323" spans="27:27" x14ac:dyDescent="0.2">
      <c r="AA2323" s="4"/>
    </row>
    <row r="2324" spans="27:27" x14ac:dyDescent="0.2">
      <c r="AA2324" s="4"/>
    </row>
    <row r="2325" spans="27:27" x14ac:dyDescent="0.2">
      <c r="AA2325" s="4"/>
    </row>
    <row r="2326" spans="27:27" x14ac:dyDescent="0.2">
      <c r="AA2326" s="4"/>
    </row>
    <row r="2327" spans="27:27" x14ac:dyDescent="0.2">
      <c r="AA2327" s="4"/>
    </row>
    <row r="2328" spans="27:27" x14ac:dyDescent="0.2">
      <c r="AA2328" s="4"/>
    </row>
    <row r="2329" spans="27:27" x14ac:dyDescent="0.2">
      <c r="AA2329" s="4"/>
    </row>
    <row r="2330" spans="27:27" x14ac:dyDescent="0.2">
      <c r="AA2330" s="4"/>
    </row>
    <row r="2331" spans="27:27" x14ac:dyDescent="0.2">
      <c r="AA2331" s="4"/>
    </row>
    <row r="2332" spans="27:27" x14ac:dyDescent="0.2">
      <c r="AA2332" s="4"/>
    </row>
    <row r="2333" spans="27:27" x14ac:dyDescent="0.2">
      <c r="AA2333" s="4"/>
    </row>
    <row r="2334" spans="27:27" x14ac:dyDescent="0.2">
      <c r="AA2334" s="4"/>
    </row>
    <row r="2335" spans="27:27" x14ac:dyDescent="0.2">
      <c r="AA2335" s="4"/>
    </row>
    <row r="2336" spans="27:27" x14ac:dyDescent="0.2">
      <c r="AA2336" s="4"/>
    </row>
    <row r="2337" spans="27:27" x14ac:dyDescent="0.2">
      <c r="AA2337" s="4"/>
    </row>
    <row r="2338" spans="27:27" x14ac:dyDescent="0.2">
      <c r="AA2338" s="4"/>
    </row>
    <row r="2339" spans="27:27" x14ac:dyDescent="0.2">
      <c r="AA2339" s="4"/>
    </row>
    <row r="2340" spans="27:27" x14ac:dyDescent="0.2">
      <c r="AA2340" s="4"/>
    </row>
    <row r="2341" spans="27:27" x14ac:dyDescent="0.2">
      <c r="AA2341" s="4"/>
    </row>
    <row r="2342" spans="27:27" x14ac:dyDescent="0.2">
      <c r="AA2342" s="4"/>
    </row>
    <row r="2343" spans="27:27" x14ac:dyDescent="0.2">
      <c r="AA2343" s="4"/>
    </row>
    <row r="2344" spans="27:27" x14ac:dyDescent="0.2">
      <c r="AA2344" s="4"/>
    </row>
    <row r="2345" spans="27:27" x14ac:dyDescent="0.2">
      <c r="AA2345" s="4"/>
    </row>
    <row r="2346" spans="27:27" x14ac:dyDescent="0.2">
      <c r="AA2346" s="4"/>
    </row>
    <row r="2347" spans="27:27" x14ac:dyDescent="0.2">
      <c r="AA2347" s="4"/>
    </row>
    <row r="2348" spans="27:27" x14ac:dyDescent="0.2">
      <c r="AA2348" s="4"/>
    </row>
    <row r="2349" spans="27:27" x14ac:dyDescent="0.2">
      <c r="AA2349" s="4"/>
    </row>
    <row r="2350" spans="27:27" x14ac:dyDescent="0.2">
      <c r="AA2350" s="4"/>
    </row>
    <row r="2351" spans="27:27" x14ac:dyDescent="0.2">
      <c r="AA2351" s="4"/>
    </row>
    <row r="2352" spans="27:27" x14ac:dyDescent="0.2">
      <c r="AA2352" s="4"/>
    </row>
    <row r="2353" spans="27:27" x14ac:dyDescent="0.2">
      <c r="AA2353" s="4"/>
    </row>
    <row r="2354" spans="27:27" x14ac:dyDescent="0.2">
      <c r="AA2354" s="4"/>
    </row>
    <row r="2355" spans="27:27" x14ac:dyDescent="0.2">
      <c r="AA2355" s="4"/>
    </row>
    <row r="2356" spans="27:27" x14ac:dyDescent="0.2">
      <c r="AA2356" s="4"/>
    </row>
    <row r="2357" spans="27:27" x14ac:dyDescent="0.2">
      <c r="AA2357" s="4"/>
    </row>
    <row r="2358" spans="27:27" x14ac:dyDescent="0.2">
      <c r="AA2358" s="4"/>
    </row>
    <row r="2359" spans="27:27" x14ac:dyDescent="0.2">
      <c r="AA2359" s="4"/>
    </row>
    <row r="2360" spans="27:27" x14ac:dyDescent="0.2">
      <c r="AA2360" s="4"/>
    </row>
    <row r="2361" spans="27:27" x14ac:dyDescent="0.2">
      <c r="AA2361" s="4"/>
    </row>
    <row r="2362" spans="27:27" x14ac:dyDescent="0.2">
      <c r="AA2362" s="4"/>
    </row>
    <row r="2363" spans="27:27" x14ac:dyDescent="0.2">
      <c r="AA2363" s="4"/>
    </row>
    <row r="2364" spans="27:27" x14ac:dyDescent="0.2">
      <c r="AA2364" s="4"/>
    </row>
    <row r="2365" spans="27:27" x14ac:dyDescent="0.2">
      <c r="AA2365" s="4"/>
    </row>
    <row r="2366" spans="27:27" x14ac:dyDescent="0.2">
      <c r="AA2366" s="4"/>
    </row>
    <row r="2367" spans="27:27" x14ac:dyDescent="0.2">
      <c r="AA2367" s="4"/>
    </row>
    <row r="2368" spans="27:27" x14ac:dyDescent="0.2">
      <c r="AA2368" s="4"/>
    </row>
    <row r="2369" spans="27:27" x14ac:dyDescent="0.2">
      <c r="AA2369" s="4"/>
    </row>
    <row r="2370" spans="27:27" x14ac:dyDescent="0.2">
      <c r="AA2370" s="4"/>
    </row>
    <row r="2371" spans="27:27" x14ac:dyDescent="0.2">
      <c r="AA2371" s="4"/>
    </row>
    <row r="2372" spans="27:27" x14ac:dyDescent="0.2">
      <c r="AA2372" s="4"/>
    </row>
    <row r="2373" spans="27:27" x14ac:dyDescent="0.2">
      <c r="AA2373" s="4"/>
    </row>
    <row r="2374" spans="27:27" x14ac:dyDescent="0.2">
      <c r="AA2374" s="4"/>
    </row>
    <row r="2375" spans="27:27" x14ac:dyDescent="0.2">
      <c r="AA2375" s="4"/>
    </row>
    <row r="2376" spans="27:27" x14ac:dyDescent="0.2">
      <c r="AA2376" s="4"/>
    </row>
    <row r="2377" spans="27:27" x14ac:dyDescent="0.2">
      <c r="AA2377" s="4"/>
    </row>
    <row r="2378" spans="27:27" x14ac:dyDescent="0.2">
      <c r="AA2378" s="4"/>
    </row>
    <row r="2379" spans="27:27" x14ac:dyDescent="0.2">
      <c r="AA2379" s="4"/>
    </row>
    <row r="2380" spans="27:27" x14ac:dyDescent="0.2">
      <c r="AA2380" s="4"/>
    </row>
    <row r="2381" spans="27:27" x14ac:dyDescent="0.2">
      <c r="AA2381" s="4"/>
    </row>
    <row r="2382" spans="27:27" x14ac:dyDescent="0.2">
      <c r="AA2382" s="4"/>
    </row>
    <row r="2383" spans="27:27" x14ac:dyDescent="0.2">
      <c r="AA2383" s="4"/>
    </row>
    <row r="2384" spans="27:27" x14ac:dyDescent="0.2">
      <c r="AA2384" s="4"/>
    </row>
    <row r="2385" spans="27:27" x14ac:dyDescent="0.2">
      <c r="AA2385" s="4"/>
    </row>
    <row r="2386" spans="27:27" x14ac:dyDescent="0.2">
      <c r="AA2386" s="4"/>
    </row>
    <row r="2387" spans="27:27" x14ac:dyDescent="0.2">
      <c r="AA2387" s="4"/>
    </row>
    <row r="2388" spans="27:27" x14ac:dyDescent="0.2">
      <c r="AA2388" s="4"/>
    </row>
    <row r="2389" spans="27:27" x14ac:dyDescent="0.2">
      <c r="AA2389" s="4"/>
    </row>
    <row r="2390" spans="27:27" x14ac:dyDescent="0.2">
      <c r="AA2390" s="4"/>
    </row>
    <row r="2391" spans="27:27" x14ac:dyDescent="0.2">
      <c r="AA2391" s="4"/>
    </row>
    <row r="2392" spans="27:27" x14ac:dyDescent="0.2">
      <c r="AA2392" s="4"/>
    </row>
    <row r="2393" spans="27:27" x14ac:dyDescent="0.2">
      <c r="AA2393" s="4"/>
    </row>
    <row r="2394" spans="27:27" x14ac:dyDescent="0.2">
      <c r="AA2394" s="4"/>
    </row>
    <row r="2395" spans="27:27" x14ac:dyDescent="0.2">
      <c r="AA2395" s="4"/>
    </row>
    <row r="2396" spans="27:27" x14ac:dyDescent="0.2">
      <c r="AA2396" s="4"/>
    </row>
    <row r="2397" spans="27:27" x14ac:dyDescent="0.2">
      <c r="AA2397" s="4"/>
    </row>
    <row r="2398" spans="27:27" x14ac:dyDescent="0.2">
      <c r="AA2398" s="4"/>
    </row>
    <row r="2399" spans="27:27" x14ac:dyDescent="0.2">
      <c r="AA2399" s="4"/>
    </row>
    <row r="2400" spans="27:27" x14ac:dyDescent="0.2">
      <c r="AA2400" s="4"/>
    </row>
    <row r="2401" spans="27:27" x14ac:dyDescent="0.2">
      <c r="AA2401" s="4"/>
    </row>
    <row r="2402" spans="27:27" x14ac:dyDescent="0.2">
      <c r="AA2402" s="4"/>
    </row>
    <row r="2403" spans="27:27" x14ac:dyDescent="0.2">
      <c r="AA2403" s="4"/>
    </row>
    <row r="2404" spans="27:27" x14ac:dyDescent="0.2">
      <c r="AA2404" s="4"/>
    </row>
    <row r="2405" spans="27:27" x14ac:dyDescent="0.2">
      <c r="AA2405" s="4"/>
    </row>
    <row r="2406" spans="27:27" x14ac:dyDescent="0.2">
      <c r="AA2406" s="4"/>
    </row>
    <row r="2407" spans="27:27" x14ac:dyDescent="0.2">
      <c r="AA2407" s="4"/>
    </row>
    <row r="2408" spans="27:27" x14ac:dyDescent="0.2">
      <c r="AA2408" s="4"/>
    </row>
    <row r="2409" spans="27:27" x14ac:dyDescent="0.2">
      <c r="AA2409" s="4"/>
    </row>
    <row r="2410" spans="27:27" x14ac:dyDescent="0.2">
      <c r="AA2410" s="4"/>
    </row>
    <row r="2411" spans="27:27" x14ac:dyDescent="0.2">
      <c r="AA2411" s="4"/>
    </row>
    <row r="2412" spans="27:27" x14ac:dyDescent="0.2">
      <c r="AA2412" s="4"/>
    </row>
    <row r="2413" spans="27:27" x14ac:dyDescent="0.2">
      <c r="AA2413" s="4"/>
    </row>
    <row r="2414" spans="27:27" x14ac:dyDescent="0.2">
      <c r="AA2414" s="4"/>
    </row>
    <row r="2415" spans="27:27" x14ac:dyDescent="0.2">
      <c r="AA2415" s="4"/>
    </row>
    <row r="2416" spans="27:27" x14ac:dyDescent="0.2">
      <c r="AA2416" s="4"/>
    </row>
    <row r="2417" spans="27:27" x14ac:dyDescent="0.2">
      <c r="AA2417" s="4"/>
    </row>
    <row r="2418" spans="27:27" x14ac:dyDescent="0.2">
      <c r="AA2418" s="4"/>
    </row>
    <row r="2419" spans="27:27" x14ac:dyDescent="0.2">
      <c r="AA2419" s="4"/>
    </row>
    <row r="2420" spans="27:27" x14ac:dyDescent="0.2">
      <c r="AA2420" s="4"/>
    </row>
    <row r="2421" spans="27:27" x14ac:dyDescent="0.2">
      <c r="AA2421" s="4"/>
    </row>
    <row r="2422" spans="27:27" x14ac:dyDescent="0.2">
      <c r="AA2422" s="4"/>
    </row>
    <row r="2423" spans="27:27" x14ac:dyDescent="0.2">
      <c r="AA2423" s="4"/>
    </row>
    <row r="2424" spans="27:27" x14ac:dyDescent="0.2">
      <c r="AA2424" s="4"/>
    </row>
    <row r="2425" spans="27:27" x14ac:dyDescent="0.2">
      <c r="AA2425" s="4"/>
    </row>
    <row r="2426" spans="27:27" x14ac:dyDescent="0.2">
      <c r="AA2426" s="4"/>
    </row>
    <row r="2427" spans="27:27" x14ac:dyDescent="0.2">
      <c r="AA2427" s="4"/>
    </row>
    <row r="2428" spans="27:27" x14ac:dyDescent="0.2">
      <c r="AA2428" s="4"/>
    </row>
    <row r="2429" spans="27:27" x14ac:dyDescent="0.2">
      <c r="AA2429" s="4"/>
    </row>
    <row r="2430" spans="27:27" x14ac:dyDescent="0.2">
      <c r="AA2430" s="4"/>
    </row>
    <row r="2431" spans="27:27" x14ac:dyDescent="0.2">
      <c r="AA2431" s="4"/>
    </row>
    <row r="2432" spans="27:27" x14ac:dyDescent="0.2">
      <c r="AA2432" s="4"/>
    </row>
    <row r="2433" spans="27:27" x14ac:dyDescent="0.2">
      <c r="AA2433" s="4"/>
    </row>
    <row r="2434" spans="27:27" x14ac:dyDescent="0.2">
      <c r="AA2434" s="4"/>
    </row>
    <row r="2435" spans="27:27" x14ac:dyDescent="0.2">
      <c r="AA2435" s="4"/>
    </row>
    <row r="2436" spans="27:27" x14ac:dyDescent="0.2">
      <c r="AA2436" s="4"/>
    </row>
    <row r="2437" spans="27:27" x14ac:dyDescent="0.2">
      <c r="AA2437" s="4"/>
    </row>
    <row r="2438" spans="27:27" x14ac:dyDescent="0.2">
      <c r="AA2438" s="4"/>
    </row>
    <row r="2439" spans="27:27" x14ac:dyDescent="0.2">
      <c r="AA2439" s="4"/>
    </row>
    <row r="2440" spans="27:27" x14ac:dyDescent="0.2">
      <c r="AA2440" s="4"/>
    </row>
    <row r="2441" spans="27:27" x14ac:dyDescent="0.2">
      <c r="AA2441" s="4"/>
    </row>
    <row r="2442" spans="27:27" x14ac:dyDescent="0.2">
      <c r="AA2442" s="4"/>
    </row>
    <row r="2443" spans="27:27" x14ac:dyDescent="0.2">
      <c r="AA2443" s="4"/>
    </row>
    <row r="2444" spans="27:27" x14ac:dyDescent="0.2">
      <c r="AA2444" s="4"/>
    </row>
    <row r="2445" spans="27:27" x14ac:dyDescent="0.2">
      <c r="AA2445" s="4"/>
    </row>
    <row r="2446" spans="27:27" x14ac:dyDescent="0.2">
      <c r="AA2446" s="4"/>
    </row>
    <row r="2447" spans="27:27" x14ac:dyDescent="0.2">
      <c r="AA2447" s="4"/>
    </row>
    <row r="2448" spans="27:27" x14ac:dyDescent="0.2">
      <c r="AA2448" s="4"/>
    </row>
    <row r="2449" spans="27:27" x14ac:dyDescent="0.2">
      <c r="AA2449" s="4"/>
    </row>
    <row r="2450" spans="27:27" x14ac:dyDescent="0.2">
      <c r="AA2450" s="4"/>
    </row>
    <row r="2451" spans="27:27" x14ac:dyDescent="0.2">
      <c r="AA2451" s="4"/>
    </row>
    <row r="2452" spans="27:27" x14ac:dyDescent="0.2">
      <c r="AA2452" s="4"/>
    </row>
    <row r="2453" spans="27:27" x14ac:dyDescent="0.2">
      <c r="AA2453" s="4"/>
    </row>
    <row r="2454" spans="27:27" x14ac:dyDescent="0.2">
      <c r="AA2454" s="4"/>
    </row>
    <row r="2455" spans="27:27" x14ac:dyDescent="0.2">
      <c r="AA2455" s="4"/>
    </row>
    <row r="2456" spans="27:27" x14ac:dyDescent="0.2">
      <c r="AA2456" s="4"/>
    </row>
    <row r="2457" spans="27:27" x14ac:dyDescent="0.2">
      <c r="AA2457" s="4"/>
    </row>
    <row r="2458" spans="27:27" x14ac:dyDescent="0.2">
      <c r="AA2458" s="4"/>
    </row>
    <row r="2459" spans="27:27" x14ac:dyDescent="0.2">
      <c r="AA2459" s="4"/>
    </row>
    <row r="2460" spans="27:27" x14ac:dyDescent="0.2">
      <c r="AA2460" s="4"/>
    </row>
    <row r="2461" spans="27:27" x14ac:dyDescent="0.2">
      <c r="AA2461" s="4"/>
    </row>
    <row r="2462" spans="27:27" x14ac:dyDescent="0.2">
      <c r="AA2462" s="4"/>
    </row>
    <row r="2463" spans="27:27" x14ac:dyDescent="0.2">
      <c r="AA2463" s="4"/>
    </row>
    <row r="2464" spans="27:27" x14ac:dyDescent="0.2">
      <c r="AA2464" s="4"/>
    </row>
    <row r="2465" spans="27:27" x14ac:dyDescent="0.2">
      <c r="AA2465" s="4"/>
    </row>
    <row r="2466" spans="27:27" x14ac:dyDescent="0.2">
      <c r="AA2466" s="4"/>
    </row>
    <row r="2467" spans="27:27" x14ac:dyDescent="0.2">
      <c r="AA2467" s="4"/>
    </row>
    <row r="2468" spans="27:27" x14ac:dyDescent="0.2">
      <c r="AA2468" s="4"/>
    </row>
    <row r="2469" spans="27:27" x14ac:dyDescent="0.2">
      <c r="AA2469" s="4"/>
    </row>
    <row r="2470" spans="27:27" x14ac:dyDescent="0.2">
      <c r="AA2470" s="4"/>
    </row>
    <row r="2471" spans="27:27" x14ac:dyDescent="0.2">
      <c r="AA2471" s="4"/>
    </row>
    <row r="2472" spans="27:27" x14ac:dyDescent="0.2">
      <c r="AA2472" s="4"/>
    </row>
    <row r="2473" spans="27:27" x14ac:dyDescent="0.2">
      <c r="AA2473" s="4"/>
    </row>
    <row r="2474" spans="27:27" x14ac:dyDescent="0.2">
      <c r="AA2474" s="4"/>
    </row>
    <row r="2475" spans="27:27" x14ac:dyDescent="0.2">
      <c r="AA2475" s="4"/>
    </row>
    <row r="2476" spans="27:27" x14ac:dyDescent="0.2">
      <c r="AA2476" s="4"/>
    </row>
    <row r="2477" spans="27:27" x14ac:dyDescent="0.2">
      <c r="AA2477" s="4"/>
    </row>
    <row r="2478" spans="27:27" x14ac:dyDescent="0.2">
      <c r="AA2478" s="4"/>
    </row>
    <row r="2479" spans="27:27" x14ac:dyDescent="0.2">
      <c r="AA2479" s="4"/>
    </row>
    <row r="2480" spans="27:27" x14ac:dyDescent="0.2">
      <c r="AA2480" s="4"/>
    </row>
    <row r="2481" spans="27:27" x14ac:dyDescent="0.2">
      <c r="AA2481" s="4"/>
    </row>
    <row r="2482" spans="27:27" x14ac:dyDescent="0.2">
      <c r="AA2482" s="4"/>
    </row>
    <row r="2483" spans="27:27" x14ac:dyDescent="0.2">
      <c r="AA2483" s="4"/>
    </row>
    <row r="2484" spans="27:27" x14ac:dyDescent="0.2">
      <c r="AA2484" s="4"/>
    </row>
    <row r="2485" spans="27:27" x14ac:dyDescent="0.2">
      <c r="AA2485" s="4"/>
    </row>
    <row r="2486" spans="27:27" x14ac:dyDescent="0.2">
      <c r="AA2486" s="4"/>
    </row>
    <row r="2487" spans="27:27" x14ac:dyDescent="0.2">
      <c r="AA2487" s="4"/>
    </row>
    <row r="2488" spans="27:27" x14ac:dyDescent="0.2">
      <c r="AA2488" s="4"/>
    </row>
    <row r="2489" spans="27:27" x14ac:dyDescent="0.2">
      <c r="AA2489" s="4"/>
    </row>
    <row r="2490" spans="27:27" x14ac:dyDescent="0.2">
      <c r="AA2490" s="4"/>
    </row>
    <row r="2491" spans="27:27" x14ac:dyDescent="0.2">
      <c r="AA2491" s="4"/>
    </row>
    <row r="2492" spans="27:27" x14ac:dyDescent="0.2">
      <c r="AA2492" s="4"/>
    </row>
    <row r="2493" spans="27:27" x14ac:dyDescent="0.2">
      <c r="AA2493" s="4"/>
    </row>
    <row r="2494" spans="27:27" x14ac:dyDescent="0.2">
      <c r="AA2494" s="4"/>
    </row>
    <row r="2495" spans="27:27" x14ac:dyDescent="0.2">
      <c r="AA2495" s="4"/>
    </row>
    <row r="2496" spans="27:27" x14ac:dyDescent="0.2">
      <c r="AA2496" s="4"/>
    </row>
    <row r="2497" spans="27:27" x14ac:dyDescent="0.2">
      <c r="AA2497" s="4"/>
    </row>
    <row r="2498" spans="27:27" x14ac:dyDescent="0.2">
      <c r="AA2498" s="4"/>
    </row>
    <row r="2499" spans="27:27" x14ac:dyDescent="0.2">
      <c r="AA2499" s="4"/>
    </row>
    <row r="2500" spans="27:27" x14ac:dyDescent="0.2">
      <c r="AA2500" s="4"/>
    </row>
    <row r="2501" spans="27:27" x14ac:dyDescent="0.2">
      <c r="AA2501" s="4"/>
    </row>
    <row r="2502" spans="27:27" x14ac:dyDescent="0.2">
      <c r="AA2502" s="4"/>
    </row>
    <row r="2503" spans="27:27" x14ac:dyDescent="0.2">
      <c r="AA2503" s="4"/>
    </row>
    <row r="2504" spans="27:27" x14ac:dyDescent="0.2">
      <c r="AA2504" s="4"/>
    </row>
    <row r="2505" spans="27:27" x14ac:dyDescent="0.2">
      <c r="AA2505" s="4"/>
    </row>
    <row r="2506" spans="27:27" x14ac:dyDescent="0.2">
      <c r="AA2506" s="4"/>
    </row>
    <row r="2507" spans="27:27" x14ac:dyDescent="0.2">
      <c r="AA2507" s="4"/>
    </row>
    <row r="2508" spans="27:27" x14ac:dyDescent="0.2">
      <c r="AA2508" s="4"/>
    </row>
    <row r="2509" spans="27:27" x14ac:dyDescent="0.2">
      <c r="AA2509" s="4"/>
    </row>
    <row r="2510" spans="27:27" x14ac:dyDescent="0.2">
      <c r="AA2510" s="4"/>
    </row>
    <row r="2511" spans="27:27" x14ac:dyDescent="0.2">
      <c r="AA2511" s="4"/>
    </row>
    <row r="2512" spans="27:27" x14ac:dyDescent="0.2">
      <c r="AA2512" s="4"/>
    </row>
    <row r="2513" spans="27:27" x14ac:dyDescent="0.2">
      <c r="AA2513" s="4"/>
    </row>
    <row r="2514" spans="27:27" x14ac:dyDescent="0.2">
      <c r="AA2514" s="4"/>
    </row>
    <row r="2515" spans="27:27" x14ac:dyDescent="0.2">
      <c r="AA2515" s="4"/>
    </row>
    <row r="2516" spans="27:27" x14ac:dyDescent="0.2">
      <c r="AA2516" s="4"/>
    </row>
    <row r="2517" spans="27:27" x14ac:dyDescent="0.2">
      <c r="AA2517" s="4"/>
    </row>
    <row r="2518" spans="27:27" x14ac:dyDescent="0.2">
      <c r="AA2518" s="4"/>
    </row>
    <row r="2519" spans="27:27" x14ac:dyDescent="0.2">
      <c r="AA2519" s="4"/>
    </row>
    <row r="2520" spans="27:27" x14ac:dyDescent="0.2">
      <c r="AA2520" s="4"/>
    </row>
    <row r="2521" spans="27:27" x14ac:dyDescent="0.2">
      <c r="AA2521" s="4"/>
    </row>
    <row r="2522" spans="27:27" x14ac:dyDescent="0.2">
      <c r="AA2522" s="4"/>
    </row>
    <row r="2523" spans="27:27" x14ac:dyDescent="0.2">
      <c r="AA2523" s="4"/>
    </row>
    <row r="2524" spans="27:27" x14ac:dyDescent="0.2">
      <c r="AA2524" s="4"/>
    </row>
    <row r="2525" spans="27:27" x14ac:dyDescent="0.2">
      <c r="AA2525" s="4"/>
    </row>
    <row r="2526" spans="27:27" x14ac:dyDescent="0.2">
      <c r="AA2526" s="4"/>
    </row>
    <row r="2527" spans="27:27" x14ac:dyDescent="0.2">
      <c r="AA2527" s="4"/>
    </row>
    <row r="2528" spans="27:27" x14ac:dyDescent="0.2">
      <c r="AA2528" s="4"/>
    </row>
    <row r="2529" spans="27:27" x14ac:dyDescent="0.2">
      <c r="AA2529" s="4"/>
    </row>
    <row r="2530" spans="27:27" x14ac:dyDescent="0.2">
      <c r="AA2530" s="4"/>
    </row>
    <row r="2531" spans="27:27" x14ac:dyDescent="0.2">
      <c r="AA2531" s="4"/>
    </row>
    <row r="2532" spans="27:27" x14ac:dyDescent="0.2">
      <c r="AA2532" s="4"/>
    </row>
    <row r="2533" spans="27:27" x14ac:dyDescent="0.2">
      <c r="AA2533" s="4"/>
    </row>
    <row r="2534" spans="27:27" x14ac:dyDescent="0.2">
      <c r="AA2534" s="4"/>
    </row>
    <row r="2535" spans="27:27" x14ac:dyDescent="0.2">
      <c r="AA2535" s="4"/>
    </row>
    <row r="2536" spans="27:27" x14ac:dyDescent="0.2">
      <c r="AA2536" s="4"/>
    </row>
    <row r="2537" spans="27:27" x14ac:dyDescent="0.2">
      <c r="AA2537" s="4"/>
    </row>
    <row r="2538" spans="27:27" x14ac:dyDescent="0.2">
      <c r="AA2538" s="4"/>
    </row>
    <row r="2539" spans="27:27" x14ac:dyDescent="0.2">
      <c r="AA2539" s="4"/>
    </row>
    <row r="2540" spans="27:27" x14ac:dyDescent="0.2">
      <c r="AA2540" s="4"/>
    </row>
    <row r="2541" spans="27:27" x14ac:dyDescent="0.2">
      <c r="AA2541" s="4"/>
    </row>
    <row r="2542" spans="27:27" x14ac:dyDescent="0.2">
      <c r="AA2542" s="4"/>
    </row>
    <row r="2543" spans="27:27" x14ac:dyDescent="0.2">
      <c r="AA2543" s="4"/>
    </row>
    <row r="2544" spans="27:27" x14ac:dyDescent="0.2">
      <c r="AA2544" s="4"/>
    </row>
    <row r="2545" spans="27:27" x14ac:dyDescent="0.2">
      <c r="AA2545" s="4"/>
    </row>
    <row r="2546" spans="27:27" x14ac:dyDescent="0.2">
      <c r="AA2546" s="4"/>
    </row>
    <row r="2547" spans="27:27" x14ac:dyDescent="0.2">
      <c r="AA2547" s="4"/>
    </row>
    <row r="2548" spans="27:27" x14ac:dyDescent="0.2">
      <c r="AA2548" s="4"/>
    </row>
    <row r="2549" spans="27:27" x14ac:dyDescent="0.2">
      <c r="AA2549" s="4"/>
    </row>
    <row r="2550" spans="27:27" x14ac:dyDescent="0.2">
      <c r="AA2550" s="4"/>
    </row>
    <row r="2551" spans="27:27" x14ac:dyDescent="0.2">
      <c r="AA2551" s="4"/>
    </row>
    <row r="2552" spans="27:27" x14ac:dyDescent="0.2">
      <c r="AA2552" s="4"/>
    </row>
    <row r="2553" spans="27:27" x14ac:dyDescent="0.2">
      <c r="AA2553" s="4"/>
    </row>
    <row r="2554" spans="27:27" x14ac:dyDescent="0.2">
      <c r="AA2554" s="4"/>
    </row>
    <row r="2555" spans="27:27" x14ac:dyDescent="0.2">
      <c r="AA2555" s="4"/>
    </row>
    <row r="2556" spans="27:27" x14ac:dyDescent="0.2">
      <c r="AA2556" s="4"/>
    </row>
    <row r="2557" spans="27:27" x14ac:dyDescent="0.2">
      <c r="AA2557" s="4"/>
    </row>
    <row r="2558" spans="27:27" x14ac:dyDescent="0.2">
      <c r="AA2558" s="4"/>
    </row>
    <row r="2559" spans="27:27" x14ac:dyDescent="0.2">
      <c r="AA2559" s="4"/>
    </row>
    <row r="2560" spans="27:27" x14ac:dyDescent="0.2">
      <c r="AA2560" s="4"/>
    </row>
    <row r="2561" spans="27:27" x14ac:dyDescent="0.2">
      <c r="AA2561" s="4"/>
    </row>
    <row r="2562" spans="27:27" x14ac:dyDescent="0.2">
      <c r="AA2562" s="4"/>
    </row>
    <row r="2563" spans="27:27" x14ac:dyDescent="0.2">
      <c r="AA2563" s="4"/>
    </row>
    <row r="2564" spans="27:27" x14ac:dyDescent="0.2">
      <c r="AA2564" s="4"/>
    </row>
    <row r="2565" spans="27:27" x14ac:dyDescent="0.2">
      <c r="AA2565" s="4"/>
    </row>
    <row r="2566" spans="27:27" x14ac:dyDescent="0.2">
      <c r="AA2566" s="4"/>
    </row>
    <row r="2567" spans="27:27" x14ac:dyDescent="0.2">
      <c r="AA2567" s="4"/>
    </row>
    <row r="2568" spans="27:27" x14ac:dyDescent="0.2">
      <c r="AA2568" s="4"/>
    </row>
    <row r="2569" spans="27:27" x14ac:dyDescent="0.2">
      <c r="AA2569" s="4"/>
    </row>
    <row r="2570" spans="27:27" x14ac:dyDescent="0.2">
      <c r="AA2570" s="4"/>
    </row>
    <row r="2571" spans="27:27" x14ac:dyDescent="0.2">
      <c r="AA2571" s="4"/>
    </row>
    <row r="2572" spans="27:27" x14ac:dyDescent="0.2">
      <c r="AA2572" s="4"/>
    </row>
    <row r="2573" spans="27:27" x14ac:dyDescent="0.2">
      <c r="AA2573" s="4"/>
    </row>
    <row r="2574" spans="27:27" x14ac:dyDescent="0.2">
      <c r="AA2574" s="4"/>
    </row>
    <row r="2575" spans="27:27" x14ac:dyDescent="0.2">
      <c r="AA2575" s="4"/>
    </row>
    <row r="2576" spans="27:27" x14ac:dyDescent="0.2">
      <c r="AA2576" s="4"/>
    </row>
    <row r="2577" spans="27:27" x14ac:dyDescent="0.2">
      <c r="AA2577" s="4"/>
    </row>
    <row r="2578" spans="27:27" x14ac:dyDescent="0.2">
      <c r="AA2578" s="4"/>
    </row>
    <row r="2579" spans="27:27" x14ac:dyDescent="0.2">
      <c r="AA2579" s="4"/>
    </row>
    <row r="2580" spans="27:27" x14ac:dyDescent="0.2">
      <c r="AA2580" s="4"/>
    </row>
    <row r="2581" spans="27:27" x14ac:dyDescent="0.2">
      <c r="AA2581" s="4"/>
    </row>
    <row r="2582" spans="27:27" x14ac:dyDescent="0.2">
      <c r="AA2582" s="4"/>
    </row>
    <row r="2583" spans="27:27" x14ac:dyDescent="0.2">
      <c r="AA2583" s="4"/>
    </row>
    <row r="2584" spans="27:27" x14ac:dyDescent="0.2">
      <c r="AA2584" s="4"/>
    </row>
    <row r="2585" spans="27:27" x14ac:dyDescent="0.2">
      <c r="AA2585" s="4"/>
    </row>
    <row r="2586" spans="27:27" x14ac:dyDescent="0.2">
      <c r="AA2586" s="4"/>
    </row>
    <row r="2587" spans="27:27" x14ac:dyDescent="0.2">
      <c r="AA2587" s="4"/>
    </row>
    <row r="2588" spans="27:27" x14ac:dyDescent="0.2">
      <c r="AA2588" s="4"/>
    </row>
    <row r="2589" spans="27:27" x14ac:dyDescent="0.2">
      <c r="AA2589" s="4"/>
    </row>
    <row r="2590" spans="27:27" x14ac:dyDescent="0.2">
      <c r="AA2590" s="4"/>
    </row>
    <row r="2591" spans="27:27" x14ac:dyDescent="0.2">
      <c r="AA2591" s="4"/>
    </row>
    <row r="2592" spans="27:27" x14ac:dyDescent="0.2">
      <c r="AA2592" s="4"/>
    </row>
    <row r="2593" spans="27:27" x14ac:dyDescent="0.2">
      <c r="AA2593" s="4"/>
    </row>
    <row r="2594" spans="27:27" x14ac:dyDescent="0.2">
      <c r="AA2594" s="4"/>
    </row>
    <row r="2595" spans="27:27" x14ac:dyDescent="0.2">
      <c r="AA2595" s="4"/>
    </row>
    <row r="2596" spans="27:27" x14ac:dyDescent="0.2">
      <c r="AA2596" s="4"/>
    </row>
    <row r="2597" spans="27:27" x14ac:dyDescent="0.2">
      <c r="AA2597" s="4"/>
    </row>
    <row r="2598" spans="27:27" x14ac:dyDescent="0.2">
      <c r="AA2598" s="4"/>
    </row>
    <row r="2599" spans="27:27" x14ac:dyDescent="0.2">
      <c r="AA2599" s="4"/>
    </row>
    <row r="2600" spans="27:27" x14ac:dyDescent="0.2">
      <c r="AA2600" s="4"/>
    </row>
    <row r="2601" spans="27:27" x14ac:dyDescent="0.2">
      <c r="AA2601" s="4"/>
    </row>
    <row r="2602" spans="27:27" x14ac:dyDescent="0.2">
      <c r="AA2602" s="4"/>
    </row>
    <row r="2603" spans="27:27" x14ac:dyDescent="0.2">
      <c r="AA2603" s="4"/>
    </row>
    <row r="2604" spans="27:27" x14ac:dyDescent="0.2">
      <c r="AA2604" s="4"/>
    </row>
    <row r="2605" spans="27:27" x14ac:dyDescent="0.2">
      <c r="AA2605" s="4"/>
    </row>
    <row r="2606" spans="27:27" x14ac:dyDescent="0.2">
      <c r="AA2606" s="4"/>
    </row>
    <row r="2607" spans="27:27" x14ac:dyDescent="0.2">
      <c r="AA2607" s="4"/>
    </row>
    <row r="2608" spans="27:27" x14ac:dyDescent="0.2">
      <c r="AA2608" s="4"/>
    </row>
    <row r="2609" spans="27:27" x14ac:dyDescent="0.2">
      <c r="AA2609" s="4"/>
    </row>
    <row r="2610" spans="27:27" x14ac:dyDescent="0.2">
      <c r="AA2610" s="4"/>
    </row>
    <row r="2611" spans="27:27" x14ac:dyDescent="0.2">
      <c r="AA2611" s="4"/>
    </row>
    <row r="2612" spans="27:27" x14ac:dyDescent="0.2">
      <c r="AA2612" s="4"/>
    </row>
    <row r="2613" spans="27:27" x14ac:dyDescent="0.2">
      <c r="AA2613" s="4"/>
    </row>
    <row r="2614" spans="27:27" x14ac:dyDescent="0.2">
      <c r="AA2614" s="4"/>
    </row>
    <row r="2615" spans="27:27" x14ac:dyDescent="0.2">
      <c r="AA2615" s="4"/>
    </row>
    <row r="2616" spans="27:27" x14ac:dyDescent="0.2">
      <c r="AA2616" s="4"/>
    </row>
    <row r="2617" spans="27:27" x14ac:dyDescent="0.2">
      <c r="AA2617" s="4"/>
    </row>
    <row r="2618" spans="27:27" x14ac:dyDescent="0.2">
      <c r="AA2618" s="4"/>
    </row>
    <row r="2619" spans="27:27" x14ac:dyDescent="0.2">
      <c r="AA2619" s="4"/>
    </row>
    <row r="2620" spans="27:27" x14ac:dyDescent="0.2">
      <c r="AA2620" s="4"/>
    </row>
    <row r="2621" spans="27:27" x14ac:dyDescent="0.2">
      <c r="AA2621" s="4"/>
    </row>
    <row r="2622" spans="27:27" x14ac:dyDescent="0.2">
      <c r="AA2622" s="4"/>
    </row>
    <row r="2623" spans="27:27" x14ac:dyDescent="0.2">
      <c r="AA2623" s="4"/>
    </row>
    <row r="2624" spans="27:27" x14ac:dyDescent="0.2">
      <c r="AA2624" s="4"/>
    </row>
    <row r="2625" spans="27:27" x14ac:dyDescent="0.2">
      <c r="AA2625" s="4"/>
    </row>
    <row r="2626" spans="27:27" x14ac:dyDescent="0.2">
      <c r="AA2626" s="4"/>
    </row>
    <row r="2627" spans="27:27" x14ac:dyDescent="0.2">
      <c r="AA2627" s="4"/>
    </row>
    <row r="2628" spans="27:27" x14ac:dyDescent="0.2">
      <c r="AA2628" s="4"/>
    </row>
    <row r="2629" spans="27:27" x14ac:dyDescent="0.2">
      <c r="AA2629" s="4"/>
    </row>
    <row r="2630" spans="27:27" x14ac:dyDescent="0.2">
      <c r="AA2630" s="4"/>
    </row>
    <row r="2631" spans="27:27" x14ac:dyDescent="0.2">
      <c r="AA2631" s="4"/>
    </row>
    <row r="2632" spans="27:27" x14ac:dyDescent="0.2">
      <c r="AA2632" s="4"/>
    </row>
    <row r="2633" spans="27:27" x14ac:dyDescent="0.2">
      <c r="AA2633" s="4"/>
    </row>
    <row r="2634" spans="27:27" x14ac:dyDescent="0.2">
      <c r="AA2634" s="4"/>
    </row>
    <row r="2635" spans="27:27" x14ac:dyDescent="0.2">
      <c r="AA2635" s="4"/>
    </row>
    <row r="2636" spans="27:27" x14ac:dyDescent="0.2">
      <c r="AA2636" s="4"/>
    </row>
    <row r="2637" spans="27:27" x14ac:dyDescent="0.2">
      <c r="AA2637" s="4"/>
    </row>
    <row r="2638" spans="27:27" x14ac:dyDescent="0.2">
      <c r="AA2638" s="4"/>
    </row>
    <row r="2639" spans="27:27" x14ac:dyDescent="0.2">
      <c r="AA2639" s="4"/>
    </row>
    <row r="2640" spans="27:27" x14ac:dyDescent="0.2">
      <c r="AA2640" s="4"/>
    </row>
    <row r="2641" spans="27:27" x14ac:dyDescent="0.2">
      <c r="AA2641" s="4"/>
    </row>
    <row r="2642" spans="27:27" x14ac:dyDescent="0.2">
      <c r="AA2642" s="4"/>
    </row>
    <row r="2643" spans="27:27" x14ac:dyDescent="0.2">
      <c r="AA2643" s="4"/>
    </row>
    <row r="2644" spans="27:27" x14ac:dyDescent="0.2">
      <c r="AA2644" s="4"/>
    </row>
    <row r="2645" spans="27:27" x14ac:dyDescent="0.2">
      <c r="AA2645" s="4"/>
    </row>
    <row r="2646" spans="27:27" x14ac:dyDescent="0.2">
      <c r="AA2646" s="4"/>
    </row>
    <row r="2647" spans="27:27" x14ac:dyDescent="0.2">
      <c r="AA2647" s="4"/>
    </row>
    <row r="2648" spans="27:27" x14ac:dyDescent="0.2">
      <c r="AA2648" s="4"/>
    </row>
    <row r="2649" spans="27:27" x14ac:dyDescent="0.2">
      <c r="AA2649" s="4"/>
    </row>
    <row r="2650" spans="27:27" x14ac:dyDescent="0.2">
      <c r="AA2650" s="4"/>
    </row>
    <row r="2651" spans="27:27" x14ac:dyDescent="0.2">
      <c r="AA2651" s="4"/>
    </row>
    <row r="2652" spans="27:27" x14ac:dyDescent="0.2">
      <c r="AA2652" s="4"/>
    </row>
    <row r="2653" spans="27:27" x14ac:dyDescent="0.2">
      <c r="AA2653" s="4"/>
    </row>
    <row r="2654" spans="27:27" x14ac:dyDescent="0.2">
      <c r="AA2654" s="4"/>
    </row>
    <row r="2655" spans="27:27" x14ac:dyDescent="0.2">
      <c r="AA2655" s="4"/>
    </row>
    <row r="2656" spans="27:27" x14ac:dyDescent="0.2">
      <c r="AA2656" s="4"/>
    </row>
    <row r="2657" spans="27:27" x14ac:dyDescent="0.2">
      <c r="AA2657" s="4"/>
    </row>
    <row r="2658" spans="27:27" x14ac:dyDescent="0.2">
      <c r="AA2658" s="4"/>
    </row>
    <row r="2659" spans="27:27" x14ac:dyDescent="0.2">
      <c r="AA2659" s="4"/>
    </row>
    <row r="2660" spans="27:27" x14ac:dyDescent="0.2">
      <c r="AA2660" s="4"/>
    </row>
    <row r="2661" spans="27:27" x14ac:dyDescent="0.2">
      <c r="AA2661" s="4"/>
    </row>
    <row r="2662" spans="27:27" x14ac:dyDescent="0.2">
      <c r="AA2662" s="4"/>
    </row>
    <row r="2663" spans="27:27" x14ac:dyDescent="0.2">
      <c r="AA2663" s="4"/>
    </row>
    <row r="2664" spans="27:27" x14ac:dyDescent="0.2">
      <c r="AA2664" s="4"/>
    </row>
    <row r="2665" spans="27:27" x14ac:dyDescent="0.2">
      <c r="AA2665" s="4"/>
    </row>
    <row r="2666" spans="27:27" x14ac:dyDescent="0.2">
      <c r="AA2666" s="4"/>
    </row>
    <row r="2667" spans="27:27" x14ac:dyDescent="0.2">
      <c r="AA2667" s="4"/>
    </row>
    <row r="2668" spans="27:27" x14ac:dyDescent="0.2">
      <c r="AA2668" s="4"/>
    </row>
    <row r="2669" spans="27:27" x14ac:dyDescent="0.2">
      <c r="AA2669" s="4"/>
    </row>
    <row r="2670" spans="27:27" x14ac:dyDescent="0.2">
      <c r="AA2670" s="4"/>
    </row>
    <row r="2671" spans="27:27" x14ac:dyDescent="0.2">
      <c r="AA2671" s="4"/>
    </row>
    <row r="2672" spans="27:27" x14ac:dyDescent="0.2">
      <c r="AA2672" s="4"/>
    </row>
    <row r="2673" spans="27:27" x14ac:dyDescent="0.2">
      <c r="AA2673" s="4"/>
    </row>
    <row r="2674" spans="27:27" x14ac:dyDescent="0.2">
      <c r="AA2674" s="4"/>
    </row>
    <row r="2675" spans="27:27" x14ac:dyDescent="0.2">
      <c r="AA2675" s="4"/>
    </row>
    <row r="2676" spans="27:27" x14ac:dyDescent="0.2">
      <c r="AA2676" s="4"/>
    </row>
    <row r="2677" spans="27:27" x14ac:dyDescent="0.2">
      <c r="AA2677" s="4"/>
    </row>
    <row r="2678" spans="27:27" x14ac:dyDescent="0.2">
      <c r="AA2678" s="4"/>
    </row>
    <row r="2679" spans="27:27" x14ac:dyDescent="0.2">
      <c r="AA2679" s="4"/>
    </row>
    <row r="2680" spans="27:27" x14ac:dyDescent="0.2">
      <c r="AA2680" s="4"/>
    </row>
    <row r="2681" spans="27:27" x14ac:dyDescent="0.2">
      <c r="AA2681" s="4"/>
    </row>
    <row r="2682" spans="27:27" x14ac:dyDescent="0.2">
      <c r="AA2682" s="4"/>
    </row>
    <row r="2683" spans="27:27" x14ac:dyDescent="0.2">
      <c r="AA2683" s="4"/>
    </row>
    <row r="2684" spans="27:27" x14ac:dyDescent="0.2">
      <c r="AA2684" s="4"/>
    </row>
    <row r="2685" spans="27:27" x14ac:dyDescent="0.2">
      <c r="AA2685" s="4"/>
    </row>
    <row r="2686" spans="27:27" x14ac:dyDescent="0.2">
      <c r="AA2686" s="4"/>
    </row>
    <row r="2687" spans="27:27" x14ac:dyDescent="0.2">
      <c r="AA2687" s="4"/>
    </row>
    <row r="2688" spans="27:27" x14ac:dyDescent="0.2">
      <c r="AA2688" s="4"/>
    </row>
    <row r="2689" spans="27:27" x14ac:dyDescent="0.2">
      <c r="AA2689" s="4"/>
    </row>
    <row r="2690" spans="27:27" x14ac:dyDescent="0.2">
      <c r="AA2690" s="4"/>
    </row>
    <row r="2691" spans="27:27" x14ac:dyDescent="0.2">
      <c r="AA2691" s="4"/>
    </row>
    <row r="2692" spans="27:27" x14ac:dyDescent="0.2">
      <c r="AA2692" s="4"/>
    </row>
    <row r="2693" spans="27:27" x14ac:dyDescent="0.2">
      <c r="AA2693" s="4"/>
    </row>
    <row r="2694" spans="27:27" x14ac:dyDescent="0.2">
      <c r="AA2694" s="4"/>
    </row>
    <row r="2695" spans="27:27" x14ac:dyDescent="0.2">
      <c r="AA2695" s="4"/>
    </row>
    <row r="2696" spans="27:27" x14ac:dyDescent="0.2">
      <c r="AA2696" s="4"/>
    </row>
    <row r="2697" spans="27:27" x14ac:dyDescent="0.2">
      <c r="AA2697" s="4"/>
    </row>
    <row r="2698" spans="27:27" x14ac:dyDescent="0.2">
      <c r="AA2698" s="4"/>
    </row>
    <row r="2699" spans="27:27" x14ac:dyDescent="0.2">
      <c r="AA2699" s="4"/>
    </row>
    <row r="2700" spans="27:27" x14ac:dyDescent="0.2">
      <c r="AA2700" s="4"/>
    </row>
    <row r="2701" spans="27:27" x14ac:dyDescent="0.2">
      <c r="AA2701" s="4"/>
    </row>
    <row r="2702" spans="27:27" x14ac:dyDescent="0.2">
      <c r="AA2702" s="4"/>
    </row>
    <row r="2703" spans="27:27" x14ac:dyDescent="0.2">
      <c r="AA2703" s="4"/>
    </row>
    <row r="2704" spans="27:27" x14ac:dyDescent="0.2">
      <c r="AA2704" s="4"/>
    </row>
    <row r="2705" spans="27:27" x14ac:dyDescent="0.2">
      <c r="AA2705" s="4"/>
    </row>
    <row r="2706" spans="27:27" x14ac:dyDescent="0.2">
      <c r="AA2706" s="4"/>
    </row>
    <row r="2707" spans="27:27" x14ac:dyDescent="0.2">
      <c r="AA2707" s="4"/>
    </row>
    <row r="2708" spans="27:27" x14ac:dyDescent="0.2">
      <c r="AA2708" s="4"/>
    </row>
    <row r="2709" spans="27:27" x14ac:dyDescent="0.2">
      <c r="AA2709" s="4"/>
    </row>
    <row r="2710" spans="27:27" x14ac:dyDescent="0.2">
      <c r="AA2710" s="4"/>
    </row>
    <row r="2711" spans="27:27" x14ac:dyDescent="0.2">
      <c r="AA2711" s="4"/>
    </row>
    <row r="2712" spans="27:27" x14ac:dyDescent="0.2">
      <c r="AA2712" s="4"/>
    </row>
    <row r="2713" spans="27:27" x14ac:dyDescent="0.2">
      <c r="AA2713" s="4"/>
    </row>
    <row r="2714" spans="27:27" x14ac:dyDescent="0.2">
      <c r="AA2714" s="4"/>
    </row>
    <row r="2715" spans="27:27" x14ac:dyDescent="0.2">
      <c r="AA2715" s="4"/>
    </row>
    <row r="2716" spans="27:27" x14ac:dyDescent="0.2">
      <c r="AA2716" s="4"/>
    </row>
    <row r="2717" spans="27:27" x14ac:dyDescent="0.2">
      <c r="AA2717" s="4"/>
    </row>
    <row r="2718" spans="27:27" x14ac:dyDescent="0.2">
      <c r="AA2718" s="4"/>
    </row>
    <row r="2719" spans="27:27" x14ac:dyDescent="0.2">
      <c r="AA2719" s="4"/>
    </row>
    <row r="2720" spans="27:27" x14ac:dyDescent="0.2">
      <c r="AA2720" s="4"/>
    </row>
    <row r="2721" spans="27:27" x14ac:dyDescent="0.2">
      <c r="AA2721" s="4"/>
    </row>
    <row r="2722" spans="27:27" x14ac:dyDescent="0.2">
      <c r="AA2722" s="4"/>
    </row>
    <row r="2723" spans="27:27" x14ac:dyDescent="0.2">
      <c r="AA2723" s="4"/>
    </row>
    <row r="2724" spans="27:27" x14ac:dyDescent="0.2">
      <c r="AA2724" s="4"/>
    </row>
    <row r="2725" spans="27:27" x14ac:dyDescent="0.2">
      <c r="AA2725" s="4"/>
    </row>
    <row r="2726" spans="27:27" x14ac:dyDescent="0.2">
      <c r="AA2726" s="4"/>
    </row>
    <row r="2727" spans="27:27" x14ac:dyDescent="0.2">
      <c r="AA2727" s="4"/>
    </row>
    <row r="2728" spans="27:27" x14ac:dyDescent="0.2">
      <c r="AA2728" s="4"/>
    </row>
    <row r="2729" spans="27:27" x14ac:dyDescent="0.2">
      <c r="AA2729" s="4"/>
    </row>
    <row r="2730" spans="27:27" x14ac:dyDescent="0.2">
      <c r="AA2730" s="4"/>
    </row>
    <row r="2731" spans="27:27" x14ac:dyDescent="0.2">
      <c r="AA2731" s="4"/>
    </row>
    <row r="2732" spans="27:27" x14ac:dyDescent="0.2">
      <c r="AA2732" s="4"/>
    </row>
    <row r="2733" spans="27:27" x14ac:dyDescent="0.2">
      <c r="AA2733" s="4"/>
    </row>
    <row r="2734" spans="27:27" x14ac:dyDescent="0.2">
      <c r="AA2734" s="4"/>
    </row>
    <row r="2735" spans="27:27" x14ac:dyDescent="0.2">
      <c r="AA2735" s="4"/>
    </row>
    <row r="2736" spans="27:27" x14ac:dyDescent="0.2">
      <c r="AA2736" s="4"/>
    </row>
    <row r="2737" spans="27:27" x14ac:dyDescent="0.2">
      <c r="AA2737" s="4"/>
    </row>
    <row r="2738" spans="27:27" x14ac:dyDescent="0.2">
      <c r="AA2738" s="4"/>
    </row>
    <row r="2739" spans="27:27" x14ac:dyDescent="0.2">
      <c r="AA2739" s="4"/>
    </row>
    <row r="2740" spans="27:27" x14ac:dyDescent="0.2">
      <c r="AA2740" s="4"/>
    </row>
    <row r="2741" spans="27:27" x14ac:dyDescent="0.2">
      <c r="AA2741" s="4"/>
    </row>
    <row r="2742" spans="27:27" x14ac:dyDescent="0.2">
      <c r="AA2742" s="4"/>
    </row>
    <row r="2743" spans="27:27" x14ac:dyDescent="0.2">
      <c r="AA2743" s="4"/>
    </row>
    <row r="2744" spans="27:27" x14ac:dyDescent="0.2">
      <c r="AA2744" s="4"/>
    </row>
    <row r="2745" spans="27:27" x14ac:dyDescent="0.2">
      <c r="AA2745" s="4"/>
    </row>
    <row r="2746" spans="27:27" x14ac:dyDescent="0.2">
      <c r="AA2746" s="4"/>
    </row>
    <row r="2747" spans="27:27" x14ac:dyDescent="0.2">
      <c r="AA2747" s="4"/>
    </row>
    <row r="2748" spans="27:27" x14ac:dyDescent="0.2">
      <c r="AA2748" s="4"/>
    </row>
    <row r="2749" spans="27:27" x14ac:dyDescent="0.2">
      <c r="AA2749" s="4"/>
    </row>
    <row r="2750" spans="27:27" x14ac:dyDescent="0.2">
      <c r="AA2750" s="4"/>
    </row>
    <row r="2751" spans="27:27" x14ac:dyDescent="0.2">
      <c r="AA2751" s="4"/>
    </row>
    <row r="2752" spans="27:27" x14ac:dyDescent="0.2">
      <c r="AA2752" s="4"/>
    </row>
    <row r="2753" spans="27:27" x14ac:dyDescent="0.2">
      <c r="AA2753" s="4"/>
    </row>
    <row r="2754" spans="27:27" x14ac:dyDescent="0.2">
      <c r="AA2754" s="4"/>
    </row>
    <row r="2755" spans="27:27" x14ac:dyDescent="0.2">
      <c r="AA2755" s="4"/>
    </row>
    <row r="2756" spans="27:27" x14ac:dyDescent="0.2">
      <c r="AA2756" s="4"/>
    </row>
    <row r="2757" spans="27:27" x14ac:dyDescent="0.2">
      <c r="AA2757" s="4"/>
    </row>
    <row r="2758" spans="27:27" x14ac:dyDescent="0.2">
      <c r="AA2758" s="4"/>
    </row>
    <row r="2759" spans="27:27" x14ac:dyDescent="0.2">
      <c r="AA2759" s="4"/>
    </row>
    <row r="2760" spans="27:27" x14ac:dyDescent="0.2">
      <c r="AA2760" s="4"/>
    </row>
    <row r="2761" spans="27:27" x14ac:dyDescent="0.2">
      <c r="AA2761" s="4"/>
    </row>
    <row r="2762" spans="27:27" x14ac:dyDescent="0.2">
      <c r="AA2762" s="4"/>
    </row>
    <row r="2763" spans="27:27" x14ac:dyDescent="0.2">
      <c r="AA2763" s="4"/>
    </row>
    <row r="2764" spans="27:27" x14ac:dyDescent="0.2">
      <c r="AA2764" s="4"/>
    </row>
    <row r="2765" spans="27:27" x14ac:dyDescent="0.2">
      <c r="AA2765" s="4"/>
    </row>
    <row r="2766" spans="27:27" x14ac:dyDescent="0.2">
      <c r="AA2766" s="4"/>
    </row>
    <row r="2767" spans="27:27" x14ac:dyDescent="0.2">
      <c r="AA2767" s="4"/>
    </row>
    <row r="2768" spans="27:27" x14ac:dyDescent="0.2">
      <c r="AA2768" s="4"/>
    </row>
    <row r="2769" spans="27:27" x14ac:dyDescent="0.2">
      <c r="AA2769" s="4"/>
    </row>
    <row r="2770" spans="27:27" x14ac:dyDescent="0.2">
      <c r="AA2770" s="4"/>
    </row>
    <row r="2771" spans="27:27" x14ac:dyDescent="0.2">
      <c r="AA2771" s="4"/>
    </row>
    <row r="2772" spans="27:27" x14ac:dyDescent="0.2">
      <c r="AA2772" s="4"/>
    </row>
    <row r="2773" spans="27:27" x14ac:dyDescent="0.2">
      <c r="AA2773" s="4"/>
    </row>
    <row r="2774" spans="27:27" x14ac:dyDescent="0.2">
      <c r="AA2774" s="4"/>
    </row>
    <row r="2775" spans="27:27" x14ac:dyDescent="0.2">
      <c r="AA2775" s="4"/>
    </row>
    <row r="2776" spans="27:27" x14ac:dyDescent="0.2">
      <c r="AA2776" s="4"/>
    </row>
    <row r="2777" spans="27:27" x14ac:dyDescent="0.2">
      <c r="AA2777" s="4"/>
    </row>
    <row r="2778" spans="27:27" x14ac:dyDescent="0.2">
      <c r="AA2778" s="4"/>
    </row>
    <row r="2779" spans="27:27" x14ac:dyDescent="0.2">
      <c r="AA2779" s="4"/>
    </row>
    <row r="2780" spans="27:27" x14ac:dyDescent="0.2">
      <c r="AA2780" s="4"/>
    </row>
    <row r="2781" spans="27:27" x14ac:dyDescent="0.2">
      <c r="AA2781" s="4"/>
    </row>
    <row r="2782" spans="27:27" x14ac:dyDescent="0.2">
      <c r="AA2782" s="4"/>
    </row>
    <row r="2783" spans="27:27" x14ac:dyDescent="0.2">
      <c r="AA2783" s="4"/>
    </row>
    <row r="2784" spans="27:27" x14ac:dyDescent="0.2">
      <c r="AA2784" s="4"/>
    </row>
    <row r="2785" spans="27:27" x14ac:dyDescent="0.2">
      <c r="AA2785" s="4"/>
    </row>
    <row r="2786" spans="27:27" x14ac:dyDescent="0.2">
      <c r="AA2786" s="4"/>
    </row>
    <row r="2787" spans="27:27" x14ac:dyDescent="0.2">
      <c r="AA2787" s="4"/>
    </row>
    <row r="2788" spans="27:27" x14ac:dyDescent="0.2">
      <c r="AA2788" s="4"/>
    </row>
    <row r="2789" spans="27:27" x14ac:dyDescent="0.2">
      <c r="AA2789" s="4"/>
    </row>
    <row r="2790" spans="27:27" x14ac:dyDescent="0.2">
      <c r="AA2790" s="4"/>
    </row>
    <row r="2791" spans="27:27" x14ac:dyDescent="0.2">
      <c r="AA2791" s="4"/>
    </row>
    <row r="2792" spans="27:27" x14ac:dyDescent="0.2">
      <c r="AA2792" s="4"/>
    </row>
    <row r="2793" spans="27:27" x14ac:dyDescent="0.2">
      <c r="AA2793" s="4"/>
    </row>
    <row r="2794" spans="27:27" x14ac:dyDescent="0.2">
      <c r="AA2794" s="4"/>
    </row>
    <row r="2795" spans="27:27" x14ac:dyDescent="0.2">
      <c r="AA2795" s="4"/>
    </row>
    <row r="2796" spans="27:27" x14ac:dyDescent="0.2">
      <c r="AA2796" s="4"/>
    </row>
    <row r="2797" spans="27:27" x14ac:dyDescent="0.2">
      <c r="AA2797" s="4"/>
    </row>
    <row r="2798" spans="27:27" x14ac:dyDescent="0.2">
      <c r="AA2798" s="4"/>
    </row>
    <row r="2799" spans="27:27" x14ac:dyDescent="0.2">
      <c r="AA2799" s="4"/>
    </row>
    <row r="2800" spans="27:27" x14ac:dyDescent="0.2">
      <c r="AA2800" s="4"/>
    </row>
    <row r="2801" spans="27:27" x14ac:dyDescent="0.2">
      <c r="AA2801" s="4"/>
    </row>
    <row r="2802" spans="27:27" x14ac:dyDescent="0.2">
      <c r="AA2802" s="4"/>
    </row>
    <row r="2803" spans="27:27" x14ac:dyDescent="0.2">
      <c r="AA2803" s="4"/>
    </row>
    <row r="2804" spans="27:27" x14ac:dyDescent="0.2">
      <c r="AA2804" s="4"/>
    </row>
    <row r="2805" spans="27:27" x14ac:dyDescent="0.2">
      <c r="AA2805" s="4"/>
    </row>
    <row r="2806" spans="27:27" x14ac:dyDescent="0.2">
      <c r="AA2806" s="4"/>
    </row>
    <row r="2807" spans="27:27" x14ac:dyDescent="0.2">
      <c r="AA2807" s="4"/>
    </row>
    <row r="2808" spans="27:27" x14ac:dyDescent="0.2">
      <c r="AA2808" s="4"/>
    </row>
    <row r="2809" spans="27:27" x14ac:dyDescent="0.2">
      <c r="AA2809" s="4"/>
    </row>
    <row r="2810" spans="27:27" x14ac:dyDescent="0.2">
      <c r="AA2810" s="4"/>
    </row>
    <row r="2811" spans="27:27" x14ac:dyDescent="0.2">
      <c r="AA2811" s="4"/>
    </row>
    <row r="2812" spans="27:27" x14ac:dyDescent="0.2">
      <c r="AA2812" s="4"/>
    </row>
    <row r="2813" spans="27:27" x14ac:dyDescent="0.2">
      <c r="AA2813" s="4"/>
    </row>
    <row r="2814" spans="27:27" x14ac:dyDescent="0.2">
      <c r="AA2814" s="4"/>
    </row>
    <row r="2815" spans="27:27" x14ac:dyDescent="0.2">
      <c r="AA2815" s="4"/>
    </row>
    <row r="2816" spans="27:27" x14ac:dyDescent="0.2">
      <c r="AA2816" s="4"/>
    </row>
    <row r="2817" spans="27:27" x14ac:dyDescent="0.2">
      <c r="AA2817" s="4"/>
    </row>
    <row r="2818" spans="27:27" x14ac:dyDescent="0.2">
      <c r="AA2818" s="4"/>
    </row>
    <row r="2819" spans="27:27" x14ac:dyDescent="0.2">
      <c r="AA2819" s="4"/>
    </row>
    <row r="2820" spans="27:27" x14ac:dyDescent="0.2">
      <c r="AA2820" s="4"/>
    </row>
    <row r="2821" spans="27:27" x14ac:dyDescent="0.2">
      <c r="AA2821" s="4"/>
    </row>
    <row r="2822" spans="27:27" x14ac:dyDescent="0.2">
      <c r="AA2822" s="4"/>
    </row>
    <row r="2823" spans="27:27" x14ac:dyDescent="0.2">
      <c r="AA2823" s="4"/>
    </row>
    <row r="2824" spans="27:27" x14ac:dyDescent="0.2">
      <c r="AA2824" s="4"/>
    </row>
    <row r="2825" spans="27:27" x14ac:dyDescent="0.2">
      <c r="AA2825" s="4"/>
    </row>
    <row r="2826" spans="27:27" x14ac:dyDescent="0.2">
      <c r="AA2826" s="4"/>
    </row>
    <row r="2827" spans="27:27" x14ac:dyDescent="0.2">
      <c r="AA2827" s="4"/>
    </row>
    <row r="2828" spans="27:27" x14ac:dyDescent="0.2">
      <c r="AA2828" s="4"/>
    </row>
    <row r="2829" spans="27:27" x14ac:dyDescent="0.2">
      <c r="AA2829" s="4"/>
    </row>
    <row r="2830" spans="27:27" x14ac:dyDescent="0.2">
      <c r="AA2830" s="4"/>
    </row>
    <row r="2831" spans="27:27" x14ac:dyDescent="0.2">
      <c r="AA2831" s="4"/>
    </row>
    <row r="2832" spans="27:27" x14ac:dyDescent="0.2">
      <c r="AA2832" s="4"/>
    </row>
    <row r="2833" spans="27:27" x14ac:dyDescent="0.2">
      <c r="AA2833" s="4"/>
    </row>
    <row r="2834" spans="27:27" x14ac:dyDescent="0.2">
      <c r="AA2834" s="4"/>
    </row>
    <row r="2835" spans="27:27" x14ac:dyDescent="0.2">
      <c r="AA2835" s="4"/>
    </row>
    <row r="2836" spans="27:27" x14ac:dyDescent="0.2">
      <c r="AA2836" s="4"/>
    </row>
    <row r="2837" spans="27:27" x14ac:dyDescent="0.2">
      <c r="AA2837" s="4"/>
    </row>
    <row r="2838" spans="27:27" x14ac:dyDescent="0.2">
      <c r="AA2838" s="4"/>
    </row>
    <row r="2839" spans="27:27" x14ac:dyDescent="0.2">
      <c r="AA2839" s="4"/>
    </row>
    <row r="2840" spans="27:27" x14ac:dyDescent="0.2">
      <c r="AA2840" s="4"/>
    </row>
    <row r="2841" spans="27:27" x14ac:dyDescent="0.2">
      <c r="AA2841" s="4"/>
    </row>
    <row r="2842" spans="27:27" x14ac:dyDescent="0.2">
      <c r="AA2842" s="4"/>
    </row>
    <row r="2843" spans="27:27" x14ac:dyDescent="0.2">
      <c r="AA2843" s="4"/>
    </row>
    <row r="2844" spans="27:27" x14ac:dyDescent="0.2">
      <c r="AA2844" s="4"/>
    </row>
    <row r="2845" spans="27:27" x14ac:dyDescent="0.2">
      <c r="AA2845" s="4"/>
    </row>
    <row r="2846" spans="27:27" x14ac:dyDescent="0.2">
      <c r="AA2846" s="4"/>
    </row>
    <row r="2847" spans="27:27" x14ac:dyDescent="0.2">
      <c r="AA2847" s="4"/>
    </row>
    <row r="2848" spans="27:27" x14ac:dyDescent="0.2">
      <c r="AA2848" s="4"/>
    </row>
    <row r="2849" spans="27:27" x14ac:dyDescent="0.2">
      <c r="AA2849" s="4"/>
    </row>
    <row r="2850" spans="27:27" x14ac:dyDescent="0.2">
      <c r="AA2850" s="4"/>
    </row>
    <row r="2851" spans="27:27" x14ac:dyDescent="0.2">
      <c r="AA2851" s="4"/>
    </row>
    <row r="2852" spans="27:27" x14ac:dyDescent="0.2">
      <c r="AA2852" s="4"/>
    </row>
    <row r="2853" spans="27:27" x14ac:dyDescent="0.2">
      <c r="AA2853" s="4"/>
    </row>
    <row r="2854" spans="27:27" x14ac:dyDescent="0.2">
      <c r="AA2854" s="4"/>
    </row>
    <row r="2855" spans="27:27" x14ac:dyDescent="0.2">
      <c r="AA2855" s="4"/>
    </row>
    <row r="2856" spans="27:27" x14ac:dyDescent="0.2">
      <c r="AA2856" s="4"/>
    </row>
    <row r="2857" spans="27:27" x14ac:dyDescent="0.2">
      <c r="AA2857" s="4"/>
    </row>
    <row r="2858" spans="27:27" x14ac:dyDescent="0.2">
      <c r="AA2858" s="4"/>
    </row>
    <row r="2859" spans="27:27" x14ac:dyDescent="0.2">
      <c r="AA2859" s="4"/>
    </row>
    <row r="2860" spans="27:27" x14ac:dyDescent="0.2">
      <c r="AA2860" s="4"/>
    </row>
    <row r="2861" spans="27:27" x14ac:dyDescent="0.2">
      <c r="AA2861" s="4"/>
    </row>
    <row r="2862" spans="27:27" x14ac:dyDescent="0.2">
      <c r="AA2862" s="4"/>
    </row>
    <row r="2863" spans="27:27" x14ac:dyDescent="0.2">
      <c r="AA2863" s="4"/>
    </row>
    <row r="2864" spans="27:27" x14ac:dyDescent="0.2">
      <c r="AA2864" s="4"/>
    </row>
    <row r="2865" spans="27:27" x14ac:dyDescent="0.2">
      <c r="AA2865" s="4"/>
    </row>
    <row r="2866" spans="27:27" x14ac:dyDescent="0.2">
      <c r="AA2866" s="4"/>
    </row>
    <row r="2867" spans="27:27" x14ac:dyDescent="0.2">
      <c r="AA2867" s="4"/>
    </row>
    <row r="2868" spans="27:27" x14ac:dyDescent="0.2">
      <c r="AA2868" s="4"/>
    </row>
    <row r="2869" spans="27:27" x14ac:dyDescent="0.2">
      <c r="AA2869" s="4"/>
    </row>
    <row r="2870" spans="27:27" x14ac:dyDescent="0.2">
      <c r="AA2870" s="4"/>
    </row>
    <row r="2871" spans="27:27" x14ac:dyDescent="0.2">
      <c r="AA2871" s="4"/>
    </row>
    <row r="2872" spans="27:27" x14ac:dyDescent="0.2">
      <c r="AA2872" s="4"/>
    </row>
    <row r="2873" spans="27:27" x14ac:dyDescent="0.2">
      <c r="AA2873" s="4"/>
    </row>
    <row r="2874" spans="27:27" x14ac:dyDescent="0.2">
      <c r="AA2874" s="4"/>
    </row>
    <row r="2875" spans="27:27" x14ac:dyDescent="0.2">
      <c r="AA2875" s="4"/>
    </row>
    <row r="2876" spans="27:27" x14ac:dyDescent="0.2">
      <c r="AA2876" s="4"/>
    </row>
    <row r="2877" spans="27:27" x14ac:dyDescent="0.2">
      <c r="AA2877" s="4"/>
    </row>
    <row r="2878" spans="27:27" x14ac:dyDescent="0.2">
      <c r="AA2878" s="4"/>
    </row>
    <row r="2879" spans="27:27" x14ac:dyDescent="0.2">
      <c r="AA2879" s="4"/>
    </row>
    <row r="2880" spans="27:27" x14ac:dyDescent="0.2">
      <c r="AA2880" s="4"/>
    </row>
    <row r="2881" spans="27:27" x14ac:dyDescent="0.2">
      <c r="AA2881" s="4"/>
    </row>
    <row r="2882" spans="27:27" x14ac:dyDescent="0.2">
      <c r="AA2882" s="4"/>
    </row>
    <row r="2883" spans="27:27" x14ac:dyDescent="0.2">
      <c r="AA2883" s="4"/>
    </row>
    <row r="2884" spans="27:27" x14ac:dyDescent="0.2">
      <c r="AA2884" s="4"/>
    </row>
    <row r="2885" spans="27:27" x14ac:dyDescent="0.2">
      <c r="AA2885" s="4"/>
    </row>
    <row r="2886" spans="27:27" x14ac:dyDescent="0.2">
      <c r="AA2886" s="4"/>
    </row>
    <row r="2887" spans="27:27" x14ac:dyDescent="0.2">
      <c r="AA2887" s="4"/>
    </row>
    <row r="2888" spans="27:27" x14ac:dyDescent="0.2">
      <c r="AA2888" s="4"/>
    </row>
    <row r="2889" spans="27:27" x14ac:dyDescent="0.2">
      <c r="AA2889" s="4"/>
    </row>
    <row r="2890" spans="27:27" x14ac:dyDescent="0.2">
      <c r="AA2890" s="4"/>
    </row>
    <row r="2891" spans="27:27" x14ac:dyDescent="0.2">
      <c r="AA2891" s="4"/>
    </row>
    <row r="2892" spans="27:27" x14ac:dyDescent="0.2">
      <c r="AA2892" s="4"/>
    </row>
    <row r="2893" spans="27:27" x14ac:dyDescent="0.2">
      <c r="AA2893" s="4"/>
    </row>
    <row r="2894" spans="27:27" x14ac:dyDescent="0.2">
      <c r="AA2894" s="4"/>
    </row>
    <row r="2895" spans="27:27" x14ac:dyDescent="0.2">
      <c r="AA2895" s="4"/>
    </row>
    <row r="2896" spans="27:27" x14ac:dyDescent="0.2">
      <c r="AA2896" s="4"/>
    </row>
    <row r="2897" spans="27:27" x14ac:dyDescent="0.2">
      <c r="AA2897" s="4"/>
    </row>
    <row r="2898" spans="27:27" x14ac:dyDescent="0.2">
      <c r="AA2898" s="4"/>
    </row>
    <row r="2899" spans="27:27" x14ac:dyDescent="0.2">
      <c r="AA2899" s="4"/>
    </row>
    <row r="2900" spans="27:27" x14ac:dyDescent="0.2">
      <c r="AA2900" s="4"/>
    </row>
    <row r="2901" spans="27:27" x14ac:dyDescent="0.2">
      <c r="AA2901" s="4"/>
    </row>
    <row r="2902" spans="27:27" x14ac:dyDescent="0.2">
      <c r="AA2902" s="4"/>
    </row>
    <row r="2903" spans="27:27" x14ac:dyDescent="0.2">
      <c r="AA2903" s="4"/>
    </row>
    <row r="2904" spans="27:27" x14ac:dyDescent="0.2">
      <c r="AA2904" s="4"/>
    </row>
    <row r="2905" spans="27:27" x14ac:dyDescent="0.2">
      <c r="AA2905" s="4"/>
    </row>
    <row r="2906" spans="27:27" x14ac:dyDescent="0.2">
      <c r="AA2906" s="4"/>
    </row>
    <row r="2907" spans="27:27" x14ac:dyDescent="0.2">
      <c r="AA2907" s="4"/>
    </row>
    <row r="2908" spans="27:27" x14ac:dyDescent="0.2">
      <c r="AA2908" s="4"/>
    </row>
    <row r="2909" spans="27:27" x14ac:dyDescent="0.2">
      <c r="AA2909" s="4"/>
    </row>
    <row r="2910" spans="27:27" x14ac:dyDescent="0.2">
      <c r="AA2910" s="4"/>
    </row>
    <row r="2911" spans="27:27" x14ac:dyDescent="0.2">
      <c r="AA2911" s="4"/>
    </row>
    <row r="2912" spans="27:27" x14ac:dyDescent="0.2">
      <c r="AA2912" s="4"/>
    </row>
    <row r="2913" spans="27:27" x14ac:dyDescent="0.2">
      <c r="AA2913" s="4"/>
    </row>
    <row r="2914" spans="27:27" x14ac:dyDescent="0.2">
      <c r="AA2914" s="4"/>
    </row>
    <row r="2915" spans="27:27" x14ac:dyDescent="0.2">
      <c r="AA2915" s="4"/>
    </row>
    <row r="2916" spans="27:27" x14ac:dyDescent="0.2">
      <c r="AA2916" s="4"/>
    </row>
    <row r="2917" spans="27:27" x14ac:dyDescent="0.2">
      <c r="AA2917" s="4"/>
    </row>
    <row r="2918" spans="27:27" x14ac:dyDescent="0.2">
      <c r="AA2918" s="4"/>
    </row>
    <row r="2919" spans="27:27" x14ac:dyDescent="0.2">
      <c r="AA2919" s="4"/>
    </row>
    <row r="2920" spans="27:27" x14ac:dyDescent="0.2">
      <c r="AA2920" s="4"/>
    </row>
    <row r="2921" spans="27:27" x14ac:dyDescent="0.2">
      <c r="AA2921" s="4"/>
    </row>
    <row r="2922" spans="27:27" x14ac:dyDescent="0.2">
      <c r="AA2922" s="4"/>
    </row>
    <row r="2923" spans="27:27" x14ac:dyDescent="0.2">
      <c r="AA2923" s="4"/>
    </row>
    <row r="2924" spans="27:27" x14ac:dyDescent="0.2">
      <c r="AA2924" s="4"/>
    </row>
    <row r="2925" spans="27:27" x14ac:dyDescent="0.2">
      <c r="AA2925" s="4"/>
    </row>
    <row r="2926" spans="27:27" x14ac:dyDescent="0.2">
      <c r="AA2926" s="4"/>
    </row>
    <row r="2927" spans="27:27" x14ac:dyDescent="0.2">
      <c r="AA2927" s="4"/>
    </row>
    <row r="2928" spans="27:27" x14ac:dyDescent="0.2">
      <c r="AA2928" s="4"/>
    </row>
    <row r="2929" spans="27:27" x14ac:dyDescent="0.2">
      <c r="AA2929" s="4"/>
    </row>
    <row r="2930" spans="27:27" x14ac:dyDescent="0.2">
      <c r="AA2930" s="4"/>
    </row>
    <row r="2931" spans="27:27" x14ac:dyDescent="0.2">
      <c r="AA2931" s="4"/>
    </row>
    <row r="2932" spans="27:27" x14ac:dyDescent="0.2">
      <c r="AA2932" s="4"/>
    </row>
    <row r="2933" spans="27:27" x14ac:dyDescent="0.2">
      <c r="AA2933" s="4"/>
    </row>
    <row r="2934" spans="27:27" x14ac:dyDescent="0.2">
      <c r="AA2934" s="4"/>
    </row>
    <row r="2935" spans="27:27" x14ac:dyDescent="0.2">
      <c r="AA2935" s="4"/>
    </row>
    <row r="2936" spans="27:27" x14ac:dyDescent="0.2">
      <c r="AA2936" s="4"/>
    </row>
    <row r="2937" spans="27:27" x14ac:dyDescent="0.2">
      <c r="AA2937" s="4"/>
    </row>
    <row r="2938" spans="27:27" x14ac:dyDescent="0.2">
      <c r="AA2938" s="4"/>
    </row>
    <row r="2939" spans="27:27" x14ac:dyDescent="0.2">
      <c r="AA2939" s="4"/>
    </row>
    <row r="2940" spans="27:27" x14ac:dyDescent="0.2">
      <c r="AA2940" s="4"/>
    </row>
    <row r="2941" spans="27:27" x14ac:dyDescent="0.2">
      <c r="AA2941" s="4"/>
    </row>
    <row r="2942" spans="27:27" x14ac:dyDescent="0.2">
      <c r="AA2942" s="4"/>
    </row>
    <row r="2943" spans="27:27" x14ac:dyDescent="0.2">
      <c r="AA2943" s="4"/>
    </row>
    <row r="2944" spans="27:27" x14ac:dyDescent="0.2">
      <c r="AA2944" s="4"/>
    </row>
    <row r="2945" spans="27:27" x14ac:dyDescent="0.2">
      <c r="AA2945" s="4"/>
    </row>
    <row r="2946" spans="27:27" x14ac:dyDescent="0.2">
      <c r="AA2946" s="4"/>
    </row>
    <row r="2947" spans="27:27" x14ac:dyDescent="0.2">
      <c r="AA2947" s="4"/>
    </row>
    <row r="2948" spans="27:27" x14ac:dyDescent="0.2">
      <c r="AA2948" s="4"/>
    </row>
    <row r="2949" spans="27:27" x14ac:dyDescent="0.2">
      <c r="AA2949" s="4"/>
    </row>
    <row r="2950" spans="27:27" x14ac:dyDescent="0.2">
      <c r="AA2950" s="4"/>
    </row>
    <row r="2951" spans="27:27" x14ac:dyDescent="0.2">
      <c r="AA2951" s="4"/>
    </row>
    <row r="2952" spans="27:27" x14ac:dyDescent="0.2">
      <c r="AA2952" s="4"/>
    </row>
    <row r="2953" spans="27:27" x14ac:dyDescent="0.2">
      <c r="AA2953" s="4"/>
    </row>
    <row r="2954" spans="27:27" x14ac:dyDescent="0.2">
      <c r="AA2954" s="4"/>
    </row>
    <row r="2955" spans="27:27" x14ac:dyDescent="0.2">
      <c r="AA2955" s="4"/>
    </row>
    <row r="2956" spans="27:27" x14ac:dyDescent="0.2">
      <c r="AA2956" s="4"/>
    </row>
    <row r="2957" spans="27:27" x14ac:dyDescent="0.2">
      <c r="AA2957" s="4"/>
    </row>
    <row r="2958" spans="27:27" x14ac:dyDescent="0.2">
      <c r="AA2958" s="4"/>
    </row>
    <row r="2959" spans="27:27" x14ac:dyDescent="0.2">
      <c r="AA2959" s="4"/>
    </row>
    <row r="2960" spans="27:27" x14ac:dyDescent="0.2">
      <c r="AA2960" s="4"/>
    </row>
    <row r="2961" spans="27:27" x14ac:dyDescent="0.2">
      <c r="AA2961" s="4"/>
    </row>
    <row r="2962" spans="27:27" x14ac:dyDescent="0.2">
      <c r="AA2962" s="4"/>
    </row>
    <row r="2963" spans="27:27" x14ac:dyDescent="0.2">
      <c r="AA2963" s="4"/>
    </row>
    <row r="2964" spans="27:27" x14ac:dyDescent="0.2">
      <c r="AA2964" s="4"/>
    </row>
    <row r="2965" spans="27:27" x14ac:dyDescent="0.2">
      <c r="AA2965" s="4"/>
    </row>
    <row r="2966" spans="27:27" x14ac:dyDescent="0.2">
      <c r="AA2966" s="4"/>
    </row>
    <row r="2967" spans="27:27" x14ac:dyDescent="0.2">
      <c r="AA2967" s="4"/>
    </row>
    <row r="2968" spans="27:27" x14ac:dyDescent="0.2">
      <c r="AA2968" s="4"/>
    </row>
    <row r="2969" spans="27:27" x14ac:dyDescent="0.2">
      <c r="AA2969" s="4"/>
    </row>
    <row r="2970" spans="27:27" x14ac:dyDescent="0.2">
      <c r="AA2970" s="4"/>
    </row>
    <row r="2971" spans="27:27" x14ac:dyDescent="0.2">
      <c r="AA2971" s="4"/>
    </row>
    <row r="2972" spans="27:27" x14ac:dyDescent="0.2">
      <c r="AA2972" s="4"/>
    </row>
    <row r="2973" spans="27:27" x14ac:dyDescent="0.2">
      <c r="AA2973" s="4"/>
    </row>
    <row r="2974" spans="27:27" x14ac:dyDescent="0.2">
      <c r="AA2974" s="4"/>
    </row>
    <row r="2975" spans="27:27" x14ac:dyDescent="0.2">
      <c r="AA2975" s="4"/>
    </row>
    <row r="2976" spans="27:27" x14ac:dyDescent="0.2">
      <c r="AA2976" s="4"/>
    </row>
    <row r="2977" spans="27:27" x14ac:dyDescent="0.2">
      <c r="AA2977" s="4"/>
    </row>
    <row r="2978" spans="27:27" x14ac:dyDescent="0.2">
      <c r="AA2978" s="4"/>
    </row>
    <row r="2979" spans="27:27" x14ac:dyDescent="0.2">
      <c r="AA2979" s="4"/>
    </row>
    <row r="2980" spans="27:27" x14ac:dyDescent="0.2">
      <c r="AA2980" s="4"/>
    </row>
    <row r="2981" spans="27:27" x14ac:dyDescent="0.2">
      <c r="AA2981" s="4"/>
    </row>
    <row r="2982" spans="27:27" x14ac:dyDescent="0.2">
      <c r="AA2982" s="4"/>
    </row>
    <row r="2983" spans="27:27" x14ac:dyDescent="0.2">
      <c r="AA2983" s="4"/>
    </row>
    <row r="2984" spans="27:27" x14ac:dyDescent="0.2">
      <c r="AA2984" s="4"/>
    </row>
    <row r="2985" spans="27:27" x14ac:dyDescent="0.2">
      <c r="AA2985" s="4"/>
    </row>
    <row r="2986" spans="27:27" x14ac:dyDescent="0.2">
      <c r="AA2986" s="4"/>
    </row>
    <row r="2987" spans="27:27" x14ac:dyDescent="0.2">
      <c r="AA2987" s="4"/>
    </row>
    <row r="2988" spans="27:27" x14ac:dyDescent="0.2">
      <c r="AA2988" s="4"/>
    </row>
    <row r="2989" spans="27:27" x14ac:dyDescent="0.2">
      <c r="AA2989" s="4"/>
    </row>
    <row r="2990" spans="27:27" x14ac:dyDescent="0.2">
      <c r="AA2990" s="4"/>
    </row>
    <row r="2991" spans="27:27" x14ac:dyDescent="0.2">
      <c r="AA2991" s="4"/>
    </row>
    <row r="2992" spans="27:27" x14ac:dyDescent="0.2">
      <c r="AA2992" s="4"/>
    </row>
    <row r="2993" spans="27:27" x14ac:dyDescent="0.2">
      <c r="AA2993" s="4"/>
    </row>
    <row r="2994" spans="27:27" x14ac:dyDescent="0.2">
      <c r="AA2994" s="4"/>
    </row>
    <row r="2995" spans="27:27" x14ac:dyDescent="0.2">
      <c r="AA2995" s="4"/>
    </row>
    <row r="2996" spans="27:27" x14ac:dyDescent="0.2">
      <c r="AA2996" s="4"/>
    </row>
    <row r="2997" spans="27:27" x14ac:dyDescent="0.2">
      <c r="AA2997" s="4"/>
    </row>
    <row r="2998" spans="27:27" x14ac:dyDescent="0.2">
      <c r="AA2998" s="4"/>
    </row>
    <row r="2999" spans="27:27" x14ac:dyDescent="0.2">
      <c r="AA2999" s="4"/>
    </row>
    <row r="3000" spans="27:27" x14ac:dyDescent="0.2">
      <c r="AA3000" s="4"/>
    </row>
    <row r="3001" spans="27:27" x14ac:dyDescent="0.2">
      <c r="AA3001" s="4"/>
    </row>
    <row r="3002" spans="27:27" x14ac:dyDescent="0.2">
      <c r="AA3002" s="4"/>
    </row>
    <row r="3003" spans="27:27" x14ac:dyDescent="0.2">
      <c r="AA3003" s="4"/>
    </row>
    <row r="3004" spans="27:27" x14ac:dyDescent="0.2">
      <c r="AA3004" s="4"/>
    </row>
    <row r="3005" spans="27:27" x14ac:dyDescent="0.2">
      <c r="AA3005" s="4"/>
    </row>
    <row r="3006" spans="27:27" x14ac:dyDescent="0.2">
      <c r="AA3006" s="4"/>
    </row>
    <row r="3007" spans="27:27" x14ac:dyDescent="0.2">
      <c r="AA3007" s="4"/>
    </row>
    <row r="3008" spans="27:27" x14ac:dyDescent="0.2">
      <c r="AA3008" s="4"/>
    </row>
    <row r="3009" spans="27:27" x14ac:dyDescent="0.2">
      <c r="AA3009" s="4"/>
    </row>
    <row r="3010" spans="27:27" x14ac:dyDescent="0.2">
      <c r="AA3010" s="4"/>
    </row>
    <row r="3011" spans="27:27" x14ac:dyDescent="0.2">
      <c r="AA3011" s="4"/>
    </row>
    <row r="3012" spans="27:27" x14ac:dyDescent="0.2">
      <c r="AA3012" s="4"/>
    </row>
    <row r="3013" spans="27:27" x14ac:dyDescent="0.2">
      <c r="AA3013" s="4"/>
    </row>
    <row r="3014" spans="27:27" x14ac:dyDescent="0.2">
      <c r="AA3014" s="4"/>
    </row>
    <row r="3015" spans="27:27" x14ac:dyDescent="0.2">
      <c r="AA3015" s="4"/>
    </row>
    <row r="3016" spans="27:27" x14ac:dyDescent="0.2">
      <c r="AA3016" s="4"/>
    </row>
    <row r="3017" spans="27:27" x14ac:dyDescent="0.2">
      <c r="AA3017" s="4"/>
    </row>
    <row r="3018" spans="27:27" x14ac:dyDescent="0.2">
      <c r="AA3018" s="4"/>
    </row>
    <row r="3019" spans="27:27" x14ac:dyDescent="0.2">
      <c r="AA3019" s="4"/>
    </row>
    <row r="3020" spans="27:27" x14ac:dyDescent="0.2">
      <c r="AA3020" s="4"/>
    </row>
    <row r="3021" spans="27:27" x14ac:dyDescent="0.2">
      <c r="AA3021" s="4"/>
    </row>
    <row r="3022" spans="27:27" x14ac:dyDescent="0.2">
      <c r="AA3022" s="4"/>
    </row>
    <row r="3023" spans="27:27" x14ac:dyDescent="0.2">
      <c r="AA3023" s="4"/>
    </row>
    <row r="3024" spans="27:27" x14ac:dyDescent="0.2">
      <c r="AA3024" s="4"/>
    </row>
    <row r="3025" spans="27:27" x14ac:dyDescent="0.2">
      <c r="AA3025" s="4"/>
    </row>
    <row r="3026" spans="27:27" x14ac:dyDescent="0.2">
      <c r="AA3026" s="4"/>
    </row>
    <row r="3027" spans="27:27" x14ac:dyDescent="0.2">
      <c r="AA3027" s="4"/>
    </row>
    <row r="3028" spans="27:27" x14ac:dyDescent="0.2">
      <c r="AA3028" s="4"/>
    </row>
    <row r="3029" spans="27:27" x14ac:dyDescent="0.2">
      <c r="AA3029" s="4"/>
    </row>
    <row r="3030" spans="27:27" x14ac:dyDescent="0.2">
      <c r="AA3030" s="4"/>
    </row>
    <row r="3031" spans="27:27" x14ac:dyDescent="0.2">
      <c r="AA3031" s="4"/>
    </row>
    <row r="3032" spans="27:27" x14ac:dyDescent="0.2">
      <c r="AA3032" s="4"/>
    </row>
    <row r="3033" spans="27:27" x14ac:dyDescent="0.2">
      <c r="AA3033" s="4"/>
    </row>
    <row r="3034" spans="27:27" x14ac:dyDescent="0.2">
      <c r="AA3034" s="4"/>
    </row>
    <row r="3035" spans="27:27" x14ac:dyDescent="0.2">
      <c r="AA3035" s="4"/>
    </row>
    <row r="3036" spans="27:27" x14ac:dyDescent="0.2">
      <c r="AA3036" s="4"/>
    </row>
    <row r="3037" spans="27:27" x14ac:dyDescent="0.2">
      <c r="AA3037" s="4"/>
    </row>
    <row r="3038" spans="27:27" x14ac:dyDescent="0.2">
      <c r="AA3038" s="4"/>
    </row>
    <row r="3039" spans="27:27" x14ac:dyDescent="0.2">
      <c r="AA3039" s="4"/>
    </row>
    <row r="3040" spans="27:27" x14ac:dyDescent="0.2">
      <c r="AA3040" s="4"/>
    </row>
    <row r="3041" spans="27:27" x14ac:dyDescent="0.2">
      <c r="AA3041" s="4"/>
    </row>
    <row r="3042" spans="27:27" x14ac:dyDescent="0.2">
      <c r="AA3042" s="4"/>
    </row>
    <row r="3043" spans="27:27" x14ac:dyDescent="0.2">
      <c r="AA3043" s="4"/>
    </row>
    <row r="3044" spans="27:27" x14ac:dyDescent="0.2">
      <c r="AA3044" s="4"/>
    </row>
    <row r="3045" spans="27:27" x14ac:dyDescent="0.2">
      <c r="AA3045" s="4"/>
    </row>
    <row r="3046" spans="27:27" x14ac:dyDescent="0.2">
      <c r="AA3046" s="4"/>
    </row>
    <row r="3047" spans="27:27" x14ac:dyDescent="0.2">
      <c r="AA3047" s="4"/>
    </row>
    <row r="3048" spans="27:27" x14ac:dyDescent="0.2">
      <c r="AA3048" s="4"/>
    </row>
    <row r="3049" spans="27:27" x14ac:dyDescent="0.2">
      <c r="AA3049" s="4"/>
    </row>
    <row r="3050" spans="27:27" x14ac:dyDescent="0.2">
      <c r="AA3050" s="4"/>
    </row>
    <row r="3051" spans="27:27" x14ac:dyDescent="0.2">
      <c r="AA3051" s="4"/>
    </row>
    <row r="3052" spans="27:27" x14ac:dyDescent="0.2">
      <c r="AA3052" s="4"/>
    </row>
    <row r="3053" spans="27:27" x14ac:dyDescent="0.2">
      <c r="AA3053" s="4"/>
    </row>
    <row r="3054" spans="27:27" x14ac:dyDescent="0.2">
      <c r="AA3054" s="4"/>
    </row>
    <row r="3055" spans="27:27" x14ac:dyDescent="0.2">
      <c r="AA3055" s="4"/>
    </row>
    <row r="3056" spans="27:27" x14ac:dyDescent="0.2">
      <c r="AA3056" s="4"/>
    </row>
    <row r="3057" spans="27:27" x14ac:dyDescent="0.2">
      <c r="AA3057" s="4"/>
    </row>
    <row r="3058" spans="27:27" x14ac:dyDescent="0.2">
      <c r="AA3058" s="4"/>
    </row>
    <row r="3059" spans="27:27" x14ac:dyDescent="0.2">
      <c r="AA3059" s="4"/>
    </row>
    <row r="3060" spans="27:27" x14ac:dyDescent="0.2">
      <c r="AA3060" s="4"/>
    </row>
    <row r="3061" spans="27:27" x14ac:dyDescent="0.2">
      <c r="AA3061" s="4"/>
    </row>
    <row r="3062" spans="27:27" x14ac:dyDescent="0.2">
      <c r="AA3062" s="4"/>
    </row>
    <row r="3063" spans="27:27" x14ac:dyDescent="0.2">
      <c r="AA3063" s="4"/>
    </row>
    <row r="3064" spans="27:27" x14ac:dyDescent="0.2">
      <c r="AA3064" s="4"/>
    </row>
    <row r="3065" spans="27:27" x14ac:dyDescent="0.2">
      <c r="AA3065" s="4"/>
    </row>
    <row r="3066" spans="27:27" x14ac:dyDescent="0.2">
      <c r="AA3066" s="4"/>
    </row>
    <row r="3067" spans="27:27" x14ac:dyDescent="0.2">
      <c r="AA3067" s="4"/>
    </row>
    <row r="3068" spans="27:27" x14ac:dyDescent="0.2">
      <c r="AA3068" s="4"/>
    </row>
    <row r="3069" spans="27:27" x14ac:dyDescent="0.2">
      <c r="AA3069" s="4"/>
    </row>
    <row r="3070" spans="27:27" x14ac:dyDescent="0.2">
      <c r="AA3070" s="4"/>
    </row>
    <row r="3071" spans="27:27" x14ac:dyDescent="0.2">
      <c r="AA3071" s="4"/>
    </row>
    <row r="3072" spans="27:27" x14ac:dyDescent="0.2">
      <c r="AA3072" s="4"/>
    </row>
    <row r="3073" spans="27:27" x14ac:dyDescent="0.2">
      <c r="AA3073" s="4"/>
    </row>
    <row r="3074" spans="27:27" x14ac:dyDescent="0.2">
      <c r="AA3074" s="4"/>
    </row>
    <row r="3075" spans="27:27" x14ac:dyDescent="0.2">
      <c r="AA3075" s="4"/>
    </row>
    <row r="3076" spans="27:27" x14ac:dyDescent="0.2">
      <c r="AA3076" s="4"/>
    </row>
    <row r="3077" spans="27:27" x14ac:dyDescent="0.2">
      <c r="AA3077" s="4"/>
    </row>
    <row r="3078" spans="27:27" x14ac:dyDescent="0.2">
      <c r="AA3078" s="4"/>
    </row>
    <row r="3079" spans="27:27" x14ac:dyDescent="0.2">
      <c r="AA3079" s="4"/>
    </row>
    <row r="3080" spans="27:27" x14ac:dyDescent="0.2">
      <c r="AA3080" s="4"/>
    </row>
    <row r="3081" spans="27:27" x14ac:dyDescent="0.2">
      <c r="AA3081" s="4"/>
    </row>
    <row r="3082" spans="27:27" x14ac:dyDescent="0.2">
      <c r="AA3082" s="4"/>
    </row>
    <row r="3083" spans="27:27" x14ac:dyDescent="0.2">
      <c r="AA3083" s="4"/>
    </row>
    <row r="3084" spans="27:27" x14ac:dyDescent="0.2">
      <c r="AA3084" s="4"/>
    </row>
    <row r="3085" spans="27:27" x14ac:dyDescent="0.2">
      <c r="AA3085" s="4"/>
    </row>
    <row r="3086" spans="27:27" x14ac:dyDescent="0.2">
      <c r="AA3086" s="4"/>
    </row>
    <row r="3087" spans="27:27" x14ac:dyDescent="0.2">
      <c r="AA3087" s="4"/>
    </row>
    <row r="3088" spans="27:27" x14ac:dyDescent="0.2">
      <c r="AA3088" s="4"/>
    </row>
    <row r="3089" spans="27:27" x14ac:dyDescent="0.2">
      <c r="AA3089" s="4"/>
    </row>
    <row r="3090" spans="27:27" x14ac:dyDescent="0.2">
      <c r="AA3090" s="4"/>
    </row>
    <row r="3091" spans="27:27" x14ac:dyDescent="0.2">
      <c r="AA3091" s="4"/>
    </row>
    <row r="3092" spans="27:27" x14ac:dyDescent="0.2">
      <c r="AA3092" s="4"/>
    </row>
    <row r="3093" spans="27:27" x14ac:dyDescent="0.2">
      <c r="AA3093" s="4"/>
    </row>
    <row r="3094" spans="27:27" x14ac:dyDescent="0.2">
      <c r="AA3094" s="4"/>
    </row>
    <row r="3095" spans="27:27" x14ac:dyDescent="0.2">
      <c r="AA3095" s="4"/>
    </row>
    <row r="3096" spans="27:27" x14ac:dyDescent="0.2">
      <c r="AA3096" s="4"/>
    </row>
    <row r="3097" spans="27:27" x14ac:dyDescent="0.2">
      <c r="AA3097" s="4"/>
    </row>
    <row r="3098" spans="27:27" x14ac:dyDescent="0.2">
      <c r="AA3098" s="4"/>
    </row>
    <row r="3099" spans="27:27" x14ac:dyDescent="0.2">
      <c r="AA3099" s="4"/>
    </row>
    <row r="3100" spans="27:27" x14ac:dyDescent="0.2">
      <c r="AA3100" s="4"/>
    </row>
    <row r="3101" spans="27:27" x14ac:dyDescent="0.2">
      <c r="AA3101" s="4"/>
    </row>
    <row r="3102" spans="27:27" x14ac:dyDescent="0.2">
      <c r="AA3102" s="4"/>
    </row>
    <row r="3103" spans="27:27" x14ac:dyDescent="0.2">
      <c r="AA3103" s="4"/>
    </row>
    <row r="3104" spans="27:27" x14ac:dyDescent="0.2">
      <c r="AA3104" s="4"/>
    </row>
    <row r="3105" spans="27:27" x14ac:dyDescent="0.2">
      <c r="AA3105" s="4"/>
    </row>
    <row r="3106" spans="27:27" x14ac:dyDescent="0.2">
      <c r="AA3106" s="4"/>
    </row>
    <row r="3107" spans="27:27" x14ac:dyDescent="0.2">
      <c r="AA3107" s="4"/>
    </row>
    <row r="3108" spans="27:27" x14ac:dyDescent="0.2">
      <c r="AA3108" s="4"/>
    </row>
    <row r="3109" spans="27:27" x14ac:dyDescent="0.2">
      <c r="AA3109" s="4"/>
    </row>
    <row r="3110" spans="27:27" x14ac:dyDescent="0.2">
      <c r="AA3110" s="4"/>
    </row>
    <row r="3111" spans="27:27" x14ac:dyDescent="0.2">
      <c r="AA3111" s="4"/>
    </row>
    <row r="3112" spans="27:27" x14ac:dyDescent="0.2">
      <c r="AA3112" s="4"/>
    </row>
    <row r="3113" spans="27:27" x14ac:dyDescent="0.2">
      <c r="AA3113" s="4"/>
    </row>
    <row r="3114" spans="27:27" x14ac:dyDescent="0.2">
      <c r="AA3114" s="4"/>
    </row>
    <row r="3115" spans="27:27" x14ac:dyDescent="0.2">
      <c r="AA3115" s="4"/>
    </row>
    <row r="3116" spans="27:27" x14ac:dyDescent="0.2">
      <c r="AA3116" s="4"/>
    </row>
    <row r="3117" spans="27:27" x14ac:dyDescent="0.2">
      <c r="AA3117" s="4"/>
    </row>
    <row r="3118" spans="27:27" x14ac:dyDescent="0.2">
      <c r="AA3118" s="4"/>
    </row>
    <row r="3119" spans="27:27" x14ac:dyDescent="0.2">
      <c r="AA3119" s="4"/>
    </row>
    <row r="3120" spans="27:27" x14ac:dyDescent="0.2">
      <c r="AA3120" s="4"/>
    </row>
    <row r="3121" spans="27:27" x14ac:dyDescent="0.2">
      <c r="AA3121" s="4"/>
    </row>
    <row r="3122" spans="27:27" x14ac:dyDescent="0.2">
      <c r="AA3122" s="4"/>
    </row>
    <row r="3123" spans="27:27" x14ac:dyDescent="0.2">
      <c r="AA3123" s="4"/>
    </row>
    <row r="3124" spans="27:27" x14ac:dyDescent="0.2">
      <c r="AA3124" s="4"/>
    </row>
    <row r="3125" spans="27:27" x14ac:dyDescent="0.2">
      <c r="AA3125" s="4"/>
    </row>
    <row r="3126" spans="27:27" x14ac:dyDescent="0.2">
      <c r="AA3126" s="4"/>
    </row>
    <row r="3127" spans="27:27" x14ac:dyDescent="0.2">
      <c r="AA3127" s="4"/>
    </row>
    <row r="3128" spans="27:27" x14ac:dyDescent="0.2">
      <c r="AA3128" s="4"/>
    </row>
    <row r="3129" spans="27:27" x14ac:dyDescent="0.2">
      <c r="AA3129" s="4"/>
    </row>
    <row r="3130" spans="27:27" x14ac:dyDescent="0.2">
      <c r="AA3130" s="4"/>
    </row>
    <row r="3131" spans="27:27" x14ac:dyDescent="0.2">
      <c r="AA3131" s="4"/>
    </row>
    <row r="3132" spans="27:27" x14ac:dyDescent="0.2">
      <c r="AA3132" s="4"/>
    </row>
    <row r="3133" spans="27:27" x14ac:dyDescent="0.2">
      <c r="AA3133" s="4"/>
    </row>
    <row r="3134" spans="27:27" x14ac:dyDescent="0.2">
      <c r="AA3134" s="4"/>
    </row>
    <row r="3135" spans="27:27" x14ac:dyDescent="0.2">
      <c r="AA3135" s="4"/>
    </row>
    <row r="3136" spans="27:27" x14ac:dyDescent="0.2">
      <c r="AA3136" s="4"/>
    </row>
    <row r="3137" spans="27:27" x14ac:dyDescent="0.2">
      <c r="AA3137" s="4"/>
    </row>
    <row r="3138" spans="27:27" x14ac:dyDescent="0.2">
      <c r="AA3138" s="4"/>
    </row>
    <row r="3139" spans="27:27" x14ac:dyDescent="0.2">
      <c r="AA3139" s="4"/>
    </row>
    <row r="3140" spans="27:27" x14ac:dyDescent="0.2">
      <c r="AA3140" s="4"/>
    </row>
    <row r="3141" spans="27:27" x14ac:dyDescent="0.2">
      <c r="AA3141" s="4"/>
    </row>
    <row r="3142" spans="27:27" x14ac:dyDescent="0.2">
      <c r="AA3142" s="4"/>
    </row>
    <row r="3143" spans="27:27" x14ac:dyDescent="0.2">
      <c r="AA3143" s="4"/>
    </row>
    <row r="3144" spans="27:27" x14ac:dyDescent="0.2">
      <c r="AA3144" s="4"/>
    </row>
    <row r="3145" spans="27:27" x14ac:dyDescent="0.2">
      <c r="AA3145" s="4"/>
    </row>
    <row r="3146" spans="27:27" x14ac:dyDescent="0.2">
      <c r="AA3146" s="4"/>
    </row>
    <row r="3147" spans="27:27" x14ac:dyDescent="0.2">
      <c r="AA3147" s="4"/>
    </row>
    <row r="3148" spans="27:27" x14ac:dyDescent="0.2">
      <c r="AA3148" s="4"/>
    </row>
    <row r="3149" spans="27:27" x14ac:dyDescent="0.2">
      <c r="AA3149" s="4"/>
    </row>
    <row r="3150" spans="27:27" x14ac:dyDescent="0.2">
      <c r="AA3150" s="4"/>
    </row>
    <row r="3151" spans="27:27" x14ac:dyDescent="0.2">
      <c r="AA3151" s="4"/>
    </row>
    <row r="3152" spans="27:27" x14ac:dyDescent="0.2">
      <c r="AA3152" s="4"/>
    </row>
    <row r="3153" spans="27:27" x14ac:dyDescent="0.2">
      <c r="AA3153" s="4"/>
    </row>
    <row r="3154" spans="27:27" x14ac:dyDescent="0.2">
      <c r="AA3154" s="4"/>
    </row>
    <row r="3155" spans="27:27" x14ac:dyDescent="0.2">
      <c r="AA3155" s="4"/>
    </row>
    <row r="3156" spans="27:27" x14ac:dyDescent="0.2">
      <c r="AA3156" s="4"/>
    </row>
    <row r="3157" spans="27:27" x14ac:dyDescent="0.2">
      <c r="AA3157" s="4"/>
    </row>
    <row r="3158" spans="27:27" x14ac:dyDescent="0.2">
      <c r="AA3158" s="4"/>
    </row>
    <row r="3159" spans="27:27" x14ac:dyDescent="0.2">
      <c r="AA3159" s="4"/>
    </row>
    <row r="3160" spans="27:27" x14ac:dyDescent="0.2">
      <c r="AA3160" s="4"/>
    </row>
    <row r="3161" spans="27:27" x14ac:dyDescent="0.2">
      <c r="AA3161" s="4"/>
    </row>
    <row r="3162" spans="27:27" x14ac:dyDescent="0.2">
      <c r="AA3162" s="4"/>
    </row>
    <row r="3163" spans="27:27" x14ac:dyDescent="0.2">
      <c r="AA3163" s="4"/>
    </row>
    <row r="3164" spans="27:27" x14ac:dyDescent="0.2">
      <c r="AA3164" s="4"/>
    </row>
    <row r="3165" spans="27:27" x14ac:dyDescent="0.2">
      <c r="AA3165" s="4"/>
    </row>
    <row r="3166" spans="27:27" x14ac:dyDescent="0.2">
      <c r="AA3166" s="4"/>
    </row>
    <row r="3167" spans="27:27" x14ac:dyDescent="0.2">
      <c r="AA3167" s="4"/>
    </row>
    <row r="3168" spans="27:27" x14ac:dyDescent="0.2">
      <c r="AA3168" s="4"/>
    </row>
    <row r="3169" spans="27:27" x14ac:dyDescent="0.2">
      <c r="AA3169" s="4"/>
    </row>
    <row r="3170" spans="27:27" x14ac:dyDescent="0.2">
      <c r="AA3170" s="4"/>
    </row>
    <row r="3171" spans="27:27" x14ac:dyDescent="0.2">
      <c r="AA3171" s="4"/>
    </row>
    <row r="3172" spans="27:27" x14ac:dyDescent="0.2">
      <c r="AA3172" s="4"/>
    </row>
    <row r="3173" spans="27:27" x14ac:dyDescent="0.2">
      <c r="AA3173" s="4"/>
    </row>
    <row r="3174" spans="27:27" x14ac:dyDescent="0.2">
      <c r="AA3174" s="4"/>
    </row>
    <row r="3175" spans="27:27" x14ac:dyDescent="0.2">
      <c r="AA3175" s="4"/>
    </row>
    <row r="3176" spans="27:27" x14ac:dyDescent="0.2">
      <c r="AA3176" s="4"/>
    </row>
    <row r="3177" spans="27:27" x14ac:dyDescent="0.2">
      <c r="AA3177" s="4"/>
    </row>
    <row r="3178" spans="27:27" x14ac:dyDescent="0.2">
      <c r="AA3178" s="4"/>
    </row>
    <row r="3179" spans="27:27" x14ac:dyDescent="0.2">
      <c r="AA3179" s="4"/>
    </row>
    <row r="3180" spans="27:27" x14ac:dyDescent="0.2">
      <c r="AA3180" s="4"/>
    </row>
    <row r="3181" spans="27:27" x14ac:dyDescent="0.2">
      <c r="AA3181" s="4"/>
    </row>
    <row r="3182" spans="27:27" x14ac:dyDescent="0.2">
      <c r="AA3182" s="4"/>
    </row>
    <row r="3183" spans="27:27" x14ac:dyDescent="0.2">
      <c r="AA3183" s="4"/>
    </row>
    <row r="3184" spans="27:27" x14ac:dyDescent="0.2">
      <c r="AA3184" s="4"/>
    </row>
    <row r="3185" spans="27:27" x14ac:dyDescent="0.2">
      <c r="AA3185" s="4"/>
    </row>
    <row r="3186" spans="27:27" x14ac:dyDescent="0.2">
      <c r="AA3186" s="4"/>
    </row>
    <row r="3187" spans="27:27" x14ac:dyDescent="0.2">
      <c r="AA3187" s="4"/>
    </row>
    <row r="3188" spans="27:27" x14ac:dyDescent="0.2">
      <c r="AA3188" s="4"/>
    </row>
    <row r="3189" spans="27:27" x14ac:dyDescent="0.2">
      <c r="AA3189" s="4"/>
    </row>
    <row r="3190" spans="27:27" x14ac:dyDescent="0.2">
      <c r="AA3190" s="4"/>
    </row>
    <row r="3191" spans="27:27" x14ac:dyDescent="0.2">
      <c r="AA3191" s="4"/>
    </row>
    <row r="3192" spans="27:27" x14ac:dyDescent="0.2">
      <c r="AA3192" s="4"/>
    </row>
    <row r="3193" spans="27:27" x14ac:dyDescent="0.2">
      <c r="AA3193" s="4"/>
    </row>
    <row r="3194" spans="27:27" x14ac:dyDescent="0.2">
      <c r="AA3194" s="4"/>
    </row>
    <row r="3195" spans="27:27" x14ac:dyDescent="0.2">
      <c r="AA3195" s="4"/>
    </row>
    <row r="3196" spans="27:27" x14ac:dyDescent="0.2">
      <c r="AA3196" s="4"/>
    </row>
    <row r="3197" spans="27:27" x14ac:dyDescent="0.2">
      <c r="AA3197" s="4"/>
    </row>
    <row r="3198" spans="27:27" x14ac:dyDescent="0.2">
      <c r="AA3198" s="4"/>
    </row>
    <row r="3199" spans="27:27" x14ac:dyDescent="0.2">
      <c r="AA3199" s="4"/>
    </row>
    <row r="3200" spans="27:27" x14ac:dyDescent="0.2">
      <c r="AA3200" s="4"/>
    </row>
    <row r="3201" spans="27:27" x14ac:dyDescent="0.2">
      <c r="AA3201" s="4"/>
    </row>
    <row r="3202" spans="27:27" x14ac:dyDescent="0.2">
      <c r="AA3202" s="4"/>
    </row>
    <row r="3203" spans="27:27" x14ac:dyDescent="0.2">
      <c r="AA3203" s="4"/>
    </row>
    <row r="3204" spans="27:27" x14ac:dyDescent="0.2">
      <c r="AA3204" s="4"/>
    </row>
    <row r="3205" spans="27:27" x14ac:dyDescent="0.2">
      <c r="AA3205" s="4"/>
    </row>
    <row r="3206" spans="27:27" x14ac:dyDescent="0.2">
      <c r="AA3206" s="4"/>
    </row>
    <row r="3207" spans="27:27" x14ac:dyDescent="0.2">
      <c r="AA3207" s="4"/>
    </row>
    <row r="3208" spans="27:27" x14ac:dyDescent="0.2">
      <c r="AA3208" s="4"/>
    </row>
    <row r="3209" spans="27:27" x14ac:dyDescent="0.2">
      <c r="AA3209" s="4"/>
    </row>
    <row r="3210" spans="27:27" x14ac:dyDescent="0.2">
      <c r="AA3210" s="4"/>
    </row>
    <row r="3211" spans="27:27" x14ac:dyDescent="0.2">
      <c r="AA3211" s="4"/>
    </row>
    <row r="3212" spans="27:27" x14ac:dyDescent="0.2">
      <c r="AA3212" s="4"/>
    </row>
    <row r="3213" spans="27:27" x14ac:dyDescent="0.2">
      <c r="AA3213" s="4"/>
    </row>
    <row r="3214" spans="27:27" x14ac:dyDescent="0.2">
      <c r="AA3214" s="4"/>
    </row>
    <row r="3215" spans="27:27" x14ac:dyDescent="0.2">
      <c r="AA3215" s="4"/>
    </row>
    <row r="3216" spans="27:27" x14ac:dyDescent="0.2">
      <c r="AA3216" s="4"/>
    </row>
    <row r="3217" spans="27:27" x14ac:dyDescent="0.2">
      <c r="AA3217" s="4"/>
    </row>
    <row r="3218" spans="27:27" x14ac:dyDescent="0.2">
      <c r="AA3218" s="4"/>
    </row>
    <row r="3219" spans="27:27" x14ac:dyDescent="0.2">
      <c r="AA3219" s="4"/>
    </row>
    <row r="3220" spans="27:27" x14ac:dyDescent="0.2">
      <c r="AA3220" s="4"/>
    </row>
    <row r="3221" spans="27:27" x14ac:dyDescent="0.2">
      <c r="AA3221" s="4"/>
    </row>
    <row r="3222" spans="27:27" x14ac:dyDescent="0.2">
      <c r="AA3222" s="4"/>
    </row>
    <row r="3223" spans="27:27" x14ac:dyDescent="0.2">
      <c r="AA3223" s="4"/>
    </row>
    <row r="3224" spans="27:27" x14ac:dyDescent="0.2">
      <c r="AA3224" s="4"/>
    </row>
    <row r="3225" spans="27:27" x14ac:dyDescent="0.2">
      <c r="AA3225" s="4"/>
    </row>
    <row r="3226" spans="27:27" x14ac:dyDescent="0.2">
      <c r="AA3226" s="4"/>
    </row>
    <row r="3227" spans="27:27" x14ac:dyDescent="0.2">
      <c r="AA3227" s="4"/>
    </row>
    <row r="3228" spans="27:27" x14ac:dyDescent="0.2">
      <c r="AA3228" s="4"/>
    </row>
    <row r="3229" spans="27:27" x14ac:dyDescent="0.2">
      <c r="AA3229" s="4"/>
    </row>
    <row r="3230" spans="27:27" x14ac:dyDescent="0.2">
      <c r="AA3230" s="4"/>
    </row>
    <row r="3231" spans="27:27" x14ac:dyDescent="0.2">
      <c r="AA3231" s="4"/>
    </row>
    <row r="3232" spans="27:27" x14ac:dyDescent="0.2">
      <c r="AA3232" s="4"/>
    </row>
    <row r="3233" spans="27:27" x14ac:dyDescent="0.2">
      <c r="AA3233" s="4"/>
    </row>
    <row r="3234" spans="27:27" x14ac:dyDescent="0.2">
      <c r="AA3234" s="4"/>
    </row>
    <row r="3235" spans="27:27" x14ac:dyDescent="0.2">
      <c r="AA3235" s="4"/>
    </row>
    <row r="3236" spans="27:27" x14ac:dyDescent="0.2">
      <c r="AA3236" s="4"/>
    </row>
    <row r="3237" spans="27:27" x14ac:dyDescent="0.2">
      <c r="AA3237" s="4"/>
    </row>
    <row r="3238" spans="27:27" x14ac:dyDescent="0.2">
      <c r="AA3238" s="4"/>
    </row>
    <row r="3239" spans="27:27" x14ac:dyDescent="0.2">
      <c r="AA3239" s="4"/>
    </row>
    <row r="3240" spans="27:27" x14ac:dyDescent="0.2">
      <c r="AA3240" s="4"/>
    </row>
    <row r="3241" spans="27:27" x14ac:dyDescent="0.2">
      <c r="AA3241" s="4"/>
    </row>
    <row r="3242" spans="27:27" x14ac:dyDescent="0.2">
      <c r="AA3242" s="4"/>
    </row>
    <row r="3243" spans="27:27" x14ac:dyDescent="0.2">
      <c r="AA3243" s="4"/>
    </row>
    <row r="3244" spans="27:27" x14ac:dyDescent="0.2">
      <c r="AA3244" s="4"/>
    </row>
    <row r="3245" spans="27:27" x14ac:dyDescent="0.2">
      <c r="AA3245" s="4"/>
    </row>
    <row r="3246" spans="27:27" x14ac:dyDescent="0.2">
      <c r="AA3246" s="4"/>
    </row>
    <row r="3247" spans="27:27" x14ac:dyDescent="0.2">
      <c r="AA3247" s="4"/>
    </row>
    <row r="3248" spans="27:27" x14ac:dyDescent="0.2">
      <c r="AA3248" s="4"/>
    </row>
    <row r="3249" spans="27:27" x14ac:dyDescent="0.2">
      <c r="AA3249" s="4"/>
    </row>
    <row r="3250" spans="27:27" x14ac:dyDescent="0.2">
      <c r="AA3250" s="4"/>
    </row>
    <row r="3251" spans="27:27" x14ac:dyDescent="0.2">
      <c r="AA3251" s="4"/>
    </row>
    <row r="3252" spans="27:27" x14ac:dyDescent="0.2">
      <c r="AA3252" s="4"/>
    </row>
    <row r="3253" spans="27:27" x14ac:dyDescent="0.2">
      <c r="AA3253" s="4"/>
    </row>
    <row r="3254" spans="27:27" x14ac:dyDescent="0.2">
      <c r="AA3254" s="4"/>
    </row>
    <row r="3255" spans="27:27" x14ac:dyDescent="0.2">
      <c r="AA3255" s="4"/>
    </row>
    <row r="3256" spans="27:27" x14ac:dyDescent="0.2">
      <c r="AA3256" s="4"/>
    </row>
    <row r="3257" spans="27:27" x14ac:dyDescent="0.2">
      <c r="AA3257" s="4"/>
    </row>
    <row r="3258" spans="27:27" x14ac:dyDescent="0.2">
      <c r="AA3258" s="4"/>
    </row>
    <row r="3259" spans="27:27" x14ac:dyDescent="0.2">
      <c r="AA3259" s="4"/>
    </row>
    <row r="3260" spans="27:27" x14ac:dyDescent="0.2">
      <c r="AA3260" s="4"/>
    </row>
    <row r="3261" spans="27:27" x14ac:dyDescent="0.2">
      <c r="AA3261" s="4"/>
    </row>
    <row r="3262" spans="27:27" x14ac:dyDescent="0.2">
      <c r="AA3262" s="4"/>
    </row>
    <row r="3263" spans="27:27" x14ac:dyDescent="0.2">
      <c r="AA3263" s="4"/>
    </row>
    <row r="3264" spans="27:27" x14ac:dyDescent="0.2">
      <c r="AA3264" s="4"/>
    </row>
    <row r="3265" spans="27:27" x14ac:dyDescent="0.2">
      <c r="AA3265" s="4"/>
    </row>
    <row r="3266" spans="27:27" x14ac:dyDescent="0.2">
      <c r="AA3266" s="4"/>
    </row>
    <row r="3267" spans="27:27" x14ac:dyDescent="0.2">
      <c r="AA3267" s="4"/>
    </row>
    <row r="3268" spans="27:27" x14ac:dyDescent="0.2">
      <c r="AA3268" s="4"/>
    </row>
    <row r="3269" spans="27:27" x14ac:dyDescent="0.2">
      <c r="AA3269" s="4"/>
    </row>
    <row r="3270" spans="27:27" x14ac:dyDescent="0.2">
      <c r="AA3270" s="4"/>
    </row>
    <row r="3271" spans="27:27" x14ac:dyDescent="0.2">
      <c r="AA3271" s="4"/>
    </row>
    <row r="3272" spans="27:27" x14ac:dyDescent="0.2">
      <c r="AA3272" s="4"/>
    </row>
    <row r="3273" spans="27:27" x14ac:dyDescent="0.2">
      <c r="AA3273" s="4"/>
    </row>
    <row r="3274" spans="27:27" x14ac:dyDescent="0.2">
      <c r="AA3274" s="4"/>
    </row>
    <row r="3275" spans="27:27" x14ac:dyDescent="0.2">
      <c r="AA3275" s="4"/>
    </row>
    <row r="3276" spans="27:27" x14ac:dyDescent="0.2">
      <c r="AA3276" s="4"/>
    </row>
    <row r="3277" spans="27:27" x14ac:dyDescent="0.2">
      <c r="AA3277" s="4"/>
    </row>
    <row r="3278" spans="27:27" x14ac:dyDescent="0.2">
      <c r="AA3278" s="4"/>
    </row>
    <row r="3279" spans="27:27" x14ac:dyDescent="0.2">
      <c r="AA3279" s="4"/>
    </row>
    <row r="3280" spans="27:27" x14ac:dyDescent="0.2">
      <c r="AA3280" s="4"/>
    </row>
    <row r="3281" spans="27:27" x14ac:dyDescent="0.2">
      <c r="AA3281" s="4"/>
    </row>
    <row r="3282" spans="27:27" x14ac:dyDescent="0.2">
      <c r="AA3282" s="4"/>
    </row>
    <row r="3283" spans="27:27" x14ac:dyDescent="0.2">
      <c r="AA3283" s="4"/>
    </row>
    <row r="3284" spans="27:27" x14ac:dyDescent="0.2">
      <c r="AA3284" s="4"/>
    </row>
    <row r="3285" spans="27:27" x14ac:dyDescent="0.2">
      <c r="AA3285" s="4"/>
    </row>
    <row r="3286" spans="27:27" x14ac:dyDescent="0.2">
      <c r="AA3286" s="4"/>
    </row>
    <row r="3287" spans="27:27" x14ac:dyDescent="0.2">
      <c r="AA3287" s="4"/>
    </row>
    <row r="3288" spans="27:27" x14ac:dyDescent="0.2">
      <c r="AA3288" s="4"/>
    </row>
    <row r="3289" spans="27:27" x14ac:dyDescent="0.2">
      <c r="AA3289" s="4"/>
    </row>
    <row r="3290" spans="27:27" x14ac:dyDescent="0.2">
      <c r="AA3290" s="4"/>
    </row>
    <row r="3291" spans="27:27" x14ac:dyDescent="0.2">
      <c r="AA3291" s="4"/>
    </row>
    <row r="3292" spans="27:27" x14ac:dyDescent="0.2">
      <c r="AA3292" s="4"/>
    </row>
    <row r="3293" spans="27:27" x14ac:dyDescent="0.2">
      <c r="AA3293" s="4"/>
    </row>
    <row r="3294" spans="27:27" x14ac:dyDescent="0.2">
      <c r="AA3294" s="4"/>
    </row>
    <row r="3295" spans="27:27" x14ac:dyDescent="0.2">
      <c r="AA3295" s="4"/>
    </row>
    <row r="3296" spans="27:27" x14ac:dyDescent="0.2">
      <c r="AA3296" s="4"/>
    </row>
    <row r="3297" spans="27:27" x14ac:dyDescent="0.2">
      <c r="AA3297" s="4"/>
    </row>
    <row r="3298" spans="27:27" x14ac:dyDescent="0.2">
      <c r="AA3298" s="4"/>
    </row>
    <row r="3299" spans="27:27" x14ac:dyDescent="0.2">
      <c r="AA3299" s="4"/>
    </row>
    <row r="3300" spans="27:27" x14ac:dyDescent="0.2">
      <c r="AA3300" s="4"/>
    </row>
    <row r="3301" spans="27:27" x14ac:dyDescent="0.2">
      <c r="AA3301" s="4"/>
    </row>
    <row r="3302" spans="27:27" x14ac:dyDescent="0.2">
      <c r="AA3302" s="4"/>
    </row>
    <row r="3303" spans="27:27" x14ac:dyDescent="0.2">
      <c r="AA3303" s="4"/>
    </row>
    <row r="3304" spans="27:27" x14ac:dyDescent="0.2">
      <c r="AA3304" s="4"/>
    </row>
    <row r="3305" spans="27:27" x14ac:dyDescent="0.2">
      <c r="AA3305" s="4"/>
    </row>
    <row r="3306" spans="27:27" x14ac:dyDescent="0.2">
      <c r="AA3306" s="4"/>
    </row>
    <row r="3307" spans="27:27" x14ac:dyDescent="0.2">
      <c r="AA3307" s="4"/>
    </row>
    <row r="3308" spans="27:27" x14ac:dyDescent="0.2">
      <c r="AA3308" s="4"/>
    </row>
    <row r="3309" spans="27:27" x14ac:dyDescent="0.2">
      <c r="AA3309" s="4"/>
    </row>
    <row r="3310" spans="27:27" x14ac:dyDescent="0.2">
      <c r="AA3310" s="4"/>
    </row>
    <row r="3311" spans="27:27" x14ac:dyDescent="0.2">
      <c r="AA3311" s="4"/>
    </row>
    <row r="3312" spans="27:27" x14ac:dyDescent="0.2">
      <c r="AA3312" s="4"/>
    </row>
    <row r="3313" spans="27:27" x14ac:dyDescent="0.2">
      <c r="AA3313" s="4"/>
    </row>
    <row r="3314" spans="27:27" x14ac:dyDescent="0.2">
      <c r="AA3314" s="4"/>
    </row>
    <row r="3315" spans="27:27" x14ac:dyDescent="0.2">
      <c r="AA3315" s="4"/>
    </row>
    <row r="3316" spans="27:27" x14ac:dyDescent="0.2">
      <c r="AA3316" s="4"/>
    </row>
    <row r="3317" spans="27:27" x14ac:dyDescent="0.2">
      <c r="AA3317" s="4"/>
    </row>
    <row r="3318" spans="27:27" x14ac:dyDescent="0.2">
      <c r="AA3318" s="4"/>
    </row>
    <row r="3319" spans="27:27" x14ac:dyDescent="0.2">
      <c r="AA3319" s="4"/>
    </row>
    <row r="3320" spans="27:27" x14ac:dyDescent="0.2">
      <c r="AA3320" s="4"/>
    </row>
    <row r="3321" spans="27:27" x14ac:dyDescent="0.2">
      <c r="AA3321" s="4"/>
    </row>
    <row r="3322" spans="27:27" x14ac:dyDescent="0.2">
      <c r="AA3322" s="4"/>
    </row>
    <row r="3323" spans="27:27" x14ac:dyDescent="0.2">
      <c r="AA3323" s="4"/>
    </row>
    <row r="3324" spans="27:27" x14ac:dyDescent="0.2">
      <c r="AA3324" s="4"/>
    </row>
    <row r="3325" spans="27:27" x14ac:dyDescent="0.2">
      <c r="AA3325" s="4"/>
    </row>
    <row r="3326" spans="27:27" x14ac:dyDescent="0.2">
      <c r="AA3326" s="4"/>
    </row>
    <row r="3327" spans="27:27" x14ac:dyDescent="0.2">
      <c r="AA3327" s="4"/>
    </row>
    <row r="3328" spans="27:27" x14ac:dyDescent="0.2">
      <c r="AA3328" s="4"/>
    </row>
    <row r="3329" spans="27:27" x14ac:dyDescent="0.2">
      <c r="AA3329" s="4"/>
    </row>
    <row r="3330" spans="27:27" x14ac:dyDescent="0.2">
      <c r="AA3330" s="4"/>
    </row>
    <row r="3331" spans="27:27" x14ac:dyDescent="0.2">
      <c r="AA3331" s="4"/>
    </row>
    <row r="3332" spans="27:27" x14ac:dyDescent="0.2">
      <c r="AA3332" s="4"/>
    </row>
    <row r="3333" spans="27:27" x14ac:dyDescent="0.2">
      <c r="AA3333" s="4"/>
    </row>
    <row r="3334" spans="27:27" x14ac:dyDescent="0.2">
      <c r="AA3334" s="4"/>
    </row>
    <row r="3335" spans="27:27" x14ac:dyDescent="0.2">
      <c r="AA3335" s="4"/>
    </row>
    <row r="3336" spans="27:27" x14ac:dyDescent="0.2">
      <c r="AA3336" s="4"/>
    </row>
    <row r="3337" spans="27:27" x14ac:dyDescent="0.2">
      <c r="AA3337" s="4"/>
    </row>
    <row r="3338" spans="27:27" x14ac:dyDescent="0.2">
      <c r="AA3338" s="4"/>
    </row>
    <row r="3339" spans="27:27" x14ac:dyDescent="0.2">
      <c r="AA3339" s="4"/>
    </row>
    <row r="3340" spans="27:27" x14ac:dyDescent="0.2">
      <c r="AA3340" s="4"/>
    </row>
    <row r="3341" spans="27:27" x14ac:dyDescent="0.2">
      <c r="AA3341" s="4"/>
    </row>
    <row r="3342" spans="27:27" x14ac:dyDescent="0.2">
      <c r="AA3342" s="4"/>
    </row>
    <row r="3343" spans="27:27" x14ac:dyDescent="0.2">
      <c r="AA3343" s="4"/>
    </row>
    <row r="3344" spans="27:27" x14ac:dyDescent="0.2">
      <c r="AA3344" s="4"/>
    </row>
    <row r="3345" spans="27:27" x14ac:dyDescent="0.2">
      <c r="AA3345" s="4"/>
    </row>
    <row r="3346" spans="27:27" x14ac:dyDescent="0.2">
      <c r="AA3346" s="4"/>
    </row>
    <row r="3347" spans="27:27" x14ac:dyDescent="0.2">
      <c r="AA3347" s="4"/>
    </row>
    <row r="3348" spans="27:27" x14ac:dyDescent="0.2">
      <c r="AA3348" s="4"/>
    </row>
    <row r="3349" spans="27:27" x14ac:dyDescent="0.2">
      <c r="AA3349" s="4"/>
    </row>
    <row r="3350" spans="27:27" x14ac:dyDescent="0.2">
      <c r="AA3350" s="4"/>
    </row>
    <row r="3351" spans="27:27" x14ac:dyDescent="0.2">
      <c r="AA3351" s="4"/>
    </row>
    <row r="3352" spans="27:27" x14ac:dyDescent="0.2">
      <c r="AA3352" s="4"/>
    </row>
    <row r="3353" spans="27:27" x14ac:dyDescent="0.2">
      <c r="AA3353" s="4"/>
    </row>
    <row r="3354" spans="27:27" x14ac:dyDescent="0.2">
      <c r="AA3354" s="4"/>
    </row>
    <row r="3355" spans="27:27" x14ac:dyDescent="0.2">
      <c r="AA3355" s="4"/>
    </row>
    <row r="3356" spans="27:27" x14ac:dyDescent="0.2">
      <c r="AA3356" s="4"/>
    </row>
    <row r="3357" spans="27:27" x14ac:dyDescent="0.2">
      <c r="AA3357" s="4"/>
    </row>
    <row r="3358" spans="27:27" x14ac:dyDescent="0.2">
      <c r="AA3358" s="4"/>
    </row>
    <row r="3359" spans="27:27" x14ac:dyDescent="0.2">
      <c r="AA3359" s="4"/>
    </row>
    <row r="3360" spans="27:27" x14ac:dyDescent="0.2">
      <c r="AA3360" s="4"/>
    </row>
    <row r="3361" spans="27:27" x14ac:dyDescent="0.2">
      <c r="AA3361" s="4"/>
    </row>
    <row r="3362" spans="27:27" x14ac:dyDescent="0.2">
      <c r="AA3362" s="4"/>
    </row>
    <row r="3363" spans="27:27" x14ac:dyDescent="0.2">
      <c r="AA3363" s="4"/>
    </row>
    <row r="3364" spans="27:27" x14ac:dyDescent="0.2">
      <c r="AA3364" s="4"/>
    </row>
    <row r="3365" spans="27:27" x14ac:dyDescent="0.2">
      <c r="AA3365" s="4"/>
    </row>
    <row r="3366" spans="27:27" x14ac:dyDescent="0.2">
      <c r="AA3366" s="4"/>
    </row>
    <row r="3367" spans="27:27" x14ac:dyDescent="0.2">
      <c r="AA3367" s="4"/>
    </row>
    <row r="3368" spans="27:27" x14ac:dyDescent="0.2">
      <c r="AA3368" s="4"/>
    </row>
    <row r="3369" spans="27:27" x14ac:dyDescent="0.2">
      <c r="AA3369" s="4"/>
    </row>
    <row r="3370" spans="27:27" x14ac:dyDescent="0.2">
      <c r="AA3370" s="4"/>
    </row>
    <row r="3371" spans="27:27" x14ac:dyDescent="0.2">
      <c r="AA3371" s="4"/>
    </row>
    <row r="3372" spans="27:27" x14ac:dyDescent="0.2">
      <c r="AA3372" s="4"/>
    </row>
    <row r="3373" spans="27:27" x14ac:dyDescent="0.2">
      <c r="AA3373" s="4"/>
    </row>
    <row r="3374" spans="27:27" x14ac:dyDescent="0.2">
      <c r="AA3374" s="4"/>
    </row>
    <row r="3375" spans="27:27" x14ac:dyDescent="0.2">
      <c r="AA3375" s="4"/>
    </row>
    <row r="3376" spans="27:27" x14ac:dyDescent="0.2">
      <c r="AA3376" s="4"/>
    </row>
    <row r="3377" spans="27:27" x14ac:dyDescent="0.2">
      <c r="AA3377" s="4"/>
    </row>
    <row r="3378" spans="27:27" x14ac:dyDescent="0.2">
      <c r="AA3378" s="4"/>
    </row>
    <row r="3379" spans="27:27" x14ac:dyDescent="0.2">
      <c r="AA3379" s="4"/>
    </row>
    <row r="3380" spans="27:27" x14ac:dyDescent="0.2">
      <c r="AA3380" s="4"/>
    </row>
    <row r="3381" spans="27:27" x14ac:dyDescent="0.2">
      <c r="AA3381" s="4"/>
    </row>
    <row r="3382" spans="27:27" x14ac:dyDescent="0.2">
      <c r="AA3382" s="4"/>
    </row>
    <row r="3383" spans="27:27" x14ac:dyDescent="0.2">
      <c r="AA3383" s="4"/>
    </row>
    <row r="3384" spans="27:27" x14ac:dyDescent="0.2">
      <c r="AA3384" s="4"/>
    </row>
    <row r="3385" spans="27:27" x14ac:dyDescent="0.2">
      <c r="AA3385" s="4"/>
    </row>
    <row r="3386" spans="27:27" x14ac:dyDescent="0.2">
      <c r="AA3386" s="4"/>
    </row>
    <row r="3387" spans="27:27" x14ac:dyDescent="0.2">
      <c r="AA3387" s="4"/>
    </row>
    <row r="3388" spans="27:27" x14ac:dyDescent="0.2">
      <c r="AA3388" s="4"/>
    </row>
    <row r="3389" spans="27:27" x14ac:dyDescent="0.2">
      <c r="AA3389" s="4"/>
    </row>
    <row r="3390" spans="27:27" x14ac:dyDescent="0.2">
      <c r="AA3390" s="4"/>
    </row>
    <row r="3391" spans="27:27" x14ac:dyDescent="0.2">
      <c r="AA3391" s="4"/>
    </row>
    <row r="3392" spans="27:27" x14ac:dyDescent="0.2">
      <c r="AA3392" s="4"/>
    </row>
    <row r="3393" spans="27:27" x14ac:dyDescent="0.2">
      <c r="AA3393" s="4"/>
    </row>
    <row r="3394" spans="27:27" x14ac:dyDescent="0.2">
      <c r="AA3394" s="4"/>
    </row>
    <row r="3395" spans="27:27" x14ac:dyDescent="0.2">
      <c r="AA3395" s="4"/>
    </row>
    <row r="3396" spans="27:27" x14ac:dyDescent="0.2">
      <c r="AA3396" s="4"/>
    </row>
    <row r="3397" spans="27:27" x14ac:dyDescent="0.2">
      <c r="AA3397" s="4"/>
    </row>
    <row r="3398" spans="27:27" x14ac:dyDescent="0.2">
      <c r="AA3398" s="4"/>
    </row>
    <row r="3399" spans="27:27" x14ac:dyDescent="0.2">
      <c r="AA3399" s="4"/>
    </row>
    <row r="3400" spans="27:27" x14ac:dyDescent="0.2">
      <c r="AA3400" s="4"/>
    </row>
    <row r="3401" spans="27:27" x14ac:dyDescent="0.2">
      <c r="AA3401" s="4"/>
    </row>
    <row r="3402" spans="27:27" x14ac:dyDescent="0.2">
      <c r="AA3402" s="4"/>
    </row>
    <row r="3403" spans="27:27" x14ac:dyDescent="0.2">
      <c r="AA3403" s="4"/>
    </row>
    <row r="3404" spans="27:27" x14ac:dyDescent="0.2">
      <c r="AA3404" s="4"/>
    </row>
    <row r="3405" spans="27:27" x14ac:dyDescent="0.2">
      <c r="AA3405" s="4"/>
    </row>
    <row r="3406" spans="27:27" x14ac:dyDescent="0.2">
      <c r="AA3406" s="4"/>
    </row>
    <row r="3407" spans="27:27" x14ac:dyDescent="0.2">
      <c r="AA3407" s="4"/>
    </row>
    <row r="3408" spans="27:27" x14ac:dyDescent="0.2">
      <c r="AA3408" s="4"/>
    </row>
    <row r="3409" spans="27:27" x14ac:dyDescent="0.2">
      <c r="AA3409" s="4"/>
    </row>
    <row r="3410" spans="27:27" x14ac:dyDescent="0.2">
      <c r="AA3410" s="4"/>
    </row>
    <row r="3411" spans="27:27" x14ac:dyDescent="0.2">
      <c r="AA3411" s="4"/>
    </row>
    <row r="3412" spans="27:27" x14ac:dyDescent="0.2">
      <c r="AA3412" s="4"/>
    </row>
    <row r="3413" spans="27:27" x14ac:dyDescent="0.2">
      <c r="AA3413" s="4"/>
    </row>
    <row r="3414" spans="27:27" x14ac:dyDescent="0.2">
      <c r="AA3414" s="4"/>
    </row>
    <row r="3415" spans="27:27" x14ac:dyDescent="0.2">
      <c r="AA3415" s="4"/>
    </row>
    <row r="3416" spans="27:27" x14ac:dyDescent="0.2">
      <c r="AA3416" s="4"/>
    </row>
    <row r="3417" spans="27:27" x14ac:dyDescent="0.2">
      <c r="AA3417" s="4"/>
    </row>
    <row r="3418" spans="27:27" x14ac:dyDescent="0.2">
      <c r="AA3418" s="4"/>
    </row>
    <row r="3419" spans="27:27" x14ac:dyDescent="0.2">
      <c r="AA3419" s="4"/>
    </row>
    <row r="3420" spans="27:27" x14ac:dyDescent="0.2">
      <c r="AA3420" s="4"/>
    </row>
    <row r="3421" spans="27:27" x14ac:dyDescent="0.2">
      <c r="AA3421" s="4"/>
    </row>
    <row r="3422" spans="27:27" x14ac:dyDescent="0.2">
      <c r="AA3422" s="4"/>
    </row>
    <row r="3423" spans="27:27" x14ac:dyDescent="0.2">
      <c r="AA3423" s="4"/>
    </row>
    <row r="3424" spans="27:27" x14ac:dyDescent="0.2">
      <c r="AA3424" s="4"/>
    </row>
    <row r="3425" spans="27:27" x14ac:dyDescent="0.2">
      <c r="AA3425" s="4"/>
    </row>
    <row r="3426" spans="27:27" x14ac:dyDescent="0.2">
      <c r="AA3426" s="4"/>
    </row>
    <row r="3427" spans="27:27" x14ac:dyDescent="0.2">
      <c r="AA3427" s="4"/>
    </row>
    <row r="3428" spans="27:27" x14ac:dyDescent="0.2">
      <c r="AA3428" s="4"/>
    </row>
    <row r="3429" spans="27:27" x14ac:dyDescent="0.2">
      <c r="AA3429" s="4"/>
    </row>
    <row r="3430" spans="27:27" x14ac:dyDescent="0.2">
      <c r="AA3430" s="4"/>
    </row>
    <row r="3431" spans="27:27" x14ac:dyDescent="0.2">
      <c r="AA3431" s="4"/>
    </row>
    <row r="3432" spans="27:27" x14ac:dyDescent="0.2">
      <c r="AA3432" s="4"/>
    </row>
    <row r="3433" spans="27:27" x14ac:dyDescent="0.2">
      <c r="AA3433" s="4"/>
    </row>
    <row r="3434" spans="27:27" x14ac:dyDescent="0.2">
      <c r="AA3434" s="4"/>
    </row>
    <row r="3435" spans="27:27" x14ac:dyDescent="0.2">
      <c r="AA3435" s="4"/>
    </row>
    <row r="3436" spans="27:27" x14ac:dyDescent="0.2">
      <c r="AA3436" s="4"/>
    </row>
    <row r="3437" spans="27:27" x14ac:dyDescent="0.2">
      <c r="AA3437" s="4"/>
    </row>
    <row r="3438" spans="27:27" x14ac:dyDescent="0.2">
      <c r="AA3438" s="4"/>
    </row>
    <row r="3439" spans="27:27" x14ac:dyDescent="0.2">
      <c r="AA3439" s="4"/>
    </row>
    <row r="3440" spans="27:27" x14ac:dyDescent="0.2">
      <c r="AA3440" s="4"/>
    </row>
    <row r="3441" spans="27:27" x14ac:dyDescent="0.2">
      <c r="AA3441" s="4"/>
    </row>
    <row r="3442" spans="27:27" x14ac:dyDescent="0.2">
      <c r="AA3442" s="4"/>
    </row>
    <row r="3443" spans="27:27" x14ac:dyDescent="0.2">
      <c r="AA3443" s="4"/>
    </row>
    <row r="3444" spans="27:27" x14ac:dyDescent="0.2">
      <c r="AA3444" s="4"/>
    </row>
    <row r="3445" spans="27:27" x14ac:dyDescent="0.2">
      <c r="AA3445" s="4"/>
    </row>
    <row r="3446" spans="27:27" x14ac:dyDescent="0.2">
      <c r="AA3446" s="4"/>
    </row>
    <row r="3447" spans="27:27" x14ac:dyDescent="0.2">
      <c r="AA3447" s="4"/>
    </row>
    <row r="3448" spans="27:27" x14ac:dyDescent="0.2">
      <c r="AA3448" s="4"/>
    </row>
    <row r="3449" spans="27:27" x14ac:dyDescent="0.2">
      <c r="AA3449" s="4"/>
    </row>
    <row r="3450" spans="27:27" x14ac:dyDescent="0.2">
      <c r="AA3450" s="4"/>
    </row>
    <row r="3451" spans="27:27" x14ac:dyDescent="0.2">
      <c r="AA3451" s="4"/>
    </row>
    <row r="3452" spans="27:27" x14ac:dyDescent="0.2">
      <c r="AA3452" s="4"/>
    </row>
    <row r="3453" spans="27:27" x14ac:dyDescent="0.2">
      <c r="AA3453" s="4"/>
    </row>
    <row r="3454" spans="27:27" x14ac:dyDescent="0.2">
      <c r="AA3454" s="4"/>
    </row>
    <row r="3455" spans="27:27" x14ac:dyDescent="0.2">
      <c r="AA3455" s="4"/>
    </row>
    <row r="3456" spans="27:27" x14ac:dyDescent="0.2">
      <c r="AA3456" s="4"/>
    </row>
    <row r="3457" spans="27:27" x14ac:dyDescent="0.2">
      <c r="AA3457" s="4"/>
    </row>
    <row r="3458" spans="27:27" x14ac:dyDescent="0.2">
      <c r="AA3458" s="4"/>
    </row>
    <row r="3459" spans="27:27" x14ac:dyDescent="0.2">
      <c r="AA3459" s="4"/>
    </row>
    <row r="3460" spans="27:27" x14ac:dyDescent="0.2">
      <c r="AA3460" s="4"/>
    </row>
    <row r="3461" spans="27:27" x14ac:dyDescent="0.2">
      <c r="AA3461" s="4"/>
    </row>
    <row r="3462" spans="27:27" x14ac:dyDescent="0.2">
      <c r="AA3462" s="4"/>
    </row>
    <row r="3463" spans="27:27" x14ac:dyDescent="0.2">
      <c r="AA3463" s="4"/>
    </row>
    <row r="3464" spans="27:27" x14ac:dyDescent="0.2">
      <c r="AA3464" s="4"/>
    </row>
    <row r="3465" spans="27:27" x14ac:dyDescent="0.2">
      <c r="AA3465" s="4"/>
    </row>
    <row r="3466" spans="27:27" x14ac:dyDescent="0.2">
      <c r="AA3466" s="4"/>
    </row>
    <row r="3467" spans="27:27" x14ac:dyDescent="0.2">
      <c r="AA3467" s="4"/>
    </row>
    <row r="3468" spans="27:27" x14ac:dyDescent="0.2">
      <c r="AA3468" s="4"/>
    </row>
    <row r="3469" spans="27:27" x14ac:dyDescent="0.2">
      <c r="AA3469" s="4"/>
    </row>
    <row r="3470" spans="27:27" x14ac:dyDescent="0.2">
      <c r="AA3470" s="4"/>
    </row>
    <row r="3471" spans="27:27" x14ac:dyDescent="0.2">
      <c r="AA3471" s="4"/>
    </row>
    <row r="3472" spans="27:27" x14ac:dyDescent="0.2">
      <c r="AA3472" s="4"/>
    </row>
    <row r="3473" spans="27:27" x14ac:dyDescent="0.2">
      <c r="AA3473" s="4"/>
    </row>
    <row r="3474" spans="27:27" x14ac:dyDescent="0.2">
      <c r="AA3474" s="4"/>
    </row>
    <row r="3475" spans="27:27" x14ac:dyDescent="0.2">
      <c r="AA3475" s="4"/>
    </row>
    <row r="3476" spans="27:27" x14ac:dyDescent="0.2">
      <c r="AA3476" s="4"/>
    </row>
    <row r="3477" spans="27:27" x14ac:dyDescent="0.2">
      <c r="AA3477" s="4"/>
    </row>
    <row r="3478" spans="27:27" x14ac:dyDescent="0.2">
      <c r="AA3478" s="4"/>
    </row>
    <row r="3479" spans="27:27" x14ac:dyDescent="0.2">
      <c r="AA3479" s="4"/>
    </row>
    <row r="3480" spans="27:27" x14ac:dyDescent="0.2">
      <c r="AA3480" s="4"/>
    </row>
    <row r="3481" spans="27:27" x14ac:dyDescent="0.2">
      <c r="AA3481" s="4"/>
    </row>
    <row r="3482" spans="27:27" x14ac:dyDescent="0.2">
      <c r="AA3482" s="4"/>
    </row>
    <row r="3483" spans="27:27" x14ac:dyDescent="0.2">
      <c r="AA3483" s="4"/>
    </row>
    <row r="3484" spans="27:27" x14ac:dyDescent="0.2">
      <c r="AA3484" s="4"/>
    </row>
    <row r="3485" spans="27:27" x14ac:dyDescent="0.2">
      <c r="AA3485" s="4"/>
    </row>
    <row r="3486" spans="27:27" x14ac:dyDescent="0.2">
      <c r="AA3486" s="4"/>
    </row>
    <row r="3487" spans="27:27" x14ac:dyDescent="0.2">
      <c r="AA3487" s="4"/>
    </row>
    <row r="3488" spans="27:27" x14ac:dyDescent="0.2">
      <c r="AA3488" s="4"/>
    </row>
    <row r="3489" spans="27:27" x14ac:dyDescent="0.2">
      <c r="AA3489" s="4"/>
    </row>
    <row r="3490" spans="27:27" x14ac:dyDescent="0.2">
      <c r="AA3490" s="4"/>
    </row>
    <row r="3491" spans="27:27" x14ac:dyDescent="0.2">
      <c r="AA3491" s="4"/>
    </row>
    <row r="3492" spans="27:27" x14ac:dyDescent="0.2">
      <c r="AA3492" s="4"/>
    </row>
    <row r="3493" spans="27:27" x14ac:dyDescent="0.2">
      <c r="AA3493" s="4"/>
    </row>
    <row r="3494" spans="27:27" x14ac:dyDescent="0.2">
      <c r="AA3494" s="4"/>
    </row>
    <row r="3495" spans="27:27" x14ac:dyDescent="0.2">
      <c r="AA3495" s="4"/>
    </row>
    <row r="3496" spans="27:27" x14ac:dyDescent="0.2">
      <c r="AA3496" s="4"/>
    </row>
    <row r="3497" spans="27:27" x14ac:dyDescent="0.2">
      <c r="AA3497" s="4"/>
    </row>
    <row r="3498" spans="27:27" x14ac:dyDescent="0.2">
      <c r="AA3498" s="4"/>
    </row>
    <row r="3499" spans="27:27" x14ac:dyDescent="0.2">
      <c r="AA3499" s="4"/>
    </row>
    <row r="3500" spans="27:27" x14ac:dyDescent="0.2">
      <c r="AA3500" s="4"/>
    </row>
    <row r="3501" spans="27:27" x14ac:dyDescent="0.2">
      <c r="AA3501" s="4"/>
    </row>
    <row r="3502" spans="27:27" x14ac:dyDescent="0.2">
      <c r="AA3502" s="4"/>
    </row>
    <row r="3503" spans="27:27" x14ac:dyDescent="0.2">
      <c r="AA3503" s="4"/>
    </row>
    <row r="3504" spans="27:27" x14ac:dyDescent="0.2">
      <c r="AA3504" s="4"/>
    </row>
    <row r="3505" spans="27:27" x14ac:dyDescent="0.2">
      <c r="AA3505" s="4"/>
    </row>
    <row r="3506" spans="27:27" x14ac:dyDescent="0.2">
      <c r="AA3506" s="4"/>
    </row>
    <row r="3507" spans="27:27" x14ac:dyDescent="0.2">
      <c r="AA3507" s="4"/>
    </row>
    <row r="3508" spans="27:27" x14ac:dyDescent="0.2">
      <c r="AA3508" s="4"/>
    </row>
    <row r="3509" spans="27:27" x14ac:dyDescent="0.2">
      <c r="AA3509" s="4"/>
    </row>
    <row r="3510" spans="27:27" x14ac:dyDescent="0.2">
      <c r="AA3510" s="4"/>
    </row>
    <row r="3511" spans="27:27" x14ac:dyDescent="0.2">
      <c r="AA3511" s="4"/>
    </row>
    <row r="3512" spans="27:27" x14ac:dyDescent="0.2">
      <c r="AA3512" s="4"/>
    </row>
    <row r="3513" spans="27:27" x14ac:dyDescent="0.2">
      <c r="AA3513" s="4"/>
    </row>
    <row r="3514" spans="27:27" x14ac:dyDescent="0.2">
      <c r="AA3514" s="4"/>
    </row>
    <row r="3515" spans="27:27" x14ac:dyDescent="0.2">
      <c r="AA3515" s="4"/>
    </row>
    <row r="3516" spans="27:27" x14ac:dyDescent="0.2">
      <c r="AA3516" s="4"/>
    </row>
    <row r="3517" spans="27:27" x14ac:dyDescent="0.2">
      <c r="AA3517" s="4"/>
    </row>
    <row r="3518" spans="27:27" x14ac:dyDescent="0.2">
      <c r="AA3518" s="4"/>
    </row>
    <row r="3519" spans="27:27" x14ac:dyDescent="0.2">
      <c r="AA3519" s="4"/>
    </row>
    <row r="3520" spans="27:27" x14ac:dyDescent="0.2">
      <c r="AA3520" s="4"/>
    </row>
    <row r="3521" spans="27:27" x14ac:dyDescent="0.2">
      <c r="AA3521" s="4"/>
    </row>
    <row r="3522" spans="27:27" x14ac:dyDescent="0.2">
      <c r="AA3522" s="4"/>
    </row>
    <row r="3523" spans="27:27" x14ac:dyDescent="0.2">
      <c r="AA3523" s="4"/>
    </row>
    <row r="3524" spans="27:27" x14ac:dyDescent="0.2">
      <c r="AA3524" s="4"/>
    </row>
    <row r="3525" spans="27:27" x14ac:dyDescent="0.2">
      <c r="AA3525" s="4"/>
    </row>
    <row r="3526" spans="27:27" x14ac:dyDescent="0.2">
      <c r="AA3526" s="4"/>
    </row>
    <row r="3527" spans="27:27" x14ac:dyDescent="0.2">
      <c r="AA3527" s="4"/>
    </row>
    <row r="3528" spans="27:27" x14ac:dyDescent="0.2">
      <c r="AA3528" s="4"/>
    </row>
    <row r="3529" spans="27:27" x14ac:dyDescent="0.2">
      <c r="AA3529" s="4"/>
    </row>
    <row r="3530" spans="27:27" x14ac:dyDescent="0.2">
      <c r="AA3530" s="4"/>
    </row>
    <row r="3531" spans="27:27" x14ac:dyDescent="0.2">
      <c r="AA3531" s="4"/>
    </row>
    <row r="3532" spans="27:27" x14ac:dyDescent="0.2">
      <c r="AA3532" s="4"/>
    </row>
    <row r="3533" spans="27:27" x14ac:dyDescent="0.2">
      <c r="AA3533" s="4"/>
    </row>
    <row r="3534" spans="27:27" x14ac:dyDescent="0.2">
      <c r="AA3534" s="4"/>
    </row>
    <row r="3535" spans="27:27" x14ac:dyDescent="0.2">
      <c r="AA3535" s="4"/>
    </row>
    <row r="3536" spans="27:27" x14ac:dyDescent="0.2">
      <c r="AA3536" s="4"/>
    </row>
    <row r="3537" spans="27:27" x14ac:dyDescent="0.2">
      <c r="AA3537" s="4"/>
    </row>
    <row r="3538" spans="27:27" x14ac:dyDescent="0.2">
      <c r="AA3538" s="4"/>
    </row>
    <row r="3539" spans="27:27" x14ac:dyDescent="0.2">
      <c r="AA3539" s="4"/>
    </row>
    <row r="3540" spans="27:27" x14ac:dyDescent="0.2">
      <c r="AA3540" s="4"/>
    </row>
    <row r="3541" spans="27:27" x14ac:dyDescent="0.2">
      <c r="AA3541" s="4"/>
    </row>
    <row r="3542" spans="27:27" x14ac:dyDescent="0.2">
      <c r="AA3542" s="4"/>
    </row>
    <row r="3543" spans="27:27" x14ac:dyDescent="0.2">
      <c r="AA3543" s="4"/>
    </row>
    <row r="3544" spans="27:27" x14ac:dyDescent="0.2">
      <c r="AA3544" s="4"/>
    </row>
    <row r="3545" spans="27:27" x14ac:dyDescent="0.2">
      <c r="AA3545" s="4"/>
    </row>
    <row r="3546" spans="27:27" x14ac:dyDescent="0.2">
      <c r="AA3546" s="4"/>
    </row>
    <row r="3547" spans="27:27" x14ac:dyDescent="0.2">
      <c r="AA3547" s="4"/>
    </row>
    <row r="3548" spans="27:27" x14ac:dyDescent="0.2">
      <c r="AA3548" s="4"/>
    </row>
    <row r="3549" spans="27:27" x14ac:dyDescent="0.2">
      <c r="AA3549" s="4"/>
    </row>
    <row r="3550" spans="27:27" x14ac:dyDescent="0.2">
      <c r="AA3550" s="4"/>
    </row>
    <row r="3551" spans="27:27" x14ac:dyDescent="0.2">
      <c r="AA3551" s="4"/>
    </row>
    <row r="3552" spans="27:27" x14ac:dyDescent="0.2">
      <c r="AA3552" s="4"/>
    </row>
    <row r="3553" spans="27:27" x14ac:dyDescent="0.2">
      <c r="AA3553" s="4"/>
    </row>
    <row r="3554" spans="27:27" x14ac:dyDescent="0.2">
      <c r="AA3554" s="4"/>
    </row>
    <row r="3555" spans="27:27" x14ac:dyDescent="0.2">
      <c r="AA3555" s="4"/>
    </row>
    <row r="3556" spans="27:27" x14ac:dyDescent="0.2">
      <c r="AA3556" s="4"/>
    </row>
    <row r="3557" spans="27:27" x14ac:dyDescent="0.2">
      <c r="AA3557" s="4"/>
    </row>
    <row r="3558" spans="27:27" x14ac:dyDescent="0.2">
      <c r="AA3558" s="4"/>
    </row>
    <row r="3559" spans="27:27" x14ac:dyDescent="0.2">
      <c r="AA3559" s="4"/>
    </row>
    <row r="3560" spans="27:27" x14ac:dyDescent="0.2">
      <c r="AA3560" s="4"/>
    </row>
    <row r="3561" spans="27:27" x14ac:dyDescent="0.2">
      <c r="AA3561" s="4"/>
    </row>
    <row r="3562" spans="27:27" x14ac:dyDescent="0.2">
      <c r="AA3562" s="4"/>
    </row>
    <row r="3563" spans="27:27" x14ac:dyDescent="0.2">
      <c r="AA3563" s="4"/>
    </row>
    <row r="3564" spans="27:27" x14ac:dyDescent="0.2">
      <c r="AA3564" s="4"/>
    </row>
    <row r="3565" spans="27:27" x14ac:dyDescent="0.2">
      <c r="AA3565" s="4"/>
    </row>
    <row r="3566" spans="27:27" x14ac:dyDescent="0.2">
      <c r="AA3566" s="4"/>
    </row>
    <row r="3567" spans="27:27" x14ac:dyDescent="0.2">
      <c r="AA3567" s="4"/>
    </row>
    <row r="3568" spans="27:27" x14ac:dyDescent="0.2">
      <c r="AA3568" s="4"/>
    </row>
    <row r="3569" spans="27:27" x14ac:dyDescent="0.2">
      <c r="AA3569" s="4"/>
    </row>
    <row r="3570" spans="27:27" x14ac:dyDescent="0.2">
      <c r="AA3570" s="4"/>
    </row>
    <row r="3571" spans="27:27" x14ac:dyDescent="0.2">
      <c r="AA3571" s="4"/>
    </row>
    <row r="3572" spans="27:27" x14ac:dyDescent="0.2">
      <c r="AA3572" s="4"/>
    </row>
    <row r="3573" spans="27:27" x14ac:dyDescent="0.2">
      <c r="AA3573" s="4"/>
    </row>
    <row r="3574" spans="27:27" x14ac:dyDescent="0.2">
      <c r="AA3574" s="4"/>
    </row>
    <row r="3575" spans="27:27" x14ac:dyDescent="0.2">
      <c r="AA3575" s="4"/>
    </row>
    <row r="3576" spans="27:27" x14ac:dyDescent="0.2">
      <c r="AA3576" s="4"/>
    </row>
    <row r="3577" spans="27:27" x14ac:dyDescent="0.2">
      <c r="AA3577" s="4"/>
    </row>
    <row r="3578" spans="27:27" x14ac:dyDescent="0.2">
      <c r="AA3578" s="4"/>
    </row>
    <row r="3579" spans="27:27" x14ac:dyDescent="0.2">
      <c r="AA3579" s="4"/>
    </row>
    <row r="3580" spans="27:27" x14ac:dyDescent="0.2">
      <c r="AA3580" s="4"/>
    </row>
    <row r="3581" spans="27:27" x14ac:dyDescent="0.2">
      <c r="AA3581" s="4"/>
    </row>
    <row r="3582" spans="27:27" x14ac:dyDescent="0.2">
      <c r="AA3582" s="4"/>
    </row>
    <row r="3583" spans="27:27" x14ac:dyDescent="0.2">
      <c r="AA3583" s="4"/>
    </row>
    <row r="3584" spans="27:27" x14ac:dyDescent="0.2">
      <c r="AA3584" s="4"/>
    </row>
    <row r="3585" spans="27:27" x14ac:dyDescent="0.2">
      <c r="AA3585" s="4"/>
    </row>
    <row r="3586" spans="27:27" x14ac:dyDescent="0.2">
      <c r="AA3586" s="4"/>
    </row>
    <row r="3587" spans="27:27" x14ac:dyDescent="0.2">
      <c r="AA3587" s="4"/>
    </row>
    <row r="3588" spans="27:27" x14ac:dyDescent="0.2">
      <c r="AA3588" s="4"/>
    </row>
    <row r="3589" spans="27:27" x14ac:dyDescent="0.2">
      <c r="AA3589" s="4"/>
    </row>
    <row r="3590" spans="27:27" x14ac:dyDescent="0.2">
      <c r="AA3590" s="4"/>
    </row>
    <row r="3591" spans="27:27" x14ac:dyDescent="0.2">
      <c r="AA3591" s="4"/>
    </row>
    <row r="3592" spans="27:27" x14ac:dyDescent="0.2">
      <c r="AA3592" s="4"/>
    </row>
    <row r="3593" spans="27:27" x14ac:dyDescent="0.2">
      <c r="AA3593" s="4"/>
    </row>
    <row r="3594" spans="27:27" x14ac:dyDescent="0.2">
      <c r="AA3594" s="4"/>
    </row>
    <row r="3595" spans="27:27" x14ac:dyDescent="0.2">
      <c r="AA3595" s="4"/>
    </row>
    <row r="3596" spans="27:27" x14ac:dyDescent="0.2">
      <c r="AA3596" s="4"/>
    </row>
    <row r="3597" spans="27:27" x14ac:dyDescent="0.2">
      <c r="AA3597" s="4"/>
    </row>
    <row r="3598" spans="27:27" x14ac:dyDescent="0.2">
      <c r="AA3598" s="4"/>
    </row>
    <row r="3599" spans="27:27" x14ac:dyDescent="0.2">
      <c r="AA3599" s="4"/>
    </row>
    <row r="3600" spans="27:27" x14ac:dyDescent="0.2">
      <c r="AA3600" s="4"/>
    </row>
    <row r="3601" spans="27:27" x14ac:dyDescent="0.2">
      <c r="AA3601" s="4"/>
    </row>
    <row r="3602" spans="27:27" x14ac:dyDescent="0.2">
      <c r="AA3602" s="4"/>
    </row>
    <row r="3603" spans="27:27" x14ac:dyDescent="0.2">
      <c r="AA3603" s="4"/>
    </row>
    <row r="3604" spans="27:27" x14ac:dyDescent="0.2">
      <c r="AA3604" s="4"/>
    </row>
    <row r="3605" spans="27:27" x14ac:dyDescent="0.2">
      <c r="AA3605" s="4"/>
    </row>
    <row r="3606" spans="27:27" x14ac:dyDescent="0.2">
      <c r="AA3606" s="4"/>
    </row>
    <row r="3607" spans="27:27" x14ac:dyDescent="0.2">
      <c r="AA3607" s="4"/>
    </row>
    <row r="3608" spans="27:27" x14ac:dyDescent="0.2">
      <c r="AA3608" s="4"/>
    </row>
    <row r="3609" spans="27:27" x14ac:dyDescent="0.2">
      <c r="AA3609" s="4"/>
    </row>
    <row r="3610" spans="27:27" x14ac:dyDescent="0.2">
      <c r="AA3610" s="4"/>
    </row>
    <row r="3611" spans="27:27" x14ac:dyDescent="0.2">
      <c r="AA3611" s="4"/>
    </row>
    <row r="3612" spans="27:27" x14ac:dyDescent="0.2">
      <c r="AA3612" s="4"/>
    </row>
    <row r="3613" spans="27:27" x14ac:dyDescent="0.2">
      <c r="AA3613" s="4"/>
    </row>
    <row r="3614" spans="27:27" x14ac:dyDescent="0.2">
      <c r="AA3614" s="4"/>
    </row>
    <row r="3615" spans="27:27" x14ac:dyDescent="0.2">
      <c r="AA3615" s="4"/>
    </row>
    <row r="3616" spans="27:27" x14ac:dyDescent="0.2">
      <c r="AA3616" s="4"/>
    </row>
    <row r="3617" spans="27:27" x14ac:dyDescent="0.2">
      <c r="AA3617" s="4"/>
    </row>
    <row r="3618" spans="27:27" x14ac:dyDescent="0.2">
      <c r="AA3618" s="4"/>
    </row>
    <row r="3619" spans="27:27" x14ac:dyDescent="0.2">
      <c r="AA3619" s="4"/>
    </row>
    <row r="3620" spans="27:27" x14ac:dyDescent="0.2">
      <c r="AA3620" s="4"/>
    </row>
    <row r="3621" spans="27:27" x14ac:dyDescent="0.2">
      <c r="AA3621" s="4"/>
    </row>
    <row r="3622" spans="27:27" x14ac:dyDescent="0.2">
      <c r="AA3622" s="4"/>
    </row>
    <row r="3623" spans="27:27" x14ac:dyDescent="0.2">
      <c r="AA3623" s="4"/>
    </row>
    <row r="3624" spans="27:27" x14ac:dyDescent="0.2">
      <c r="AA3624" s="4"/>
    </row>
    <row r="3625" spans="27:27" x14ac:dyDescent="0.2">
      <c r="AA3625" s="4"/>
    </row>
    <row r="3626" spans="27:27" x14ac:dyDescent="0.2">
      <c r="AA3626" s="4"/>
    </row>
    <row r="3627" spans="27:27" x14ac:dyDescent="0.2">
      <c r="AA3627" s="4"/>
    </row>
    <row r="3628" spans="27:27" x14ac:dyDescent="0.2">
      <c r="AA3628" s="4"/>
    </row>
    <row r="3629" spans="27:27" x14ac:dyDescent="0.2">
      <c r="AA3629" s="4"/>
    </row>
    <row r="3630" spans="27:27" x14ac:dyDescent="0.2">
      <c r="AA3630" s="4"/>
    </row>
    <row r="3631" spans="27:27" x14ac:dyDescent="0.2">
      <c r="AA3631" s="4"/>
    </row>
    <row r="3632" spans="27:27" x14ac:dyDescent="0.2">
      <c r="AA3632" s="4"/>
    </row>
    <row r="3633" spans="27:27" x14ac:dyDescent="0.2">
      <c r="AA3633" s="4"/>
    </row>
    <row r="3634" spans="27:27" x14ac:dyDescent="0.2">
      <c r="AA3634" s="4"/>
    </row>
    <row r="3635" spans="27:27" x14ac:dyDescent="0.2">
      <c r="AA3635" s="4"/>
    </row>
    <row r="3636" spans="27:27" x14ac:dyDescent="0.2">
      <c r="AA3636" s="4"/>
    </row>
    <row r="3637" spans="27:27" x14ac:dyDescent="0.2">
      <c r="AA3637" s="4"/>
    </row>
    <row r="3638" spans="27:27" x14ac:dyDescent="0.2">
      <c r="AA3638" s="4"/>
    </row>
    <row r="3639" spans="27:27" x14ac:dyDescent="0.2">
      <c r="AA3639" s="4"/>
    </row>
    <row r="3640" spans="27:27" x14ac:dyDescent="0.2">
      <c r="AA3640" s="4"/>
    </row>
    <row r="3641" spans="27:27" x14ac:dyDescent="0.2">
      <c r="AA3641" s="4"/>
    </row>
    <row r="3642" spans="27:27" x14ac:dyDescent="0.2">
      <c r="AA3642" s="4"/>
    </row>
    <row r="3643" spans="27:27" x14ac:dyDescent="0.2">
      <c r="AA3643" s="4"/>
    </row>
    <row r="3644" spans="27:27" x14ac:dyDescent="0.2">
      <c r="AA3644" s="4"/>
    </row>
    <row r="3645" spans="27:27" x14ac:dyDescent="0.2">
      <c r="AA3645" s="4"/>
    </row>
    <row r="3646" spans="27:27" x14ac:dyDescent="0.2">
      <c r="AA3646" s="4"/>
    </row>
    <row r="3647" spans="27:27" x14ac:dyDescent="0.2">
      <c r="AA3647" s="4"/>
    </row>
    <row r="3648" spans="27:27" x14ac:dyDescent="0.2">
      <c r="AA3648" s="4"/>
    </row>
    <row r="3649" spans="27:27" x14ac:dyDescent="0.2">
      <c r="AA3649" s="4"/>
    </row>
    <row r="3650" spans="27:27" x14ac:dyDescent="0.2">
      <c r="AA3650" s="4"/>
    </row>
    <row r="3651" spans="27:27" x14ac:dyDescent="0.2">
      <c r="AA3651" s="4"/>
    </row>
    <row r="3652" spans="27:27" x14ac:dyDescent="0.2">
      <c r="AA3652" s="4"/>
    </row>
    <row r="3653" spans="27:27" x14ac:dyDescent="0.2">
      <c r="AA3653" s="4"/>
    </row>
    <row r="3654" spans="27:27" x14ac:dyDescent="0.2">
      <c r="AA3654" s="4"/>
    </row>
    <row r="3655" spans="27:27" x14ac:dyDescent="0.2">
      <c r="AA3655" s="4"/>
    </row>
    <row r="3656" spans="27:27" x14ac:dyDescent="0.2">
      <c r="AA3656" s="4"/>
    </row>
    <row r="3657" spans="27:27" x14ac:dyDescent="0.2">
      <c r="AA3657" s="4"/>
    </row>
    <row r="3658" spans="27:27" x14ac:dyDescent="0.2">
      <c r="AA3658" s="4"/>
    </row>
    <row r="3659" spans="27:27" x14ac:dyDescent="0.2">
      <c r="AA3659" s="4"/>
    </row>
    <row r="3660" spans="27:27" x14ac:dyDescent="0.2">
      <c r="AA3660" s="4"/>
    </row>
    <row r="3661" spans="27:27" x14ac:dyDescent="0.2">
      <c r="AA3661" s="4"/>
    </row>
    <row r="3662" spans="27:27" x14ac:dyDescent="0.2">
      <c r="AA3662" s="4"/>
    </row>
    <row r="3663" spans="27:27" x14ac:dyDescent="0.2">
      <c r="AA3663" s="4"/>
    </row>
    <row r="3664" spans="27:27" x14ac:dyDescent="0.2">
      <c r="AA3664" s="4"/>
    </row>
    <row r="3665" spans="27:27" x14ac:dyDescent="0.2">
      <c r="AA3665" s="4"/>
    </row>
    <row r="3666" spans="27:27" x14ac:dyDescent="0.2">
      <c r="AA3666" s="4"/>
    </row>
    <row r="3667" spans="27:27" x14ac:dyDescent="0.2">
      <c r="AA3667" s="4"/>
    </row>
    <row r="3668" spans="27:27" x14ac:dyDescent="0.2">
      <c r="AA3668" s="4"/>
    </row>
    <row r="3669" spans="27:27" x14ac:dyDescent="0.2">
      <c r="AA3669" s="4"/>
    </row>
    <row r="3670" spans="27:27" x14ac:dyDescent="0.2">
      <c r="AA3670" s="4"/>
    </row>
    <row r="3671" spans="27:27" x14ac:dyDescent="0.2">
      <c r="AA3671" s="4"/>
    </row>
    <row r="3672" spans="27:27" x14ac:dyDescent="0.2">
      <c r="AA3672" s="4"/>
    </row>
    <row r="3673" spans="27:27" x14ac:dyDescent="0.2">
      <c r="AA3673" s="4"/>
    </row>
    <row r="3674" spans="27:27" x14ac:dyDescent="0.2">
      <c r="AA3674" s="4"/>
    </row>
    <row r="3675" spans="27:27" x14ac:dyDescent="0.2">
      <c r="AA3675" s="4"/>
    </row>
    <row r="3676" spans="27:27" x14ac:dyDescent="0.2">
      <c r="AA3676" s="4"/>
    </row>
    <row r="3677" spans="27:27" x14ac:dyDescent="0.2">
      <c r="AA3677" s="4"/>
    </row>
    <row r="3678" spans="27:27" x14ac:dyDescent="0.2">
      <c r="AA3678" s="4"/>
    </row>
    <row r="3679" spans="27:27" x14ac:dyDescent="0.2">
      <c r="AA3679" s="4"/>
    </row>
    <row r="3680" spans="27:27" x14ac:dyDescent="0.2">
      <c r="AA3680" s="4"/>
    </row>
    <row r="3681" spans="27:27" x14ac:dyDescent="0.2">
      <c r="AA3681" s="4"/>
    </row>
    <row r="3682" spans="27:27" x14ac:dyDescent="0.2">
      <c r="AA3682" s="4"/>
    </row>
    <row r="3683" spans="27:27" x14ac:dyDescent="0.2">
      <c r="AA3683" s="4"/>
    </row>
    <row r="3684" spans="27:27" x14ac:dyDescent="0.2">
      <c r="AA3684" s="4"/>
    </row>
    <row r="3685" spans="27:27" x14ac:dyDescent="0.2">
      <c r="AA3685" s="4"/>
    </row>
    <row r="3686" spans="27:27" x14ac:dyDescent="0.2">
      <c r="AA3686" s="4"/>
    </row>
    <row r="3687" spans="27:27" x14ac:dyDescent="0.2">
      <c r="AA3687" s="4"/>
    </row>
    <row r="3688" spans="27:27" x14ac:dyDescent="0.2">
      <c r="AA3688" s="4"/>
    </row>
    <row r="3689" spans="27:27" x14ac:dyDescent="0.2">
      <c r="AA3689" s="4"/>
    </row>
    <row r="3690" spans="27:27" x14ac:dyDescent="0.2">
      <c r="AA3690" s="4"/>
    </row>
    <row r="3691" spans="27:27" x14ac:dyDescent="0.2">
      <c r="AA3691" s="4"/>
    </row>
    <row r="3692" spans="27:27" x14ac:dyDescent="0.2">
      <c r="AA3692" s="4"/>
    </row>
    <row r="3693" spans="27:27" x14ac:dyDescent="0.2">
      <c r="AA3693" s="4"/>
    </row>
    <row r="3694" spans="27:27" x14ac:dyDescent="0.2">
      <c r="AA3694" s="4"/>
    </row>
    <row r="3695" spans="27:27" x14ac:dyDescent="0.2">
      <c r="AA3695" s="4"/>
    </row>
    <row r="3696" spans="27:27" x14ac:dyDescent="0.2">
      <c r="AA3696" s="4"/>
    </row>
    <row r="3697" spans="27:27" x14ac:dyDescent="0.2">
      <c r="AA3697" s="4"/>
    </row>
    <row r="3698" spans="27:27" x14ac:dyDescent="0.2">
      <c r="AA3698" s="4"/>
    </row>
    <row r="3699" spans="27:27" x14ac:dyDescent="0.2">
      <c r="AA3699" s="4"/>
    </row>
    <row r="3700" spans="27:27" x14ac:dyDescent="0.2">
      <c r="AA3700" s="4"/>
    </row>
    <row r="3701" spans="27:27" x14ac:dyDescent="0.2">
      <c r="AA3701" s="4"/>
    </row>
    <row r="3702" spans="27:27" x14ac:dyDescent="0.2">
      <c r="AA3702" s="4"/>
    </row>
    <row r="3703" spans="27:27" x14ac:dyDescent="0.2">
      <c r="AA3703" s="4"/>
    </row>
    <row r="3704" spans="27:27" x14ac:dyDescent="0.2">
      <c r="AA3704" s="4"/>
    </row>
    <row r="3705" spans="27:27" x14ac:dyDescent="0.2">
      <c r="AA3705" s="4"/>
    </row>
    <row r="3706" spans="27:27" x14ac:dyDescent="0.2">
      <c r="AA3706" s="4"/>
    </row>
    <row r="3707" spans="27:27" x14ac:dyDescent="0.2">
      <c r="AA3707" s="4"/>
    </row>
    <row r="3708" spans="27:27" x14ac:dyDescent="0.2">
      <c r="AA3708" s="4"/>
    </row>
    <row r="3709" spans="27:27" x14ac:dyDescent="0.2">
      <c r="AA3709" s="4"/>
    </row>
    <row r="3710" spans="27:27" x14ac:dyDescent="0.2">
      <c r="AA3710" s="4"/>
    </row>
    <row r="3711" spans="27:27" x14ac:dyDescent="0.2">
      <c r="AA3711" s="4"/>
    </row>
    <row r="3712" spans="27:27" x14ac:dyDescent="0.2">
      <c r="AA3712" s="4"/>
    </row>
    <row r="3713" spans="27:27" x14ac:dyDescent="0.2">
      <c r="AA3713" s="4"/>
    </row>
    <row r="3714" spans="27:27" x14ac:dyDescent="0.2">
      <c r="AA3714" s="4"/>
    </row>
    <row r="3715" spans="27:27" x14ac:dyDescent="0.2">
      <c r="AA3715" s="4"/>
    </row>
    <row r="3716" spans="27:27" x14ac:dyDescent="0.2">
      <c r="AA3716" s="4"/>
    </row>
    <row r="3717" spans="27:27" x14ac:dyDescent="0.2">
      <c r="AA3717" s="4"/>
    </row>
    <row r="3718" spans="27:27" x14ac:dyDescent="0.2">
      <c r="AA3718" s="4"/>
    </row>
    <row r="3719" spans="27:27" x14ac:dyDescent="0.2">
      <c r="AA3719" s="4"/>
    </row>
    <row r="3720" spans="27:27" x14ac:dyDescent="0.2">
      <c r="AA3720" s="4"/>
    </row>
    <row r="3721" spans="27:27" x14ac:dyDescent="0.2">
      <c r="AA3721" s="4"/>
    </row>
    <row r="3722" spans="27:27" x14ac:dyDescent="0.2">
      <c r="AA3722" s="4"/>
    </row>
    <row r="3723" spans="27:27" x14ac:dyDescent="0.2">
      <c r="AA3723" s="4"/>
    </row>
    <row r="3724" spans="27:27" x14ac:dyDescent="0.2">
      <c r="AA3724" s="4"/>
    </row>
    <row r="3725" spans="27:27" x14ac:dyDescent="0.2">
      <c r="AA3725" s="4"/>
    </row>
    <row r="3726" spans="27:27" x14ac:dyDescent="0.2">
      <c r="AA3726" s="4"/>
    </row>
    <row r="3727" spans="27:27" x14ac:dyDescent="0.2">
      <c r="AA3727" s="4"/>
    </row>
    <row r="3728" spans="27:27" x14ac:dyDescent="0.2">
      <c r="AA3728" s="4"/>
    </row>
    <row r="3729" spans="27:27" x14ac:dyDescent="0.2">
      <c r="AA3729" s="4"/>
    </row>
    <row r="3730" spans="27:27" x14ac:dyDescent="0.2">
      <c r="AA3730" s="4"/>
    </row>
    <row r="3731" spans="27:27" x14ac:dyDescent="0.2">
      <c r="AA3731" s="4"/>
    </row>
    <row r="3732" spans="27:27" x14ac:dyDescent="0.2">
      <c r="AA3732" s="4"/>
    </row>
    <row r="3733" spans="27:27" x14ac:dyDescent="0.2">
      <c r="AA3733" s="4"/>
    </row>
    <row r="3734" spans="27:27" x14ac:dyDescent="0.2">
      <c r="AA3734" s="4"/>
    </row>
    <row r="3735" spans="27:27" x14ac:dyDescent="0.2">
      <c r="AA3735" s="4"/>
    </row>
    <row r="3736" spans="27:27" x14ac:dyDescent="0.2">
      <c r="AA3736" s="4"/>
    </row>
    <row r="3737" spans="27:27" x14ac:dyDescent="0.2">
      <c r="AA3737" s="4"/>
    </row>
    <row r="3738" spans="27:27" x14ac:dyDescent="0.2">
      <c r="AA3738" s="4"/>
    </row>
    <row r="3739" spans="27:27" x14ac:dyDescent="0.2">
      <c r="AA3739" s="4"/>
    </row>
    <row r="3740" spans="27:27" x14ac:dyDescent="0.2">
      <c r="AA3740" s="4"/>
    </row>
    <row r="3741" spans="27:27" x14ac:dyDescent="0.2">
      <c r="AA3741" s="4"/>
    </row>
    <row r="3742" spans="27:27" x14ac:dyDescent="0.2">
      <c r="AA3742" s="4"/>
    </row>
    <row r="3743" spans="27:27" x14ac:dyDescent="0.2">
      <c r="AA3743" s="4"/>
    </row>
    <row r="3744" spans="27:27" x14ac:dyDescent="0.2">
      <c r="AA3744" s="4"/>
    </row>
    <row r="3745" spans="27:27" x14ac:dyDescent="0.2">
      <c r="AA3745" s="4"/>
    </row>
    <row r="3746" spans="27:27" x14ac:dyDescent="0.2">
      <c r="AA3746" s="4"/>
    </row>
    <row r="3747" spans="27:27" x14ac:dyDescent="0.2">
      <c r="AA3747" s="4"/>
    </row>
    <row r="3748" spans="27:27" x14ac:dyDescent="0.2">
      <c r="AA3748" s="4"/>
    </row>
    <row r="3749" spans="27:27" x14ac:dyDescent="0.2">
      <c r="AA3749" s="4"/>
    </row>
    <row r="3750" spans="27:27" x14ac:dyDescent="0.2">
      <c r="AA3750" s="4"/>
    </row>
    <row r="3751" spans="27:27" x14ac:dyDescent="0.2">
      <c r="AA3751" s="4"/>
    </row>
    <row r="3752" spans="27:27" x14ac:dyDescent="0.2">
      <c r="AA3752" s="4"/>
    </row>
    <row r="3753" spans="27:27" x14ac:dyDescent="0.2">
      <c r="AA3753" s="4"/>
    </row>
    <row r="3754" spans="27:27" x14ac:dyDescent="0.2">
      <c r="AA3754" s="4"/>
    </row>
    <row r="3755" spans="27:27" x14ac:dyDescent="0.2">
      <c r="AA3755" s="4"/>
    </row>
    <row r="3756" spans="27:27" x14ac:dyDescent="0.2">
      <c r="AA3756" s="4"/>
    </row>
    <row r="3757" spans="27:27" x14ac:dyDescent="0.2">
      <c r="AA3757" s="4"/>
    </row>
    <row r="3758" spans="27:27" x14ac:dyDescent="0.2">
      <c r="AA3758" s="4"/>
    </row>
    <row r="3759" spans="27:27" x14ac:dyDescent="0.2">
      <c r="AA3759" s="4"/>
    </row>
    <row r="3760" spans="27:27" x14ac:dyDescent="0.2">
      <c r="AA3760" s="4"/>
    </row>
    <row r="3761" spans="27:27" x14ac:dyDescent="0.2">
      <c r="AA3761" s="4"/>
    </row>
    <row r="3762" spans="27:27" x14ac:dyDescent="0.2">
      <c r="AA3762" s="4"/>
    </row>
    <row r="3763" spans="27:27" x14ac:dyDescent="0.2">
      <c r="AA3763" s="4"/>
    </row>
    <row r="3764" spans="27:27" x14ac:dyDescent="0.2">
      <c r="AA3764" s="4"/>
    </row>
    <row r="3765" spans="27:27" x14ac:dyDescent="0.2">
      <c r="AA3765" s="4"/>
    </row>
    <row r="3766" spans="27:27" x14ac:dyDescent="0.2">
      <c r="AA3766" s="4"/>
    </row>
    <row r="3767" spans="27:27" x14ac:dyDescent="0.2">
      <c r="AA3767" s="4"/>
    </row>
    <row r="3768" spans="27:27" x14ac:dyDescent="0.2">
      <c r="AA3768" s="4"/>
    </row>
    <row r="3769" spans="27:27" x14ac:dyDescent="0.2">
      <c r="AA3769" s="4"/>
    </row>
    <row r="3770" spans="27:27" x14ac:dyDescent="0.2">
      <c r="AA3770" s="4"/>
    </row>
    <row r="3771" spans="27:27" x14ac:dyDescent="0.2">
      <c r="AA3771" s="4"/>
    </row>
    <row r="3772" spans="27:27" x14ac:dyDescent="0.2">
      <c r="AA3772" s="4"/>
    </row>
    <row r="3773" spans="27:27" x14ac:dyDescent="0.2">
      <c r="AA3773" s="4"/>
    </row>
    <row r="3774" spans="27:27" x14ac:dyDescent="0.2">
      <c r="AA3774" s="4"/>
    </row>
    <row r="3775" spans="27:27" x14ac:dyDescent="0.2">
      <c r="AA3775" s="4"/>
    </row>
    <row r="3776" spans="27:27" x14ac:dyDescent="0.2">
      <c r="AA3776" s="4"/>
    </row>
    <row r="3777" spans="27:27" x14ac:dyDescent="0.2">
      <c r="AA3777" s="4"/>
    </row>
    <row r="3778" spans="27:27" x14ac:dyDescent="0.2">
      <c r="AA3778" s="4"/>
    </row>
    <row r="3779" spans="27:27" x14ac:dyDescent="0.2">
      <c r="AA3779" s="4"/>
    </row>
    <row r="3780" spans="27:27" x14ac:dyDescent="0.2">
      <c r="AA3780" s="4"/>
    </row>
    <row r="3781" spans="27:27" x14ac:dyDescent="0.2">
      <c r="AA3781" s="4"/>
    </row>
    <row r="3782" spans="27:27" x14ac:dyDescent="0.2">
      <c r="AA3782" s="4"/>
    </row>
    <row r="3783" spans="27:27" x14ac:dyDescent="0.2">
      <c r="AA3783" s="4"/>
    </row>
    <row r="3784" spans="27:27" x14ac:dyDescent="0.2">
      <c r="AA3784" s="4"/>
    </row>
    <row r="3785" spans="27:27" x14ac:dyDescent="0.2">
      <c r="AA3785" s="4"/>
    </row>
    <row r="3786" spans="27:27" x14ac:dyDescent="0.2">
      <c r="AA3786" s="4"/>
    </row>
    <row r="3787" spans="27:27" x14ac:dyDescent="0.2">
      <c r="AA3787" s="4"/>
    </row>
    <row r="3788" spans="27:27" x14ac:dyDescent="0.2">
      <c r="AA3788" s="4"/>
    </row>
    <row r="3789" spans="27:27" x14ac:dyDescent="0.2">
      <c r="AA3789" s="4"/>
    </row>
    <row r="3790" spans="27:27" x14ac:dyDescent="0.2">
      <c r="AA3790" s="4"/>
    </row>
    <row r="3791" spans="27:27" x14ac:dyDescent="0.2">
      <c r="AA3791" s="4"/>
    </row>
    <row r="3792" spans="27:27" x14ac:dyDescent="0.2">
      <c r="AA3792" s="4"/>
    </row>
    <row r="3793" spans="27:27" x14ac:dyDescent="0.2">
      <c r="AA3793" s="4"/>
    </row>
    <row r="3794" spans="27:27" x14ac:dyDescent="0.2">
      <c r="AA3794" s="4"/>
    </row>
    <row r="3795" spans="27:27" x14ac:dyDescent="0.2">
      <c r="AA3795" s="4"/>
    </row>
    <row r="3796" spans="27:27" x14ac:dyDescent="0.2">
      <c r="AA3796" s="4"/>
    </row>
    <row r="3797" spans="27:27" x14ac:dyDescent="0.2">
      <c r="AA3797" s="4"/>
    </row>
    <row r="3798" spans="27:27" x14ac:dyDescent="0.2">
      <c r="AA3798" s="4"/>
    </row>
    <row r="3799" spans="27:27" x14ac:dyDescent="0.2">
      <c r="AA3799" s="4"/>
    </row>
    <row r="3800" spans="27:27" x14ac:dyDescent="0.2">
      <c r="AA3800" s="4"/>
    </row>
    <row r="3801" spans="27:27" x14ac:dyDescent="0.2">
      <c r="AA3801" s="4"/>
    </row>
    <row r="3802" spans="27:27" x14ac:dyDescent="0.2">
      <c r="AA3802" s="4"/>
    </row>
    <row r="3803" spans="27:27" x14ac:dyDescent="0.2">
      <c r="AA3803" s="4"/>
    </row>
    <row r="3804" spans="27:27" x14ac:dyDescent="0.2">
      <c r="AA3804" s="4"/>
    </row>
    <row r="3805" spans="27:27" x14ac:dyDescent="0.2">
      <c r="AA3805" s="4"/>
    </row>
    <row r="3806" spans="27:27" x14ac:dyDescent="0.2">
      <c r="AA3806" s="4"/>
    </row>
    <row r="3807" spans="27:27" x14ac:dyDescent="0.2">
      <c r="AA3807" s="4"/>
    </row>
    <row r="3808" spans="27:27" x14ac:dyDescent="0.2">
      <c r="AA3808" s="4"/>
    </row>
    <row r="3809" spans="27:27" x14ac:dyDescent="0.2">
      <c r="AA3809" s="4"/>
    </row>
    <row r="3810" spans="27:27" x14ac:dyDescent="0.2">
      <c r="AA3810" s="4"/>
    </row>
    <row r="3811" spans="27:27" x14ac:dyDescent="0.2">
      <c r="AA3811" s="4"/>
    </row>
    <row r="3812" spans="27:27" x14ac:dyDescent="0.2">
      <c r="AA3812" s="4"/>
    </row>
    <row r="3813" spans="27:27" x14ac:dyDescent="0.2">
      <c r="AA3813" s="4"/>
    </row>
    <row r="3814" spans="27:27" x14ac:dyDescent="0.2">
      <c r="AA3814" s="4"/>
    </row>
    <row r="3815" spans="27:27" x14ac:dyDescent="0.2">
      <c r="AA3815" s="4"/>
    </row>
    <row r="3816" spans="27:27" x14ac:dyDescent="0.2">
      <c r="AA3816" s="4"/>
    </row>
    <row r="3817" spans="27:27" x14ac:dyDescent="0.2">
      <c r="AA3817" s="4"/>
    </row>
    <row r="3818" spans="27:27" x14ac:dyDescent="0.2">
      <c r="AA3818" s="4"/>
    </row>
    <row r="3819" spans="27:27" x14ac:dyDescent="0.2">
      <c r="AA3819" s="4"/>
    </row>
    <row r="3820" spans="27:27" x14ac:dyDescent="0.2">
      <c r="AA3820" s="4"/>
    </row>
    <row r="3821" spans="27:27" x14ac:dyDescent="0.2">
      <c r="AA3821" s="4"/>
    </row>
    <row r="3822" spans="27:27" x14ac:dyDescent="0.2">
      <c r="AA3822" s="4"/>
    </row>
    <row r="3823" spans="27:27" x14ac:dyDescent="0.2">
      <c r="AA3823" s="4"/>
    </row>
    <row r="3824" spans="27:27" x14ac:dyDescent="0.2">
      <c r="AA3824" s="4"/>
    </row>
    <row r="3825" spans="27:27" x14ac:dyDescent="0.2">
      <c r="AA3825" s="4"/>
    </row>
    <row r="3826" spans="27:27" x14ac:dyDescent="0.2">
      <c r="AA3826" s="4"/>
    </row>
    <row r="3827" spans="27:27" x14ac:dyDescent="0.2">
      <c r="AA3827" s="4"/>
    </row>
    <row r="3828" spans="27:27" x14ac:dyDescent="0.2">
      <c r="AA3828" s="4"/>
    </row>
    <row r="3829" spans="27:27" x14ac:dyDescent="0.2">
      <c r="AA3829" s="4"/>
    </row>
    <row r="3830" spans="27:27" x14ac:dyDescent="0.2">
      <c r="AA3830" s="4"/>
    </row>
    <row r="3831" spans="27:27" x14ac:dyDescent="0.2">
      <c r="AA3831" s="4"/>
    </row>
    <row r="3832" spans="27:27" x14ac:dyDescent="0.2">
      <c r="AA3832" s="4"/>
    </row>
    <row r="3833" spans="27:27" x14ac:dyDescent="0.2">
      <c r="AA3833" s="4"/>
    </row>
    <row r="3834" spans="27:27" x14ac:dyDescent="0.2">
      <c r="AA3834" s="4"/>
    </row>
    <row r="3835" spans="27:27" x14ac:dyDescent="0.2">
      <c r="AA3835" s="4"/>
    </row>
    <row r="3836" spans="27:27" x14ac:dyDescent="0.2">
      <c r="AA3836" s="4"/>
    </row>
    <row r="3837" spans="27:27" x14ac:dyDescent="0.2">
      <c r="AA3837" s="4"/>
    </row>
    <row r="3838" spans="27:27" x14ac:dyDescent="0.2">
      <c r="AA3838" s="4"/>
    </row>
    <row r="3839" spans="27:27" x14ac:dyDescent="0.2">
      <c r="AA3839" s="4"/>
    </row>
    <row r="3840" spans="27:27" x14ac:dyDescent="0.2">
      <c r="AA3840" s="4"/>
    </row>
    <row r="3841" spans="27:27" x14ac:dyDescent="0.2">
      <c r="AA3841" s="4"/>
    </row>
    <row r="3842" spans="27:27" x14ac:dyDescent="0.2">
      <c r="AA3842" s="4"/>
    </row>
    <row r="3843" spans="27:27" x14ac:dyDescent="0.2">
      <c r="AA3843" s="4"/>
    </row>
    <row r="3844" spans="27:27" x14ac:dyDescent="0.2">
      <c r="AA3844" s="4"/>
    </row>
    <row r="3845" spans="27:27" x14ac:dyDescent="0.2">
      <c r="AA3845" s="4"/>
    </row>
    <row r="3846" spans="27:27" x14ac:dyDescent="0.2">
      <c r="AA3846" s="4"/>
    </row>
    <row r="3847" spans="27:27" x14ac:dyDescent="0.2">
      <c r="AA3847" s="4"/>
    </row>
    <row r="3848" spans="27:27" x14ac:dyDescent="0.2">
      <c r="AA3848" s="4"/>
    </row>
    <row r="3849" spans="27:27" x14ac:dyDescent="0.2">
      <c r="AA3849" s="4"/>
    </row>
    <row r="3850" spans="27:27" x14ac:dyDescent="0.2">
      <c r="AA3850" s="4"/>
    </row>
    <row r="3851" spans="27:27" x14ac:dyDescent="0.2">
      <c r="AA3851" s="4"/>
    </row>
    <row r="3852" spans="27:27" x14ac:dyDescent="0.2">
      <c r="AA3852" s="4"/>
    </row>
    <row r="3853" spans="27:27" x14ac:dyDescent="0.2">
      <c r="AA3853" s="4"/>
    </row>
    <row r="3854" spans="27:27" x14ac:dyDescent="0.2">
      <c r="AA3854" s="4"/>
    </row>
    <row r="3855" spans="27:27" x14ac:dyDescent="0.2">
      <c r="AA3855" s="4"/>
    </row>
    <row r="3856" spans="27:27" x14ac:dyDescent="0.2">
      <c r="AA3856" s="4"/>
    </row>
    <row r="3857" spans="27:27" x14ac:dyDescent="0.2">
      <c r="AA3857" s="4"/>
    </row>
    <row r="3858" spans="27:27" x14ac:dyDescent="0.2">
      <c r="AA3858" s="4"/>
    </row>
    <row r="3859" spans="27:27" x14ac:dyDescent="0.2">
      <c r="AA3859" s="4"/>
    </row>
    <row r="3860" spans="27:27" x14ac:dyDescent="0.2">
      <c r="AA3860" s="4"/>
    </row>
    <row r="3861" spans="27:27" x14ac:dyDescent="0.2">
      <c r="AA3861" s="4"/>
    </row>
    <row r="3862" spans="27:27" x14ac:dyDescent="0.2">
      <c r="AA3862" s="4"/>
    </row>
    <row r="3863" spans="27:27" x14ac:dyDescent="0.2">
      <c r="AA3863" s="4"/>
    </row>
    <row r="3864" spans="27:27" x14ac:dyDescent="0.2">
      <c r="AA3864" s="4"/>
    </row>
    <row r="3865" spans="27:27" x14ac:dyDescent="0.2">
      <c r="AA3865" s="4"/>
    </row>
    <row r="3866" spans="27:27" x14ac:dyDescent="0.2">
      <c r="AA3866" s="4"/>
    </row>
    <row r="3867" spans="27:27" x14ac:dyDescent="0.2">
      <c r="AA3867" s="4"/>
    </row>
    <row r="3868" spans="27:27" x14ac:dyDescent="0.2">
      <c r="AA3868" s="4"/>
    </row>
    <row r="3869" spans="27:27" x14ac:dyDescent="0.2">
      <c r="AA3869" s="4"/>
    </row>
    <row r="3870" spans="27:27" x14ac:dyDescent="0.2">
      <c r="AA3870" s="4"/>
    </row>
    <row r="3871" spans="27:27" x14ac:dyDescent="0.2">
      <c r="AA3871" s="4"/>
    </row>
    <row r="3872" spans="27:27" x14ac:dyDescent="0.2">
      <c r="AA3872" s="4"/>
    </row>
    <row r="3873" spans="27:27" x14ac:dyDescent="0.2">
      <c r="AA3873" s="4"/>
    </row>
    <row r="3874" spans="27:27" x14ac:dyDescent="0.2">
      <c r="AA3874" s="4"/>
    </row>
    <row r="3875" spans="27:27" x14ac:dyDescent="0.2">
      <c r="AA3875" s="4"/>
    </row>
    <row r="3876" spans="27:27" x14ac:dyDescent="0.2">
      <c r="AA3876" s="4"/>
    </row>
    <row r="3877" spans="27:27" x14ac:dyDescent="0.2">
      <c r="AA3877" s="4"/>
    </row>
    <row r="3878" spans="27:27" x14ac:dyDescent="0.2">
      <c r="AA3878" s="4"/>
    </row>
    <row r="3879" spans="27:27" x14ac:dyDescent="0.2">
      <c r="AA3879" s="4"/>
    </row>
    <row r="3880" spans="27:27" x14ac:dyDescent="0.2">
      <c r="AA3880" s="4"/>
    </row>
    <row r="3881" spans="27:27" x14ac:dyDescent="0.2">
      <c r="AA3881" s="4"/>
    </row>
    <row r="3882" spans="27:27" x14ac:dyDescent="0.2">
      <c r="AA3882" s="4"/>
    </row>
    <row r="3883" spans="27:27" x14ac:dyDescent="0.2">
      <c r="AA3883" s="4"/>
    </row>
    <row r="3884" spans="27:27" x14ac:dyDescent="0.2">
      <c r="AA3884" s="4"/>
    </row>
    <row r="3885" spans="27:27" x14ac:dyDescent="0.2">
      <c r="AA3885" s="4"/>
    </row>
    <row r="3886" spans="27:27" x14ac:dyDescent="0.2">
      <c r="AA3886" s="4"/>
    </row>
    <row r="3887" spans="27:27" x14ac:dyDescent="0.2">
      <c r="AA3887" s="4"/>
    </row>
    <row r="3888" spans="27:27" x14ac:dyDescent="0.2">
      <c r="AA3888" s="4"/>
    </row>
    <row r="3889" spans="27:27" x14ac:dyDescent="0.2">
      <c r="AA3889" s="4"/>
    </row>
    <row r="3890" spans="27:27" x14ac:dyDescent="0.2">
      <c r="AA3890" s="4"/>
    </row>
    <row r="3891" spans="27:27" x14ac:dyDescent="0.2">
      <c r="AA3891" s="4"/>
    </row>
    <row r="3892" spans="27:27" x14ac:dyDescent="0.2">
      <c r="AA3892" s="4"/>
    </row>
    <row r="3893" spans="27:27" x14ac:dyDescent="0.2">
      <c r="AA3893" s="4"/>
    </row>
    <row r="3894" spans="27:27" x14ac:dyDescent="0.2">
      <c r="AA3894" s="4"/>
    </row>
    <row r="3895" spans="27:27" x14ac:dyDescent="0.2">
      <c r="AA3895" s="4"/>
    </row>
    <row r="3896" spans="27:27" x14ac:dyDescent="0.2">
      <c r="AA3896" s="4"/>
    </row>
    <row r="3897" spans="27:27" x14ac:dyDescent="0.2">
      <c r="AA3897" s="4"/>
    </row>
    <row r="3898" spans="27:27" x14ac:dyDescent="0.2">
      <c r="AA3898" s="4"/>
    </row>
    <row r="3899" spans="27:27" x14ac:dyDescent="0.2">
      <c r="AA3899" s="4"/>
    </row>
    <row r="3900" spans="27:27" x14ac:dyDescent="0.2">
      <c r="AA3900" s="4"/>
    </row>
    <row r="3901" spans="27:27" x14ac:dyDescent="0.2">
      <c r="AA3901" s="4"/>
    </row>
    <row r="3902" spans="27:27" x14ac:dyDescent="0.2">
      <c r="AA3902" s="4"/>
    </row>
    <row r="3903" spans="27:27" x14ac:dyDescent="0.2">
      <c r="AA3903" s="4"/>
    </row>
    <row r="3904" spans="27:27" x14ac:dyDescent="0.2">
      <c r="AA3904" s="4"/>
    </row>
    <row r="3905" spans="27:27" x14ac:dyDescent="0.2">
      <c r="AA3905" s="4"/>
    </row>
    <row r="3906" spans="27:27" x14ac:dyDescent="0.2">
      <c r="AA3906" s="4"/>
    </row>
    <row r="3907" spans="27:27" x14ac:dyDescent="0.2">
      <c r="AA3907" s="4"/>
    </row>
    <row r="3908" spans="27:27" x14ac:dyDescent="0.2">
      <c r="AA3908" s="4"/>
    </row>
    <row r="3909" spans="27:27" x14ac:dyDescent="0.2">
      <c r="AA3909" s="4"/>
    </row>
    <row r="3910" spans="27:27" x14ac:dyDescent="0.2">
      <c r="AA3910" s="4"/>
    </row>
    <row r="3911" spans="27:27" x14ac:dyDescent="0.2">
      <c r="AA3911" s="4"/>
    </row>
    <row r="3912" spans="27:27" x14ac:dyDescent="0.2">
      <c r="AA3912" s="4"/>
    </row>
    <row r="3913" spans="27:27" x14ac:dyDescent="0.2">
      <c r="AA3913" s="4"/>
    </row>
    <row r="3914" spans="27:27" x14ac:dyDescent="0.2">
      <c r="AA3914" s="4"/>
    </row>
    <row r="3915" spans="27:27" x14ac:dyDescent="0.2">
      <c r="AA3915" s="4"/>
    </row>
    <row r="3916" spans="27:27" x14ac:dyDescent="0.2">
      <c r="AA3916" s="4"/>
    </row>
    <row r="3917" spans="27:27" x14ac:dyDescent="0.2">
      <c r="AA3917" s="4"/>
    </row>
    <row r="3918" spans="27:27" x14ac:dyDescent="0.2">
      <c r="AA3918" s="4"/>
    </row>
    <row r="3919" spans="27:27" x14ac:dyDescent="0.2">
      <c r="AA3919" s="4"/>
    </row>
    <row r="3920" spans="27:27" x14ac:dyDescent="0.2">
      <c r="AA3920" s="4"/>
    </row>
    <row r="3921" spans="27:27" x14ac:dyDescent="0.2">
      <c r="AA3921" s="4"/>
    </row>
    <row r="3922" spans="27:27" x14ac:dyDescent="0.2">
      <c r="AA3922" s="4"/>
    </row>
    <row r="3923" spans="27:27" x14ac:dyDescent="0.2">
      <c r="AA3923" s="4"/>
    </row>
    <row r="3924" spans="27:27" x14ac:dyDescent="0.2">
      <c r="AA3924" s="4"/>
    </row>
    <row r="3925" spans="27:27" x14ac:dyDescent="0.2">
      <c r="AA3925" s="4"/>
    </row>
    <row r="3926" spans="27:27" x14ac:dyDescent="0.2">
      <c r="AA3926" s="4"/>
    </row>
    <row r="3927" spans="27:27" x14ac:dyDescent="0.2">
      <c r="AA3927" s="4"/>
    </row>
    <row r="3928" spans="27:27" x14ac:dyDescent="0.2">
      <c r="AA3928" s="4"/>
    </row>
    <row r="3929" spans="27:27" x14ac:dyDescent="0.2">
      <c r="AA3929" s="4"/>
    </row>
    <row r="3930" spans="27:27" x14ac:dyDescent="0.2">
      <c r="AA3930" s="4"/>
    </row>
    <row r="3931" spans="27:27" x14ac:dyDescent="0.2">
      <c r="AA3931" s="4"/>
    </row>
    <row r="3932" spans="27:27" x14ac:dyDescent="0.2">
      <c r="AA3932" s="4"/>
    </row>
    <row r="3933" spans="27:27" x14ac:dyDescent="0.2">
      <c r="AA3933" s="4"/>
    </row>
    <row r="3934" spans="27:27" x14ac:dyDescent="0.2">
      <c r="AA3934" s="4"/>
    </row>
    <row r="3935" spans="27:27" x14ac:dyDescent="0.2">
      <c r="AA3935" s="4"/>
    </row>
    <row r="3936" spans="27:27" x14ac:dyDescent="0.2">
      <c r="AA3936" s="4"/>
    </row>
    <row r="3937" spans="27:27" x14ac:dyDescent="0.2">
      <c r="AA3937" s="4"/>
    </row>
    <row r="3938" spans="27:27" x14ac:dyDescent="0.2">
      <c r="AA3938" s="4"/>
    </row>
    <row r="3939" spans="27:27" x14ac:dyDescent="0.2">
      <c r="AA3939" s="4"/>
    </row>
    <row r="3940" spans="27:27" x14ac:dyDescent="0.2">
      <c r="AA3940" s="4"/>
    </row>
    <row r="3941" spans="27:27" x14ac:dyDescent="0.2">
      <c r="AA3941" s="4"/>
    </row>
    <row r="3942" spans="27:27" x14ac:dyDescent="0.2">
      <c r="AA3942" s="4"/>
    </row>
    <row r="3943" spans="27:27" x14ac:dyDescent="0.2">
      <c r="AA3943" s="4"/>
    </row>
    <row r="3944" spans="27:27" x14ac:dyDescent="0.2">
      <c r="AA3944" s="4"/>
    </row>
    <row r="3945" spans="27:27" x14ac:dyDescent="0.2">
      <c r="AA3945" s="4"/>
    </row>
    <row r="3946" spans="27:27" x14ac:dyDescent="0.2">
      <c r="AA3946" s="4"/>
    </row>
    <row r="3947" spans="27:27" x14ac:dyDescent="0.2">
      <c r="AA3947" s="4"/>
    </row>
    <row r="3948" spans="27:27" x14ac:dyDescent="0.2">
      <c r="AA3948" s="4"/>
    </row>
    <row r="3949" spans="27:27" x14ac:dyDescent="0.2">
      <c r="AA3949" s="4"/>
    </row>
    <row r="3950" spans="27:27" x14ac:dyDescent="0.2">
      <c r="AA3950" s="4"/>
    </row>
    <row r="3951" spans="27:27" x14ac:dyDescent="0.2">
      <c r="AA3951" s="4"/>
    </row>
    <row r="3952" spans="27:27" x14ac:dyDescent="0.2">
      <c r="AA3952" s="4"/>
    </row>
    <row r="3953" spans="27:27" x14ac:dyDescent="0.2">
      <c r="AA3953" s="4"/>
    </row>
    <row r="3954" spans="27:27" x14ac:dyDescent="0.2">
      <c r="AA3954" s="4"/>
    </row>
    <row r="3955" spans="27:27" x14ac:dyDescent="0.2">
      <c r="AA3955" s="4"/>
    </row>
    <row r="3956" spans="27:27" x14ac:dyDescent="0.2">
      <c r="AA3956" s="4"/>
    </row>
    <row r="3957" spans="27:27" x14ac:dyDescent="0.2">
      <c r="AA3957" s="4"/>
    </row>
    <row r="3958" spans="27:27" x14ac:dyDescent="0.2">
      <c r="AA3958" s="4"/>
    </row>
    <row r="3959" spans="27:27" x14ac:dyDescent="0.2">
      <c r="AA3959" s="4"/>
    </row>
    <row r="3960" spans="27:27" x14ac:dyDescent="0.2">
      <c r="AA3960" s="4"/>
    </row>
    <row r="3961" spans="27:27" x14ac:dyDescent="0.2">
      <c r="AA3961" s="4"/>
    </row>
    <row r="3962" spans="27:27" x14ac:dyDescent="0.2">
      <c r="AA3962" s="4"/>
    </row>
    <row r="3963" spans="27:27" x14ac:dyDescent="0.2">
      <c r="AA3963" s="4"/>
    </row>
    <row r="3964" spans="27:27" x14ac:dyDescent="0.2">
      <c r="AA3964" s="4"/>
    </row>
    <row r="3965" spans="27:27" x14ac:dyDescent="0.2">
      <c r="AA3965" s="4"/>
    </row>
    <row r="3966" spans="27:27" x14ac:dyDescent="0.2">
      <c r="AA3966" s="4"/>
    </row>
    <row r="3967" spans="27:27" x14ac:dyDescent="0.2">
      <c r="AA3967" s="4"/>
    </row>
    <row r="3968" spans="27:27" x14ac:dyDescent="0.2">
      <c r="AA3968" s="4"/>
    </row>
    <row r="3969" spans="27:27" x14ac:dyDescent="0.2">
      <c r="AA3969" s="4"/>
    </row>
    <row r="3970" spans="27:27" x14ac:dyDescent="0.2">
      <c r="AA3970" s="4"/>
    </row>
    <row r="3971" spans="27:27" x14ac:dyDescent="0.2">
      <c r="AA3971" s="4"/>
    </row>
    <row r="3972" spans="27:27" x14ac:dyDescent="0.2">
      <c r="AA3972" s="4"/>
    </row>
    <row r="3973" spans="27:27" x14ac:dyDescent="0.2">
      <c r="AA3973" s="4"/>
    </row>
    <row r="3974" spans="27:27" x14ac:dyDescent="0.2">
      <c r="AA3974" s="4"/>
    </row>
    <row r="3975" spans="27:27" x14ac:dyDescent="0.2">
      <c r="AA3975" s="4"/>
    </row>
    <row r="3976" spans="27:27" x14ac:dyDescent="0.2">
      <c r="AA3976" s="4"/>
    </row>
    <row r="3977" spans="27:27" x14ac:dyDescent="0.2">
      <c r="AA3977" s="4"/>
    </row>
    <row r="3978" spans="27:27" x14ac:dyDescent="0.2">
      <c r="AA3978" s="4"/>
    </row>
    <row r="3979" spans="27:27" x14ac:dyDescent="0.2">
      <c r="AA3979" s="4"/>
    </row>
    <row r="3980" spans="27:27" x14ac:dyDescent="0.2">
      <c r="AA3980" s="4"/>
    </row>
    <row r="3981" spans="27:27" x14ac:dyDescent="0.2">
      <c r="AA3981" s="4"/>
    </row>
    <row r="3982" spans="27:27" x14ac:dyDescent="0.2">
      <c r="AA3982" s="4"/>
    </row>
    <row r="3983" spans="27:27" x14ac:dyDescent="0.2">
      <c r="AA3983" s="4"/>
    </row>
    <row r="3984" spans="27:27" x14ac:dyDescent="0.2">
      <c r="AA3984" s="4"/>
    </row>
    <row r="3985" spans="27:27" x14ac:dyDescent="0.2">
      <c r="AA3985" s="4"/>
    </row>
    <row r="3986" spans="27:27" x14ac:dyDescent="0.2">
      <c r="AA3986" s="4"/>
    </row>
    <row r="3987" spans="27:27" x14ac:dyDescent="0.2">
      <c r="AA3987" s="4"/>
    </row>
    <row r="3988" spans="27:27" x14ac:dyDescent="0.2">
      <c r="AA3988" s="4"/>
    </row>
    <row r="3989" spans="27:27" x14ac:dyDescent="0.2">
      <c r="AA3989" s="4"/>
    </row>
    <row r="3990" spans="27:27" x14ac:dyDescent="0.2">
      <c r="AA3990" s="4"/>
    </row>
    <row r="3991" spans="27:27" x14ac:dyDescent="0.2">
      <c r="AA3991" s="4"/>
    </row>
    <row r="3992" spans="27:27" x14ac:dyDescent="0.2">
      <c r="AA3992" s="4"/>
    </row>
    <row r="3993" spans="27:27" x14ac:dyDescent="0.2">
      <c r="AA3993" s="4"/>
    </row>
    <row r="3994" spans="27:27" x14ac:dyDescent="0.2">
      <c r="AA3994" s="4"/>
    </row>
    <row r="3995" spans="27:27" x14ac:dyDescent="0.2">
      <c r="AA3995" s="4"/>
    </row>
    <row r="3996" spans="27:27" x14ac:dyDescent="0.2">
      <c r="AA3996" s="4"/>
    </row>
    <row r="3997" spans="27:27" x14ac:dyDescent="0.2">
      <c r="AA3997" s="4"/>
    </row>
    <row r="3998" spans="27:27" x14ac:dyDescent="0.2">
      <c r="AA3998" s="4"/>
    </row>
    <row r="3999" spans="27:27" x14ac:dyDescent="0.2">
      <c r="AA3999" s="4"/>
    </row>
    <row r="4000" spans="27:27" x14ac:dyDescent="0.2">
      <c r="AA4000" s="4"/>
    </row>
    <row r="4001" spans="27:27" x14ac:dyDescent="0.2">
      <c r="AA4001" s="4"/>
    </row>
    <row r="4002" spans="27:27" x14ac:dyDescent="0.2">
      <c r="AA4002" s="4"/>
    </row>
    <row r="4003" spans="27:27" x14ac:dyDescent="0.2">
      <c r="AA4003" s="4"/>
    </row>
    <row r="4004" spans="27:27" x14ac:dyDescent="0.2">
      <c r="AA4004" s="4"/>
    </row>
    <row r="4005" spans="27:27" x14ac:dyDescent="0.2">
      <c r="AA4005" s="4"/>
    </row>
    <row r="4006" spans="27:27" x14ac:dyDescent="0.2">
      <c r="AA4006" s="4"/>
    </row>
    <row r="4007" spans="27:27" x14ac:dyDescent="0.2">
      <c r="AA4007" s="4"/>
    </row>
    <row r="4008" spans="27:27" x14ac:dyDescent="0.2">
      <c r="AA4008" s="4"/>
    </row>
    <row r="4009" spans="27:27" x14ac:dyDescent="0.2">
      <c r="AA4009" s="4"/>
    </row>
    <row r="4010" spans="27:27" x14ac:dyDescent="0.2">
      <c r="AA4010" s="4"/>
    </row>
    <row r="4011" spans="27:27" x14ac:dyDescent="0.2">
      <c r="AA4011" s="4"/>
    </row>
    <row r="4012" spans="27:27" x14ac:dyDescent="0.2">
      <c r="AA4012" s="4"/>
    </row>
    <row r="4013" spans="27:27" x14ac:dyDescent="0.2">
      <c r="AA4013" s="4"/>
    </row>
    <row r="4014" spans="27:27" x14ac:dyDescent="0.2">
      <c r="AA4014" s="4"/>
    </row>
    <row r="4015" spans="27:27" x14ac:dyDescent="0.2">
      <c r="AA4015" s="4"/>
    </row>
    <row r="4016" spans="27:27" x14ac:dyDescent="0.2">
      <c r="AA4016" s="4"/>
    </row>
    <row r="4017" spans="27:27" x14ac:dyDescent="0.2">
      <c r="AA4017" s="4"/>
    </row>
    <row r="4018" spans="27:27" x14ac:dyDescent="0.2">
      <c r="AA4018" s="4"/>
    </row>
    <row r="4019" spans="27:27" x14ac:dyDescent="0.2">
      <c r="AA4019" s="4"/>
    </row>
    <row r="4020" spans="27:27" x14ac:dyDescent="0.2">
      <c r="AA4020" s="4"/>
    </row>
    <row r="4021" spans="27:27" x14ac:dyDescent="0.2">
      <c r="AA4021" s="4"/>
    </row>
    <row r="4022" spans="27:27" x14ac:dyDescent="0.2">
      <c r="AA4022" s="4"/>
    </row>
    <row r="4023" spans="27:27" x14ac:dyDescent="0.2">
      <c r="AA4023" s="4"/>
    </row>
    <row r="4024" spans="27:27" x14ac:dyDescent="0.2">
      <c r="AA4024" s="4"/>
    </row>
    <row r="4025" spans="27:27" x14ac:dyDescent="0.2">
      <c r="AA4025" s="4"/>
    </row>
    <row r="4026" spans="27:27" x14ac:dyDescent="0.2">
      <c r="AA4026" s="4"/>
    </row>
    <row r="4027" spans="27:27" x14ac:dyDescent="0.2">
      <c r="AA4027" s="4"/>
    </row>
    <row r="4028" spans="27:27" x14ac:dyDescent="0.2">
      <c r="AA4028" s="4"/>
    </row>
    <row r="4029" spans="27:27" x14ac:dyDescent="0.2">
      <c r="AA4029" s="4"/>
    </row>
    <row r="4030" spans="27:27" x14ac:dyDescent="0.2">
      <c r="AA4030" s="4"/>
    </row>
    <row r="4031" spans="27:27" x14ac:dyDescent="0.2">
      <c r="AA4031" s="4"/>
    </row>
    <row r="4032" spans="27:27" x14ac:dyDescent="0.2">
      <c r="AA4032" s="4"/>
    </row>
    <row r="4033" spans="27:27" x14ac:dyDescent="0.2">
      <c r="AA4033" s="4"/>
    </row>
    <row r="4034" spans="27:27" x14ac:dyDescent="0.2">
      <c r="AA4034" s="4"/>
    </row>
    <row r="4035" spans="27:27" x14ac:dyDescent="0.2">
      <c r="AA4035" s="4"/>
    </row>
    <row r="4036" spans="27:27" x14ac:dyDescent="0.2">
      <c r="AA4036" s="4"/>
    </row>
    <row r="4037" spans="27:27" x14ac:dyDescent="0.2">
      <c r="AA4037" s="4"/>
    </row>
    <row r="4038" spans="27:27" x14ac:dyDescent="0.2">
      <c r="AA4038" s="4"/>
    </row>
    <row r="4039" spans="27:27" x14ac:dyDescent="0.2">
      <c r="AA4039" s="4"/>
    </row>
    <row r="4040" spans="27:27" x14ac:dyDescent="0.2">
      <c r="AA4040" s="4"/>
    </row>
    <row r="4041" spans="27:27" x14ac:dyDescent="0.2">
      <c r="AA4041" s="4"/>
    </row>
    <row r="4042" spans="27:27" x14ac:dyDescent="0.2">
      <c r="AA4042" s="4"/>
    </row>
    <row r="4043" spans="27:27" x14ac:dyDescent="0.2">
      <c r="AA4043" s="4"/>
    </row>
    <row r="4044" spans="27:27" x14ac:dyDescent="0.2">
      <c r="AA4044" s="4"/>
    </row>
    <row r="4045" spans="27:27" x14ac:dyDescent="0.2">
      <c r="AA4045" s="4"/>
    </row>
    <row r="4046" spans="27:27" x14ac:dyDescent="0.2">
      <c r="AA4046" s="4"/>
    </row>
    <row r="4047" spans="27:27" x14ac:dyDescent="0.2">
      <c r="AA4047" s="4"/>
    </row>
    <row r="4048" spans="27:27" x14ac:dyDescent="0.2">
      <c r="AA4048" s="4"/>
    </row>
    <row r="4049" spans="27:27" x14ac:dyDescent="0.2">
      <c r="AA4049" s="4"/>
    </row>
    <row r="4050" spans="27:27" x14ac:dyDescent="0.2">
      <c r="AA4050" s="4"/>
    </row>
    <row r="4051" spans="27:27" x14ac:dyDescent="0.2">
      <c r="AA4051" s="4"/>
    </row>
    <row r="4052" spans="27:27" x14ac:dyDescent="0.2">
      <c r="AA4052" s="4"/>
    </row>
    <row r="4053" spans="27:27" x14ac:dyDescent="0.2">
      <c r="AA4053" s="4"/>
    </row>
    <row r="4054" spans="27:27" x14ac:dyDescent="0.2">
      <c r="AA4054" s="4"/>
    </row>
    <row r="4055" spans="27:27" x14ac:dyDescent="0.2">
      <c r="AA4055" s="4"/>
    </row>
    <row r="4056" spans="27:27" x14ac:dyDescent="0.2">
      <c r="AA4056" s="4"/>
    </row>
    <row r="4057" spans="27:27" x14ac:dyDescent="0.2">
      <c r="AA4057" s="4"/>
    </row>
    <row r="4058" spans="27:27" x14ac:dyDescent="0.2">
      <c r="AA4058" s="4"/>
    </row>
    <row r="4059" spans="27:27" x14ac:dyDescent="0.2">
      <c r="AA4059" s="4"/>
    </row>
    <row r="4060" spans="27:27" x14ac:dyDescent="0.2">
      <c r="AA4060" s="4"/>
    </row>
    <row r="4061" spans="27:27" x14ac:dyDescent="0.2">
      <c r="AA4061" s="4"/>
    </row>
    <row r="4062" spans="27:27" x14ac:dyDescent="0.2">
      <c r="AA4062" s="4"/>
    </row>
    <row r="4063" spans="27:27" x14ac:dyDescent="0.2">
      <c r="AA4063" s="4"/>
    </row>
    <row r="4064" spans="27:27" x14ac:dyDescent="0.2">
      <c r="AA4064" s="4"/>
    </row>
    <row r="4065" spans="27:27" x14ac:dyDescent="0.2">
      <c r="AA4065" s="4"/>
    </row>
    <row r="4066" spans="27:27" x14ac:dyDescent="0.2">
      <c r="AA4066" s="4"/>
    </row>
    <row r="4067" spans="27:27" x14ac:dyDescent="0.2">
      <c r="AA4067" s="4"/>
    </row>
    <row r="4068" spans="27:27" x14ac:dyDescent="0.2">
      <c r="AA4068" s="4"/>
    </row>
    <row r="4069" spans="27:27" x14ac:dyDescent="0.2">
      <c r="AA4069" s="4"/>
    </row>
    <row r="4070" spans="27:27" x14ac:dyDescent="0.2">
      <c r="AA4070" s="4"/>
    </row>
    <row r="4071" spans="27:27" x14ac:dyDescent="0.2">
      <c r="AA4071" s="4"/>
    </row>
    <row r="4072" spans="27:27" x14ac:dyDescent="0.2">
      <c r="AA4072" s="4"/>
    </row>
    <row r="4073" spans="27:27" x14ac:dyDescent="0.2">
      <c r="AA4073" s="4"/>
    </row>
    <row r="4074" spans="27:27" x14ac:dyDescent="0.2">
      <c r="AA4074" s="4"/>
    </row>
    <row r="4075" spans="27:27" x14ac:dyDescent="0.2">
      <c r="AA4075" s="4"/>
    </row>
    <row r="4076" spans="27:27" x14ac:dyDescent="0.2">
      <c r="AA4076" s="4"/>
    </row>
    <row r="4077" spans="27:27" x14ac:dyDescent="0.2">
      <c r="AA4077" s="4"/>
    </row>
    <row r="4078" spans="27:27" x14ac:dyDescent="0.2">
      <c r="AA4078" s="4"/>
    </row>
    <row r="4079" spans="27:27" x14ac:dyDescent="0.2">
      <c r="AA4079" s="4"/>
    </row>
    <row r="4080" spans="27:27" x14ac:dyDescent="0.2">
      <c r="AA4080" s="4"/>
    </row>
    <row r="4081" spans="27:27" x14ac:dyDescent="0.2">
      <c r="AA4081" s="4"/>
    </row>
    <row r="4082" spans="27:27" x14ac:dyDescent="0.2">
      <c r="AA4082" s="4"/>
    </row>
    <row r="4083" spans="27:27" x14ac:dyDescent="0.2">
      <c r="AA4083" s="4"/>
    </row>
    <row r="4084" spans="27:27" x14ac:dyDescent="0.2">
      <c r="AA4084" s="4"/>
    </row>
    <row r="4085" spans="27:27" x14ac:dyDescent="0.2">
      <c r="AA4085" s="4"/>
    </row>
    <row r="4086" spans="27:27" x14ac:dyDescent="0.2">
      <c r="AA4086" s="4"/>
    </row>
    <row r="4087" spans="27:27" x14ac:dyDescent="0.2">
      <c r="AA4087" s="4"/>
    </row>
    <row r="4088" spans="27:27" x14ac:dyDescent="0.2">
      <c r="AA4088" s="4"/>
    </row>
    <row r="4089" spans="27:27" x14ac:dyDescent="0.2">
      <c r="AA4089" s="4"/>
    </row>
    <row r="4090" spans="27:27" x14ac:dyDescent="0.2">
      <c r="AA4090" s="4"/>
    </row>
    <row r="4091" spans="27:27" x14ac:dyDescent="0.2">
      <c r="AA4091" s="4"/>
    </row>
    <row r="4092" spans="27:27" x14ac:dyDescent="0.2">
      <c r="AA4092" s="4"/>
    </row>
    <row r="4093" spans="27:27" x14ac:dyDescent="0.2">
      <c r="AA4093" s="4"/>
    </row>
    <row r="4094" spans="27:27" x14ac:dyDescent="0.2">
      <c r="AA4094" s="4"/>
    </row>
    <row r="4095" spans="27:27" x14ac:dyDescent="0.2">
      <c r="AA4095" s="4"/>
    </row>
    <row r="4096" spans="27:27" x14ac:dyDescent="0.2">
      <c r="AA4096" s="4"/>
    </row>
    <row r="4097" spans="27:27" x14ac:dyDescent="0.2">
      <c r="AA4097" s="4"/>
    </row>
    <row r="4098" spans="27:27" x14ac:dyDescent="0.2">
      <c r="AA4098" s="4"/>
    </row>
    <row r="4099" spans="27:27" x14ac:dyDescent="0.2">
      <c r="AA4099" s="4"/>
    </row>
    <row r="4100" spans="27:27" x14ac:dyDescent="0.2">
      <c r="AA4100" s="4"/>
    </row>
    <row r="4101" spans="27:27" x14ac:dyDescent="0.2">
      <c r="AA4101" s="4"/>
    </row>
    <row r="4102" spans="27:27" x14ac:dyDescent="0.2">
      <c r="AA4102" s="4"/>
    </row>
    <row r="4103" spans="27:27" x14ac:dyDescent="0.2">
      <c r="AA4103" s="4"/>
    </row>
    <row r="4104" spans="27:27" x14ac:dyDescent="0.2">
      <c r="AA4104" s="4"/>
    </row>
    <row r="4105" spans="27:27" x14ac:dyDescent="0.2">
      <c r="AA4105" s="4"/>
    </row>
    <row r="4106" spans="27:27" x14ac:dyDescent="0.2">
      <c r="AA4106" s="4"/>
    </row>
    <row r="4107" spans="27:27" x14ac:dyDescent="0.2">
      <c r="AA4107" s="4"/>
    </row>
    <row r="4108" spans="27:27" x14ac:dyDescent="0.2">
      <c r="AA4108" s="4"/>
    </row>
    <row r="4109" spans="27:27" x14ac:dyDescent="0.2">
      <c r="AA4109" s="4"/>
    </row>
    <row r="4110" spans="27:27" x14ac:dyDescent="0.2">
      <c r="AA4110" s="4"/>
    </row>
    <row r="4111" spans="27:27" x14ac:dyDescent="0.2">
      <c r="AA4111" s="4"/>
    </row>
    <row r="4112" spans="27:27" x14ac:dyDescent="0.2">
      <c r="AA4112" s="4"/>
    </row>
    <row r="4113" spans="27:27" x14ac:dyDescent="0.2">
      <c r="AA4113" s="4"/>
    </row>
    <row r="4114" spans="27:27" x14ac:dyDescent="0.2">
      <c r="AA4114" s="4"/>
    </row>
    <row r="4115" spans="27:27" x14ac:dyDescent="0.2">
      <c r="AA4115" s="4"/>
    </row>
    <row r="4116" spans="27:27" x14ac:dyDescent="0.2">
      <c r="AA4116" s="4"/>
    </row>
    <row r="4117" spans="27:27" x14ac:dyDescent="0.2">
      <c r="AA4117" s="4"/>
    </row>
    <row r="4118" spans="27:27" x14ac:dyDescent="0.2">
      <c r="AA4118" s="4"/>
    </row>
    <row r="4119" spans="27:27" x14ac:dyDescent="0.2">
      <c r="AA4119" s="4"/>
    </row>
    <row r="4120" spans="27:27" x14ac:dyDescent="0.2">
      <c r="AA4120" s="4"/>
    </row>
    <row r="4121" spans="27:27" x14ac:dyDescent="0.2">
      <c r="AA4121" s="4"/>
    </row>
    <row r="4122" spans="27:27" x14ac:dyDescent="0.2">
      <c r="AA4122" s="4"/>
    </row>
    <row r="4123" spans="27:27" x14ac:dyDescent="0.2">
      <c r="AA4123" s="4"/>
    </row>
    <row r="4124" spans="27:27" x14ac:dyDescent="0.2">
      <c r="AA4124" s="4"/>
    </row>
    <row r="4125" spans="27:27" x14ac:dyDescent="0.2">
      <c r="AA4125" s="4"/>
    </row>
    <row r="4126" spans="27:27" x14ac:dyDescent="0.2">
      <c r="AA4126" s="4"/>
    </row>
    <row r="4127" spans="27:27" x14ac:dyDescent="0.2">
      <c r="AA4127" s="4"/>
    </row>
    <row r="4128" spans="27:27" x14ac:dyDescent="0.2">
      <c r="AA4128" s="4"/>
    </row>
    <row r="4129" spans="27:27" x14ac:dyDescent="0.2">
      <c r="AA4129" s="4"/>
    </row>
    <row r="4130" spans="27:27" x14ac:dyDescent="0.2">
      <c r="AA4130" s="4"/>
    </row>
    <row r="4131" spans="27:27" x14ac:dyDescent="0.2">
      <c r="AA4131" s="4"/>
    </row>
    <row r="4132" spans="27:27" x14ac:dyDescent="0.2">
      <c r="AA4132" s="4"/>
    </row>
    <row r="4133" spans="27:27" x14ac:dyDescent="0.2">
      <c r="AA4133" s="4"/>
    </row>
    <row r="4134" spans="27:27" x14ac:dyDescent="0.2">
      <c r="AA4134" s="4"/>
    </row>
    <row r="4135" spans="27:27" x14ac:dyDescent="0.2">
      <c r="AA4135" s="4"/>
    </row>
    <row r="4136" spans="27:27" x14ac:dyDescent="0.2">
      <c r="AA4136" s="4"/>
    </row>
    <row r="4137" spans="27:27" x14ac:dyDescent="0.2">
      <c r="AA4137" s="4"/>
    </row>
    <row r="4138" spans="27:27" x14ac:dyDescent="0.2">
      <c r="AA4138" s="4"/>
    </row>
    <row r="4139" spans="27:27" x14ac:dyDescent="0.2">
      <c r="AA4139" s="4"/>
    </row>
    <row r="4140" spans="27:27" x14ac:dyDescent="0.2">
      <c r="AA4140" s="4"/>
    </row>
    <row r="4141" spans="27:27" x14ac:dyDescent="0.2">
      <c r="AA4141" s="4"/>
    </row>
    <row r="4142" spans="27:27" x14ac:dyDescent="0.2">
      <c r="AA4142" s="4"/>
    </row>
    <row r="4143" spans="27:27" x14ac:dyDescent="0.2">
      <c r="AA4143" s="4"/>
    </row>
    <row r="4144" spans="27:27" x14ac:dyDescent="0.2">
      <c r="AA4144" s="4"/>
    </row>
    <row r="4145" spans="27:27" x14ac:dyDescent="0.2">
      <c r="AA4145" s="4"/>
    </row>
    <row r="4146" spans="27:27" x14ac:dyDescent="0.2">
      <c r="AA4146" s="4"/>
    </row>
    <row r="4147" spans="27:27" x14ac:dyDescent="0.2">
      <c r="AA4147" s="4"/>
    </row>
    <row r="4148" spans="27:27" x14ac:dyDescent="0.2">
      <c r="AA4148" s="4"/>
    </row>
    <row r="4149" spans="27:27" x14ac:dyDescent="0.2">
      <c r="AA4149" s="4"/>
    </row>
    <row r="4150" spans="27:27" x14ac:dyDescent="0.2">
      <c r="AA4150" s="4"/>
    </row>
    <row r="4151" spans="27:27" x14ac:dyDescent="0.2">
      <c r="AA4151" s="4"/>
    </row>
    <row r="4152" spans="27:27" x14ac:dyDescent="0.2">
      <c r="AA4152" s="4"/>
    </row>
    <row r="4153" spans="27:27" x14ac:dyDescent="0.2">
      <c r="AA4153" s="4"/>
    </row>
    <row r="4154" spans="27:27" x14ac:dyDescent="0.2">
      <c r="AA4154" s="4"/>
    </row>
    <row r="4155" spans="27:27" x14ac:dyDescent="0.2">
      <c r="AA4155" s="4"/>
    </row>
    <row r="4156" spans="27:27" x14ac:dyDescent="0.2">
      <c r="AA4156" s="4"/>
    </row>
    <row r="4157" spans="27:27" x14ac:dyDescent="0.2">
      <c r="AA4157" s="4"/>
    </row>
    <row r="4158" spans="27:27" x14ac:dyDescent="0.2">
      <c r="AA4158" s="4"/>
    </row>
    <row r="4159" spans="27:27" x14ac:dyDescent="0.2">
      <c r="AA4159" s="4"/>
    </row>
    <row r="4160" spans="27:27" x14ac:dyDescent="0.2">
      <c r="AA4160" s="4"/>
    </row>
    <row r="4161" spans="27:27" x14ac:dyDescent="0.2">
      <c r="AA4161" s="4"/>
    </row>
    <row r="4162" spans="27:27" x14ac:dyDescent="0.2">
      <c r="AA4162" s="4"/>
    </row>
    <row r="4163" spans="27:27" x14ac:dyDescent="0.2">
      <c r="AA4163" s="4"/>
    </row>
    <row r="4164" spans="27:27" x14ac:dyDescent="0.2">
      <c r="AA4164" s="4"/>
    </row>
    <row r="4165" spans="27:27" x14ac:dyDescent="0.2">
      <c r="AA4165" s="4"/>
    </row>
    <row r="4166" spans="27:27" x14ac:dyDescent="0.2">
      <c r="AA4166" s="4"/>
    </row>
    <row r="4167" spans="27:27" x14ac:dyDescent="0.2">
      <c r="AA4167" s="4"/>
    </row>
    <row r="4168" spans="27:27" x14ac:dyDescent="0.2">
      <c r="AA4168" s="4"/>
    </row>
    <row r="4169" spans="27:27" x14ac:dyDescent="0.2">
      <c r="AA4169" s="4"/>
    </row>
    <row r="4170" spans="27:27" x14ac:dyDescent="0.2">
      <c r="AA4170" s="4"/>
    </row>
    <row r="4171" spans="27:27" x14ac:dyDescent="0.2">
      <c r="AA4171" s="4"/>
    </row>
    <row r="4172" spans="27:27" x14ac:dyDescent="0.2">
      <c r="AA4172" s="4"/>
    </row>
    <row r="4173" spans="27:27" x14ac:dyDescent="0.2">
      <c r="AA4173" s="4"/>
    </row>
    <row r="4174" spans="27:27" x14ac:dyDescent="0.2">
      <c r="AA4174" s="4"/>
    </row>
    <row r="4175" spans="27:27" x14ac:dyDescent="0.2">
      <c r="AA4175" s="4"/>
    </row>
    <row r="4176" spans="27:27" x14ac:dyDescent="0.2">
      <c r="AA4176" s="4"/>
    </row>
    <row r="4177" spans="27:27" x14ac:dyDescent="0.2">
      <c r="AA4177" s="4"/>
    </row>
    <row r="4178" spans="27:27" x14ac:dyDescent="0.2">
      <c r="AA4178" s="4"/>
    </row>
    <row r="4179" spans="27:27" x14ac:dyDescent="0.2">
      <c r="AA4179" s="4"/>
    </row>
    <row r="4180" spans="27:27" x14ac:dyDescent="0.2">
      <c r="AA4180" s="4"/>
    </row>
    <row r="4181" spans="27:27" x14ac:dyDescent="0.2">
      <c r="AA4181" s="4"/>
    </row>
    <row r="4182" spans="27:27" x14ac:dyDescent="0.2">
      <c r="AA4182" s="4"/>
    </row>
    <row r="4183" spans="27:27" x14ac:dyDescent="0.2">
      <c r="AA4183" s="4"/>
    </row>
    <row r="4184" spans="27:27" x14ac:dyDescent="0.2">
      <c r="AA4184" s="4"/>
    </row>
    <row r="4185" spans="27:27" x14ac:dyDescent="0.2">
      <c r="AA4185" s="4"/>
    </row>
    <row r="4186" spans="27:27" x14ac:dyDescent="0.2">
      <c r="AA4186" s="4"/>
    </row>
    <row r="4187" spans="27:27" x14ac:dyDescent="0.2">
      <c r="AA4187" s="4"/>
    </row>
    <row r="4188" spans="27:27" x14ac:dyDescent="0.2">
      <c r="AA4188" s="4"/>
    </row>
    <row r="4189" spans="27:27" x14ac:dyDescent="0.2">
      <c r="AA4189" s="4"/>
    </row>
    <row r="4190" spans="27:27" x14ac:dyDescent="0.2">
      <c r="AA4190" s="4"/>
    </row>
    <row r="4191" spans="27:27" x14ac:dyDescent="0.2">
      <c r="AA4191" s="4"/>
    </row>
    <row r="4192" spans="27:27" x14ac:dyDescent="0.2">
      <c r="AA4192" s="4"/>
    </row>
    <row r="4193" spans="27:27" x14ac:dyDescent="0.2">
      <c r="AA4193" s="4"/>
    </row>
    <row r="4194" spans="27:27" x14ac:dyDescent="0.2">
      <c r="AA4194" s="4"/>
    </row>
    <row r="4195" spans="27:27" x14ac:dyDescent="0.2">
      <c r="AA4195" s="4"/>
    </row>
    <row r="4196" spans="27:27" x14ac:dyDescent="0.2">
      <c r="AA4196" s="4"/>
    </row>
    <row r="4197" spans="27:27" x14ac:dyDescent="0.2">
      <c r="AA4197" s="4"/>
    </row>
    <row r="4198" spans="27:27" x14ac:dyDescent="0.2">
      <c r="AA4198" s="4"/>
    </row>
    <row r="4199" spans="27:27" x14ac:dyDescent="0.2">
      <c r="AA4199" s="4"/>
    </row>
    <row r="4200" spans="27:27" x14ac:dyDescent="0.2">
      <c r="AA4200" s="4"/>
    </row>
    <row r="4201" spans="27:27" x14ac:dyDescent="0.2">
      <c r="AA4201" s="4"/>
    </row>
    <row r="4202" spans="27:27" x14ac:dyDescent="0.2">
      <c r="AA4202" s="4"/>
    </row>
    <row r="4203" spans="27:27" x14ac:dyDescent="0.2">
      <c r="AA4203" s="4"/>
    </row>
    <row r="4204" spans="27:27" x14ac:dyDescent="0.2">
      <c r="AA4204" s="4"/>
    </row>
    <row r="4205" spans="27:27" x14ac:dyDescent="0.2">
      <c r="AA4205" s="4"/>
    </row>
    <row r="4206" spans="27:27" x14ac:dyDescent="0.2">
      <c r="AA4206" s="4"/>
    </row>
    <row r="4207" spans="27:27" x14ac:dyDescent="0.2">
      <c r="AA4207" s="4"/>
    </row>
    <row r="4208" spans="27:27" x14ac:dyDescent="0.2">
      <c r="AA4208" s="4"/>
    </row>
    <row r="4209" spans="27:27" x14ac:dyDescent="0.2">
      <c r="AA4209" s="4"/>
    </row>
    <row r="4210" spans="27:27" x14ac:dyDescent="0.2">
      <c r="AA4210" s="4"/>
    </row>
    <row r="4211" spans="27:27" x14ac:dyDescent="0.2">
      <c r="AA4211" s="4"/>
    </row>
    <row r="4212" spans="27:27" x14ac:dyDescent="0.2">
      <c r="AA4212" s="4"/>
    </row>
    <row r="4213" spans="27:27" x14ac:dyDescent="0.2">
      <c r="AA4213" s="4"/>
    </row>
    <row r="4214" spans="27:27" x14ac:dyDescent="0.2">
      <c r="AA4214" s="4"/>
    </row>
    <row r="4215" spans="27:27" x14ac:dyDescent="0.2">
      <c r="AA4215" s="4"/>
    </row>
    <row r="4216" spans="27:27" x14ac:dyDescent="0.2">
      <c r="AA4216" s="4"/>
    </row>
    <row r="4217" spans="27:27" x14ac:dyDescent="0.2">
      <c r="AA4217" s="4"/>
    </row>
    <row r="4218" spans="27:27" x14ac:dyDescent="0.2">
      <c r="AA4218" s="4"/>
    </row>
    <row r="4219" spans="27:27" x14ac:dyDescent="0.2">
      <c r="AA4219" s="4"/>
    </row>
    <row r="4220" spans="27:27" x14ac:dyDescent="0.2">
      <c r="AA4220" s="4"/>
    </row>
    <row r="4221" spans="27:27" x14ac:dyDescent="0.2">
      <c r="AA4221" s="4"/>
    </row>
    <row r="4222" spans="27:27" x14ac:dyDescent="0.2">
      <c r="AA4222" s="4"/>
    </row>
    <row r="4223" spans="27:27" x14ac:dyDescent="0.2">
      <c r="AA4223" s="4"/>
    </row>
    <row r="4224" spans="27:27" x14ac:dyDescent="0.2">
      <c r="AA4224" s="4"/>
    </row>
    <row r="4225" spans="27:27" x14ac:dyDescent="0.2">
      <c r="AA4225" s="4"/>
    </row>
    <row r="4226" spans="27:27" x14ac:dyDescent="0.2">
      <c r="AA4226" s="4"/>
    </row>
    <row r="4227" spans="27:27" x14ac:dyDescent="0.2">
      <c r="AA4227" s="4"/>
    </row>
    <row r="4228" spans="27:27" x14ac:dyDescent="0.2">
      <c r="AA4228" s="4"/>
    </row>
    <row r="4229" spans="27:27" x14ac:dyDescent="0.2">
      <c r="AA4229" s="4"/>
    </row>
    <row r="4230" spans="27:27" x14ac:dyDescent="0.2">
      <c r="AA4230" s="4"/>
    </row>
    <row r="4231" spans="27:27" x14ac:dyDescent="0.2">
      <c r="AA4231" s="4"/>
    </row>
    <row r="4232" spans="27:27" x14ac:dyDescent="0.2">
      <c r="AA4232" s="4"/>
    </row>
    <row r="4233" spans="27:27" x14ac:dyDescent="0.2">
      <c r="AA4233" s="4"/>
    </row>
    <row r="4234" spans="27:27" x14ac:dyDescent="0.2">
      <c r="AA4234" s="4"/>
    </row>
    <row r="4235" spans="27:27" x14ac:dyDescent="0.2">
      <c r="AA4235" s="4"/>
    </row>
    <row r="4236" spans="27:27" x14ac:dyDescent="0.2">
      <c r="AA4236" s="4"/>
    </row>
    <row r="4237" spans="27:27" x14ac:dyDescent="0.2">
      <c r="AA4237" s="4"/>
    </row>
    <row r="4238" spans="27:27" x14ac:dyDescent="0.2">
      <c r="AA4238" s="4"/>
    </row>
    <row r="4239" spans="27:27" x14ac:dyDescent="0.2">
      <c r="AA4239" s="4"/>
    </row>
    <row r="4240" spans="27:27" x14ac:dyDescent="0.2">
      <c r="AA4240" s="4"/>
    </row>
    <row r="4241" spans="27:27" x14ac:dyDescent="0.2">
      <c r="AA4241" s="4"/>
    </row>
    <row r="4242" spans="27:27" x14ac:dyDescent="0.2">
      <c r="AA4242" s="4"/>
    </row>
    <row r="4243" spans="27:27" x14ac:dyDescent="0.2">
      <c r="AA4243" s="4"/>
    </row>
    <row r="4244" spans="27:27" x14ac:dyDescent="0.2">
      <c r="AA4244" s="4"/>
    </row>
    <row r="4245" spans="27:27" x14ac:dyDescent="0.2">
      <c r="AA4245" s="4"/>
    </row>
    <row r="4246" spans="27:27" x14ac:dyDescent="0.2">
      <c r="AA4246" s="4"/>
    </row>
    <row r="4247" spans="27:27" x14ac:dyDescent="0.2">
      <c r="AA4247" s="4"/>
    </row>
    <row r="4248" spans="27:27" x14ac:dyDescent="0.2">
      <c r="AA4248" s="4"/>
    </row>
    <row r="4249" spans="27:27" x14ac:dyDescent="0.2">
      <c r="AA4249" s="4"/>
    </row>
    <row r="4250" spans="27:27" x14ac:dyDescent="0.2">
      <c r="AA4250" s="4"/>
    </row>
    <row r="4251" spans="27:27" x14ac:dyDescent="0.2">
      <c r="AA4251" s="4"/>
    </row>
    <row r="4252" spans="27:27" x14ac:dyDescent="0.2">
      <c r="AA4252" s="4"/>
    </row>
    <row r="4253" spans="27:27" x14ac:dyDescent="0.2">
      <c r="AA4253" s="4"/>
    </row>
    <row r="4254" spans="27:27" x14ac:dyDescent="0.2">
      <c r="AA4254" s="4"/>
    </row>
    <row r="4255" spans="27:27" x14ac:dyDescent="0.2">
      <c r="AA4255" s="4"/>
    </row>
    <row r="4256" spans="27:27" x14ac:dyDescent="0.2">
      <c r="AA4256" s="4"/>
    </row>
    <row r="4257" spans="27:27" x14ac:dyDescent="0.2">
      <c r="AA4257" s="4"/>
    </row>
    <row r="4258" spans="27:27" x14ac:dyDescent="0.2">
      <c r="AA4258" s="4"/>
    </row>
    <row r="4259" spans="27:27" x14ac:dyDescent="0.2">
      <c r="AA4259" s="4"/>
    </row>
    <row r="4260" spans="27:27" x14ac:dyDescent="0.2">
      <c r="AA4260" s="4"/>
    </row>
    <row r="4261" spans="27:27" x14ac:dyDescent="0.2">
      <c r="AA4261" s="4"/>
    </row>
    <row r="4262" spans="27:27" x14ac:dyDescent="0.2">
      <c r="AA4262" s="4"/>
    </row>
    <row r="4263" spans="27:27" x14ac:dyDescent="0.2">
      <c r="AA4263" s="4"/>
    </row>
    <row r="4264" spans="27:27" x14ac:dyDescent="0.2">
      <c r="AA4264" s="4"/>
    </row>
    <row r="4265" spans="27:27" x14ac:dyDescent="0.2">
      <c r="AA4265" s="4"/>
    </row>
    <row r="4266" spans="27:27" x14ac:dyDescent="0.2">
      <c r="AA4266" s="4"/>
    </row>
    <row r="4267" spans="27:27" x14ac:dyDescent="0.2">
      <c r="AA4267" s="4"/>
    </row>
    <row r="4268" spans="27:27" x14ac:dyDescent="0.2">
      <c r="AA4268" s="4"/>
    </row>
    <row r="4269" spans="27:27" x14ac:dyDescent="0.2">
      <c r="AA4269" s="4"/>
    </row>
    <row r="4270" spans="27:27" x14ac:dyDescent="0.2">
      <c r="AA4270" s="4"/>
    </row>
    <row r="4271" spans="27:27" x14ac:dyDescent="0.2">
      <c r="AA4271" s="4"/>
    </row>
    <row r="4272" spans="27:27" x14ac:dyDescent="0.2">
      <c r="AA4272" s="4"/>
    </row>
    <row r="4273" spans="27:27" x14ac:dyDescent="0.2">
      <c r="AA4273" s="4"/>
    </row>
    <row r="4274" spans="27:27" x14ac:dyDescent="0.2">
      <c r="AA4274" s="4"/>
    </row>
    <row r="4275" spans="27:27" x14ac:dyDescent="0.2">
      <c r="AA4275" s="4"/>
    </row>
    <row r="4276" spans="27:27" x14ac:dyDescent="0.2">
      <c r="AA4276" s="4"/>
    </row>
    <row r="4277" spans="27:27" x14ac:dyDescent="0.2">
      <c r="AA4277" s="4"/>
    </row>
    <row r="4278" spans="27:27" x14ac:dyDescent="0.2">
      <c r="AA4278" s="4"/>
    </row>
    <row r="4279" spans="27:27" x14ac:dyDescent="0.2">
      <c r="AA4279" s="4"/>
    </row>
    <row r="4280" spans="27:27" x14ac:dyDescent="0.2">
      <c r="AA4280" s="4"/>
    </row>
    <row r="4281" spans="27:27" x14ac:dyDescent="0.2">
      <c r="AA4281" s="4"/>
    </row>
    <row r="4282" spans="27:27" x14ac:dyDescent="0.2">
      <c r="AA4282" s="4"/>
    </row>
    <row r="4283" spans="27:27" x14ac:dyDescent="0.2">
      <c r="AA4283" s="4"/>
    </row>
    <row r="4284" spans="27:27" x14ac:dyDescent="0.2">
      <c r="AA4284" s="4"/>
    </row>
    <row r="4285" spans="27:27" x14ac:dyDescent="0.2">
      <c r="AA4285" s="4"/>
    </row>
    <row r="4286" spans="27:27" x14ac:dyDescent="0.2">
      <c r="AA4286" s="4"/>
    </row>
    <row r="4287" spans="27:27" x14ac:dyDescent="0.2">
      <c r="AA4287" s="4"/>
    </row>
    <row r="4288" spans="27:27" x14ac:dyDescent="0.2">
      <c r="AA4288" s="4"/>
    </row>
    <row r="4289" spans="27:27" x14ac:dyDescent="0.2">
      <c r="AA4289" s="4"/>
    </row>
    <row r="4290" spans="27:27" x14ac:dyDescent="0.2">
      <c r="AA4290" s="4"/>
    </row>
    <row r="4291" spans="27:27" x14ac:dyDescent="0.2">
      <c r="AA4291" s="4"/>
    </row>
    <row r="4292" spans="27:27" x14ac:dyDescent="0.2">
      <c r="AA4292" s="4"/>
    </row>
    <row r="4293" spans="27:27" x14ac:dyDescent="0.2">
      <c r="AA4293" s="4"/>
    </row>
    <row r="4294" spans="27:27" x14ac:dyDescent="0.2">
      <c r="AA4294" s="4"/>
    </row>
    <row r="4295" spans="27:27" x14ac:dyDescent="0.2">
      <c r="AA4295" s="4"/>
    </row>
    <row r="4296" spans="27:27" x14ac:dyDescent="0.2">
      <c r="AA4296" s="4"/>
    </row>
    <row r="4297" spans="27:27" x14ac:dyDescent="0.2">
      <c r="AA4297" s="4"/>
    </row>
    <row r="4298" spans="27:27" x14ac:dyDescent="0.2">
      <c r="AA4298" s="4"/>
    </row>
    <row r="4299" spans="27:27" x14ac:dyDescent="0.2">
      <c r="AA4299" s="4"/>
    </row>
    <row r="4300" spans="27:27" x14ac:dyDescent="0.2">
      <c r="AA4300" s="4"/>
    </row>
    <row r="4301" spans="27:27" x14ac:dyDescent="0.2">
      <c r="AA4301" s="4"/>
    </row>
    <row r="4302" spans="27:27" x14ac:dyDescent="0.2">
      <c r="AA4302" s="4"/>
    </row>
    <row r="4303" spans="27:27" x14ac:dyDescent="0.2">
      <c r="AA4303" s="4"/>
    </row>
    <row r="4304" spans="27:27" x14ac:dyDescent="0.2">
      <c r="AA4304" s="4"/>
    </row>
    <row r="4305" spans="27:27" x14ac:dyDescent="0.2">
      <c r="AA4305" s="4"/>
    </row>
    <row r="4306" spans="27:27" x14ac:dyDescent="0.2">
      <c r="AA4306" s="4"/>
    </row>
    <row r="4307" spans="27:27" x14ac:dyDescent="0.2">
      <c r="AA4307" s="4"/>
    </row>
    <row r="4308" spans="27:27" x14ac:dyDescent="0.2">
      <c r="AA4308" s="4"/>
    </row>
    <row r="4309" spans="27:27" x14ac:dyDescent="0.2">
      <c r="AA4309" s="4"/>
    </row>
    <row r="4310" spans="27:27" x14ac:dyDescent="0.2">
      <c r="AA4310" s="4"/>
    </row>
    <row r="4311" spans="27:27" x14ac:dyDescent="0.2">
      <c r="AA4311" s="4"/>
    </row>
    <row r="4312" spans="27:27" x14ac:dyDescent="0.2">
      <c r="AA4312" s="4"/>
    </row>
    <row r="4313" spans="27:27" x14ac:dyDescent="0.2">
      <c r="AA4313" s="4"/>
    </row>
    <row r="4314" spans="27:27" x14ac:dyDescent="0.2">
      <c r="AA4314" s="4"/>
    </row>
    <row r="4315" spans="27:27" x14ac:dyDescent="0.2">
      <c r="AA4315" s="4"/>
    </row>
    <row r="4316" spans="27:27" x14ac:dyDescent="0.2">
      <c r="AA4316" s="4"/>
    </row>
    <row r="4317" spans="27:27" x14ac:dyDescent="0.2">
      <c r="AA4317" s="4"/>
    </row>
    <row r="4318" spans="27:27" x14ac:dyDescent="0.2">
      <c r="AA4318" s="4"/>
    </row>
    <row r="4319" spans="27:27" x14ac:dyDescent="0.2">
      <c r="AA4319" s="4"/>
    </row>
    <row r="4320" spans="27:27" x14ac:dyDescent="0.2">
      <c r="AA4320" s="4"/>
    </row>
    <row r="4321" spans="27:27" x14ac:dyDescent="0.2">
      <c r="AA4321" s="4"/>
    </row>
    <row r="4322" spans="27:27" x14ac:dyDescent="0.2">
      <c r="AA4322" s="4"/>
    </row>
    <row r="4323" spans="27:27" x14ac:dyDescent="0.2">
      <c r="AA4323" s="4"/>
    </row>
    <row r="4324" spans="27:27" x14ac:dyDescent="0.2">
      <c r="AA4324" s="4"/>
    </row>
    <row r="4325" spans="27:27" x14ac:dyDescent="0.2">
      <c r="AA4325" s="4"/>
    </row>
    <row r="4326" spans="27:27" x14ac:dyDescent="0.2">
      <c r="AA4326" s="4"/>
    </row>
    <row r="4327" spans="27:27" x14ac:dyDescent="0.2">
      <c r="AA4327" s="4"/>
    </row>
    <row r="4328" spans="27:27" x14ac:dyDescent="0.2">
      <c r="AA4328" s="4"/>
    </row>
    <row r="4329" spans="27:27" x14ac:dyDescent="0.2">
      <c r="AA4329" s="4"/>
    </row>
    <row r="4330" spans="27:27" x14ac:dyDescent="0.2">
      <c r="AA4330" s="4"/>
    </row>
    <row r="4331" spans="27:27" x14ac:dyDescent="0.2">
      <c r="AA4331" s="4"/>
    </row>
    <row r="4332" spans="27:27" x14ac:dyDescent="0.2">
      <c r="AA4332" s="4"/>
    </row>
    <row r="4333" spans="27:27" x14ac:dyDescent="0.2">
      <c r="AA4333" s="4"/>
    </row>
    <row r="4334" spans="27:27" x14ac:dyDescent="0.2">
      <c r="AA4334" s="4"/>
    </row>
    <row r="4335" spans="27:27" x14ac:dyDescent="0.2">
      <c r="AA4335" s="4"/>
    </row>
    <row r="4336" spans="27:27" x14ac:dyDescent="0.2">
      <c r="AA4336" s="4"/>
    </row>
    <row r="4337" spans="27:27" x14ac:dyDescent="0.2">
      <c r="AA4337" s="4"/>
    </row>
    <row r="4338" spans="27:27" x14ac:dyDescent="0.2">
      <c r="AA4338" s="4"/>
    </row>
    <row r="4339" spans="27:27" x14ac:dyDescent="0.2">
      <c r="AA4339" s="4"/>
    </row>
    <row r="4340" spans="27:27" x14ac:dyDescent="0.2">
      <c r="AA4340" s="4"/>
    </row>
    <row r="4341" spans="27:27" x14ac:dyDescent="0.2">
      <c r="AA4341" s="4"/>
    </row>
    <row r="4342" spans="27:27" x14ac:dyDescent="0.2">
      <c r="AA4342" s="4"/>
    </row>
    <row r="4343" spans="27:27" x14ac:dyDescent="0.2">
      <c r="AA4343" s="4"/>
    </row>
    <row r="4344" spans="27:27" x14ac:dyDescent="0.2">
      <c r="AA4344" s="4"/>
    </row>
    <row r="4345" spans="27:27" x14ac:dyDescent="0.2">
      <c r="AA4345" s="4"/>
    </row>
    <row r="4346" spans="27:27" x14ac:dyDescent="0.2">
      <c r="AA4346" s="4"/>
    </row>
    <row r="4347" spans="27:27" x14ac:dyDescent="0.2">
      <c r="AA4347" s="4"/>
    </row>
    <row r="4348" spans="27:27" x14ac:dyDescent="0.2">
      <c r="AA4348" s="4"/>
    </row>
    <row r="4349" spans="27:27" x14ac:dyDescent="0.2">
      <c r="AA4349" s="4"/>
    </row>
    <row r="4350" spans="27:27" x14ac:dyDescent="0.2">
      <c r="AA4350" s="4"/>
    </row>
    <row r="4351" spans="27:27" x14ac:dyDescent="0.2">
      <c r="AA4351" s="4"/>
    </row>
    <row r="4352" spans="27:27" x14ac:dyDescent="0.2">
      <c r="AA4352" s="4"/>
    </row>
    <row r="4353" spans="27:27" x14ac:dyDescent="0.2">
      <c r="AA4353" s="4"/>
    </row>
    <row r="4354" spans="27:27" x14ac:dyDescent="0.2">
      <c r="AA4354" s="4"/>
    </row>
    <row r="4355" spans="27:27" x14ac:dyDescent="0.2">
      <c r="AA4355" s="4"/>
    </row>
    <row r="4356" spans="27:27" x14ac:dyDescent="0.2">
      <c r="AA4356" s="4"/>
    </row>
    <row r="4357" spans="27:27" x14ac:dyDescent="0.2">
      <c r="AA4357" s="4"/>
    </row>
    <row r="4358" spans="27:27" x14ac:dyDescent="0.2">
      <c r="AA4358" s="4"/>
    </row>
    <row r="4359" spans="27:27" x14ac:dyDescent="0.2">
      <c r="AA4359" s="4"/>
    </row>
    <row r="4360" spans="27:27" x14ac:dyDescent="0.2">
      <c r="AA4360" s="4"/>
    </row>
    <row r="4361" spans="27:27" x14ac:dyDescent="0.2">
      <c r="AA4361" s="4"/>
    </row>
    <row r="4362" spans="27:27" x14ac:dyDescent="0.2">
      <c r="AA4362" s="4"/>
    </row>
    <row r="4363" spans="27:27" x14ac:dyDescent="0.2">
      <c r="AA4363" s="4"/>
    </row>
    <row r="4364" spans="27:27" x14ac:dyDescent="0.2">
      <c r="AA4364" s="4"/>
    </row>
    <row r="4365" spans="27:27" x14ac:dyDescent="0.2">
      <c r="AA4365" s="4"/>
    </row>
    <row r="4366" spans="27:27" x14ac:dyDescent="0.2">
      <c r="AA4366" s="4"/>
    </row>
    <row r="4367" spans="27:27" x14ac:dyDescent="0.2">
      <c r="AA4367" s="4"/>
    </row>
    <row r="4368" spans="27:27" x14ac:dyDescent="0.2">
      <c r="AA4368" s="4"/>
    </row>
    <row r="4369" spans="27:27" x14ac:dyDescent="0.2">
      <c r="AA4369" s="4"/>
    </row>
    <row r="4370" spans="27:27" x14ac:dyDescent="0.2">
      <c r="AA4370" s="4"/>
    </row>
    <row r="4371" spans="27:27" x14ac:dyDescent="0.2">
      <c r="AA4371" s="4"/>
    </row>
    <row r="4372" spans="27:27" x14ac:dyDescent="0.2">
      <c r="AA4372" s="4"/>
    </row>
    <row r="4373" spans="27:27" x14ac:dyDescent="0.2">
      <c r="AA4373" s="4"/>
    </row>
    <row r="4374" spans="27:27" x14ac:dyDescent="0.2">
      <c r="AA4374" s="4"/>
    </row>
    <row r="4375" spans="27:27" x14ac:dyDescent="0.2">
      <c r="AA4375" s="4"/>
    </row>
    <row r="4376" spans="27:27" x14ac:dyDescent="0.2">
      <c r="AA4376" s="4"/>
    </row>
    <row r="4377" spans="27:27" x14ac:dyDescent="0.2">
      <c r="AA4377" s="4"/>
    </row>
    <row r="4378" spans="27:27" x14ac:dyDescent="0.2">
      <c r="AA4378" s="4"/>
    </row>
    <row r="4379" spans="27:27" x14ac:dyDescent="0.2">
      <c r="AA4379" s="4"/>
    </row>
    <row r="4380" spans="27:27" x14ac:dyDescent="0.2">
      <c r="AA4380" s="4"/>
    </row>
    <row r="4381" spans="27:27" x14ac:dyDescent="0.2">
      <c r="AA4381" s="4"/>
    </row>
    <row r="4382" spans="27:27" x14ac:dyDescent="0.2">
      <c r="AA4382" s="4"/>
    </row>
    <row r="4383" spans="27:27" x14ac:dyDescent="0.2">
      <c r="AA4383" s="4"/>
    </row>
    <row r="4384" spans="27:27" x14ac:dyDescent="0.2">
      <c r="AA4384" s="4"/>
    </row>
    <row r="4385" spans="27:27" x14ac:dyDescent="0.2">
      <c r="AA4385" s="4"/>
    </row>
    <row r="4386" spans="27:27" x14ac:dyDescent="0.2">
      <c r="AA4386" s="4"/>
    </row>
    <row r="4387" spans="27:27" x14ac:dyDescent="0.2">
      <c r="AA4387" s="4"/>
    </row>
    <row r="4388" spans="27:27" x14ac:dyDescent="0.2">
      <c r="AA4388" s="4"/>
    </row>
    <row r="4389" spans="27:27" x14ac:dyDescent="0.2">
      <c r="AA4389" s="4"/>
    </row>
    <row r="4390" spans="27:27" x14ac:dyDescent="0.2">
      <c r="AA4390" s="4"/>
    </row>
    <row r="4391" spans="27:27" x14ac:dyDescent="0.2">
      <c r="AA4391" s="4"/>
    </row>
    <row r="4392" spans="27:27" x14ac:dyDescent="0.2">
      <c r="AA4392" s="4"/>
    </row>
    <row r="4393" spans="27:27" x14ac:dyDescent="0.2">
      <c r="AA4393" s="4"/>
    </row>
    <row r="4394" spans="27:27" x14ac:dyDescent="0.2">
      <c r="AA4394" s="4"/>
    </row>
    <row r="4395" spans="27:27" x14ac:dyDescent="0.2">
      <c r="AA4395" s="4"/>
    </row>
    <row r="4396" spans="27:27" x14ac:dyDescent="0.2">
      <c r="AA4396" s="4"/>
    </row>
    <row r="4397" spans="27:27" x14ac:dyDescent="0.2">
      <c r="AA4397" s="4"/>
    </row>
    <row r="4398" spans="27:27" x14ac:dyDescent="0.2">
      <c r="AA4398" s="4"/>
    </row>
    <row r="4399" spans="27:27" x14ac:dyDescent="0.2">
      <c r="AA4399" s="4"/>
    </row>
    <row r="4400" spans="27:27" x14ac:dyDescent="0.2">
      <c r="AA4400" s="4"/>
    </row>
    <row r="4401" spans="27:27" x14ac:dyDescent="0.2">
      <c r="AA4401" s="4"/>
    </row>
    <row r="4402" spans="27:27" x14ac:dyDescent="0.2">
      <c r="AA4402" s="4"/>
    </row>
    <row r="4403" spans="27:27" x14ac:dyDescent="0.2">
      <c r="AA4403" s="4"/>
    </row>
    <row r="4404" spans="27:27" x14ac:dyDescent="0.2">
      <c r="AA4404" s="4"/>
    </row>
    <row r="4405" spans="27:27" x14ac:dyDescent="0.2">
      <c r="AA4405" s="4"/>
    </row>
    <row r="4406" spans="27:27" x14ac:dyDescent="0.2">
      <c r="AA4406" s="4"/>
    </row>
    <row r="4407" spans="27:27" x14ac:dyDescent="0.2">
      <c r="AA4407" s="4"/>
    </row>
    <row r="4408" spans="27:27" x14ac:dyDescent="0.2">
      <c r="AA4408" s="4"/>
    </row>
    <row r="4409" spans="27:27" x14ac:dyDescent="0.2">
      <c r="AA4409" s="4"/>
    </row>
    <row r="4410" spans="27:27" x14ac:dyDescent="0.2">
      <c r="AA4410" s="4"/>
    </row>
    <row r="4411" spans="27:27" x14ac:dyDescent="0.2">
      <c r="AA4411" s="4"/>
    </row>
    <row r="4412" spans="27:27" x14ac:dyDescent="0.2">
      <c r="AA4412" s="4"/>
    </row>
    <row r="4413" spans="27:27" x14ac:dyDescent="0.2">
      <c r="AA4413" s="4"/>
    </row>
    <row r="4414" spans="27:27" x14ac:dyDescent="0.2">
      <c r="AA4414" s="4"/>
    </row>
    <row r="4415" spans="27:27" x14ac:dyDescent="0.2">
      <c r="AA4415" s="4"/>
    </row>
    <row r="4416" spans="27:27" x14ac:dyDescent="0.2">
      <c r="AA4416" s="4"/>
    </row>
    <row r="4417" spans="27:27" x14ac:dyDescent="0.2">
      <c r="AA4417" s="4"/>
    </row>
    <row r="4418" spans="27:27" x14ac:dyDescent="0.2">
      <c r="AA4418" s="4"/>
    </row>
    <row r="4419" spans="27:27" x14ac:dyDescent="0.2">
      <c r="AA4419" s="4"/>
    </row>
    <row r="4420" spans="27:27" x14ac:dyDescent="0.2">
      <c r="AA4420" s="4"/>
    </row>
    <row r="4421" spans="27:27" x14ac:dyDescent="0.2">
      <c r="AA4421" s="4"/>
    </row>
    <row r="4422" spans="27:27" x14ac:dyDescent="0.2">
      <c r="AA4422" s="4"/>
    </row>
    <row r="4423" spans="27:27" x14ac:dyDescent="0.2">
      <c r="AA4423" s="4"/>
    </row>
    <row r="4424" spans="27:27" x14ac:dyDescent="0.2">
      <c r="AA4424" s="4"/>
    </row>
    <row r="4425" spans="27:27" x14ac:dyDescent="0.2">
      <c r="AA4425" s="4"/>
    </row>
    <row r="4426" spans="27:27" x14ac:dyDescent="0.2">
      <c r="AA4426" s="4"/>
    </row>
    <row r="4427" spans="27:27" x14ac:dyDescent="0.2">
      <c r="AA4427" s="4"/>
    </row>
    <row r="4428" spans="27:27" x14ac:dyDescent="0.2">
      <c r="AA4428" s="4"/>
    </row>
    <row r="4429" spans="27:27" x14ac:dyDescent="0.2">
      <c r="AA4429" s="4"/>
    </row>
    <row r="4430" spans="27:27" x14ac:dyDescent="0.2">
      <c r="AA4430" s="4"/>
    </row>
    <row r="4431" spans="27:27" x14ac:dyDescent="0.2">
      <c r="AA4431" s="4"/>
    </row>
    <row r="4432" spans="27:27" x14ac:dyDescent="0.2">
      <c r="AA4432" s="4"/>
    </row>
    <row r="4433" spans="27:27" x14ac:dyDescent="0.2">
      <c r="AA4433" s="4"/>
    </row>
    <row r="4434" spans="27:27" x14ac:dyDescent="0.2">
      <c r="AA4434" s="4"/>
    </row>
    <row r="4435" spans="27:27" x14ac:dyDescent="0.2">
      <c r="AA4435" s="4"/>
    </row>
    <row r="4436" spans="27:27" x14ac:dyDescent="0.2">
      <c r="AA4436" s="4"/>
    </row>
    <row r="4437" spans="27:27" x14ac:dyDescent="0.2">
      <c r="AA4437" s="4"/>
    </row>
    <row r="4438" spans="27:27" x14ac:dyDescent="0.2">
      <c r="AA4438" s="4"/>
    </row>
    <row r="4439" spans="27:27" x14ac:dyDescent="0.2">
      <c r="AA4439" s="4"/>
    </row>
    <row r="4440" spans="27:27" x14ac:dyDescent="0.2">
      <c r="AA4440" s="4"/>
    </row>
    <row r="4441" spans="27:27" x14ac:dyDescent="0.2">
      <c r="AA4441" s="4"/>
    </row>
    <row r="4442" spans="27:27" x14ac:dyDescent="0.2">
      <c r="AA4442" s="4"/>
    </row>
    <row r="4443" spans="27:27" x14ac:dyDescent="0.2">
      <c r="AA4443" s="4"/>
    </row>
    <row r="4444" spans="27:27" x14ac:dyDescent="0.2">
      <c r="AA4444" s="4"/>
    </row>
    <row r="4445" spans="27:27" x14ac:dyDescent="0.2">
      <c r="AA4445" s="4"/>
    </row>
    <row r="4446" spans="27:27" x14ac:dyDescent="0.2">
      <c r="AA4446" s="4"/>
    </row>
    <row r="4447" spans="27:27" x14ac:dyDescent="0.2">
      <c r="AA4447" s="4"/>
    </row>
    <row r="4448" spans="27:27" x14ac:dyDescent="0.2">
      <c r="AA4448" s="4"/>
    </row>
    <row r="4449" spans="27:27" x14ac:dyDescent="0.2">
      <c r="AA4449" s="4"/>
    </row>
    <row r="4450" spans="27:27" x14ac:dyDescent="0.2">
      <c r="AA4450" s="4"/>
    </row>
    <row r="4451" spans="27:27" x14ac:dyDescent="0.2">
      <c r="AA4451" s="4"/>
    </row>
    <row r="4452" spans="27:27" x14ac:dyDescent="0.2">
      <c r="AA4452" s="4"/>
    </row>
    <row r="4453" spans="27:27" x14ac:dyDescent="0.2">
      <c r="AA4453" s="4"/>
    </row>
    <row r="4454" spans="27:27" x14ac:dyDescent="0.2">
      <c r="AA4454" s="4"/>
    </row>
    <row r="4455" spans="27:27" x14ac:dyDescent="0.2">
      <c r="AA4455" s="4"/>
    </row>
    <row r="4456" spans="27:27" x14ac:dyDescent="0.2">
      <c r="AA4456" s="4"/>
    </row>
    <row r="4457" spans="27:27" x14ac:dyDescent="0.2">
      <c r="AA4457" s="4"/>
    </row>
    <row r="4458" spans="27:27" x14ac:dyDescent="0.2">
      <c r="AA4458" s="4"/>
    </row>
    <row r="4459" spans="27:27" x14ac:dyDescent="0.2">
      <c r="AA4459" s="4"/>
    </row>
    <row r="4460" spans="27:27" x14ac:dyDescent="0.2">
      <c r="AA4460" s="4"/>
    </row>
    <row r="4461" spans="27:27" x14ac:dyDescent="0.2">
      <c r="AA4461" s="4"/>
    </row>
    <row r="4462" spans="27:27" x14ac:dyDescent="0.2">
      <c r="AA4462" s="4"/>
    </row>
    <row r="4463" spans="27:27" x14ac:dyDescent="0.2">
      <c r="AA4463" s="4"/>
    </row>
    <row r="4464" spans="27:27" x14ac:dyDescent="0.2">
      <c r="AA4464" s="4"/>
    </row>
    <row r="4465" spans="27:27" x14ac:dyDescent="0.2">
      <c r="AA4465" s="4"/>
    </row>
    <row r="4466" spans="27:27" x14ac:dyDescent="0.2">
      <c r="AA4466" s="4"/>
    </row>
    <row r="4467" spans="27:27" x14ac:dyDescent="0.2">
      <c r="AA4467" s="4"/>
    </row>
    <row r="4468" spans="27:27" x14ac:dyDescent="0.2">
      <c r="AA4468" s="4"/>
    </row>
    <row r="4469" spans="27:27" x14ac:dyDescent="0.2">
      <c r="AA4469" s="4"/>
    </row>
    <row r="4470" spans="27:27" x14ac:dyDescent="0.2">
      <c r="AA4470" s="4"/>
    </row>
    <row r="4471" spans="27:27" x14ac:dyDescent="0.2">
      <c r="AA4471" s="4"/>
    </row>
    <row r="4472" spans="27:27" x14ac:dyDescent="0.2">
      <c r="AA4472" s="4"/>
    </row>
    <row r="4473" spans="27:27" x14ac:dyDescent="0.2">
      <c r="AA4473" s="4"/>
    </row>
    <row r="4474" spans="27:27" x14ac:dyDescent="0.2">
      <c r="AA4474" s="4"/>
    </row>
    <row r="4475" spans="27:27" x14ac:dyDescent="0.2">
      <c r="AA4475" s="4"/>
    </row>
    <row r="4476" spans="27:27" x14ac:dyDescent="0.2">
      <c r="AA4476" s="4"/>
    </row>
    <row r="4477" spans="27:27" x14ac:dyDescent="0.2">
      <c r="AA4477" s="4"/>
    </row>
    <row r="4478" spans="27:27" x14ac:dyDescent="0.2">
      <c r="AA4478" s="4"/>
    </row>
    <row r="4479" spans="27:27" x14ac:dyDescent="0.2">
      <c r="AA4479" s="4"/>
    </row>
    <row r="4480" spans="27:27" x14ac:dyDescent="0.2">
      <c r="AA4480" s="4"/>
    </row>
    <row r="4481" spans="27:27" x14ac:dyDescent="0.2">
      <c r="AA4481" s="4"/>
    </row>
    <row r="4482" spans="27:27" x14ac:dyDescent="0.2">
      <c r="AA4482" s="4"/>
    </row>
    <row r="4483" spans="27:27" x14ac:dyDescent="0.2">
      <c r="AA4483" s="4"/>
    </row>
    <row r="4484" spans="27:27" x14ac:dyDescent="0.2">
      <c r="AA4484" s="4"/>
    </row>
    <row r="4485" spans="27:27" x14ac:dyDescent="0.2">
      <c r="AA4485" s="4"/>
    </row>
    <row r="4486" spans="27:27" x14ac:dyDescent="0.2">
      <c r="AA4486" s="4"/>
    </row>
    <row r="4487" spans="27:27" x14ac:dyDescent="0.2">
      <c r="AA4487" s="4"/>
    </row>
    <row r="4488" spans="27:27" x14ac:dyDescent="0.2">
      <c r="AA4488" s="4"/>
    </row>
    <row r="4489" spans="27:27" x14ac:dyDescent="0.2">
      <c r="AA4489" s="4"/>
    </row>
    <row r="4490" spans="27:27" x14ac:dyDescent="0.2">
      <c r="AA4490" s="4"/>
    </row>
    <row r="4491" spans="27:27" x14ac:dyDescent="0.2">
      <c r="AA4491" s="4"/>
    </row>
    <row r="4492" spans="27:27" x14ac:dyDescent="0.2">
      <c r="AA4492" s="4"/>
    </row>
    <row r="4493" spans="27:27" x14ac:dyDescent="0.2">
      <c r="AA4493" s="4"/>
    </row>
    <row r="4494" spans="27:27" x14ac:dyDescent="0.2">
      <c r="AA4494" s="4"/>
    </row>
    <row r="4495" spans="27:27" x14ac:dyDescent="0.2">
      <c r="AA4495" s="4"/>
    </row>
    <row r="4496" spans="27:27" x14ac:dyDescent="0.2">
      <c r="AA4496" s="4"/>
    </row>
    <row r="4497" spans="27:27" x14ac:dyDescent="0.2">
      <c r="AA4497" s="4"/>
    </row>
    <row r="4498" spans="27:27" x14ac:dyDescent="0.2">
      <c r="AA4498" s="4"/>
    </row>
    <row r="4499" spans="27:27" x14ac:dyDescent="0.2">
      <c r="AA4499" s="4"/>
    </row>
    <row r="4500" spans="27:27" x14ac:dyDescent="0.2">
      <c r="AA4500" s="4"/>
    </row>
    <row r="4501" spans="27:27" x14ac:dyDescent="0.2">
      <c r="AA4501" s="4"/>
    </row>
    <row r="4502" spans="27:27" x14ac:dyDescent="0.2">
      <c r="AA4502" s="4"/>
    </row>
    <row r="4503" spans="27:27" x14ac:dyDescent="0.2">
      <c r="AA4503" s="4"/>
    </row>
    <row r="4504" spans="27:27" x14ac:dyDescent="0.2">
      <c r="AA4504" s="4"/>
    </row>
    <row r="4505" spans="27:27" x14ac:dyDescent="0.2">
      <c r="AA4505" s="4"/>
    </row>
    <row r="4506" spans="27:27" x14ac:dyDescent="0.2">
      <c r="AA4506" s="4"/>
    </row>
    <row r="4507" spans="27:27" x14ac:dyDescent="0.2">
      <c r="AA4507" s="4"/>
    </row>
    <row r="4508" spans="27:27" x14ac:dyDescent="0.2">
      <c r="AA4508" s="4"/>
    </row>
    <row r="4509" spans="27:27" x14ac:dyDescent="0.2">
      <c r="AA4509" s="4"/>
    </row>
    <row r="4510" spans="27:27" x14ac:dyDescent="0.2">
      <c r="AA4510" s="4"/>
    </row>
    <row r="4511" spans="27:27" x14ac:dyDescent="0.2">
      <c r="AA4511" s="4"/>
    </row>
    <row r="4512" spans="27:27" x14ac:dyDescent="0.2">
      <c r="AA4512" s="4"/>
    </row>
    <row r="4513" spans="27:27" x14ac:dyDescent="0.2">
      <c r="AA4513" s="4"/>
    </row>
    <row r="4514" spans="27:27" x14ac:dyDescent="0.2">
      <c r="AA4514" s="4"/>
    </row>
    <row r="4515" spans="27:27" x14ac:dyDescent="0.2">
      <c r="AA4515" s="4"/>
    </row>
    <row r="4516" spans="27:27" x14ac:dyDescent="0.2">
      <c r="AA4516" s="4"/>
    </row>
    <row r="4517" spans="27:27" x14ac:dyDescent="0.2">
      <c r="AA4517" s="4"/>
    </row>
    <row r="4518" spans="27:27" x14ac:dyDescent="0.2">
      <c r="AA4518" s="4"/>
    </row>
    <row r="4519" spans="27:27" x14ac:dyDescent="0.2">
      <c r="AA4519" s="4"/>
    </row>
    <row r="4520" spans="27:27" x14ac:dyDescent="0.2">
      <c r="AA4520" s="4"/>
    </row>
    <row r="4521" spans="27:27" x14ac:dyDescent="0.2">
      <c r="AA4521" s="4"/>
    </row>
    <row r="4522" spans="27:27" x14ac:dyDescent="0.2">
      <c r="AA4522" s="4"/>
    </row>
    <row r="4523" spans="27:27" x14ac:dyDescent="0.2">
      <c r="AA4523" s="4"/>
    </row>
    <row r="4524" spans="27:27" x14ac:dyDescent="0.2">
      <c r="AA4524" s="4"/>
    </row>
    <row r="4525" spans="27:27" x14ac:dyDescent="0.2">
      <c r="AA4525" s="4"/>
    </row>
    <row r="4526" spans="27:27" x14ac:dyDescent="0.2">
      <c r="AA4526" s="4"/>
    </row>
    <row r="4527" spans="27:27" x14ac:dyDescent="0.2">
      <c r="AA4527" s="4"/>
    </row>
    <row r="4528" spans="27:27" x14ac:dyDescent="0.2">
      <c r="AA4528" s="4"/>
    </row>
    <row r="4529" spans="27:27" x14ac:dyDescent="0.2">
      <c r="AA4529" s="4"/>
    </row>
    <row r="4530" spans="27:27" x14ac:dyDescent="0.2">
      <c r="AA4530" s="4"/>
    </row>
    <row r="4531" spans="27:27" x14ac:dyDescent="0.2">
      <c r="AA4531" s="4"/>
    </row>
    <row r="4532" spans="27:27" x14ac:dyDescent="0.2">
      <c r="AA4532" s="4"/>
    </row>
    <row r="4533" spans="27:27" x14ac:dyDescent="0.2">
      <c r="AA4533" s="4"/>
    </row>
    <row r="4534" spans="27:27" x14ac:dyDescent="0.2">
      <c r="AA4534" s="4"/>
    </row>
    <row r="4535" spans="27:27" x14ac:dyDescent="0.2">
      <c r="AA4535" s="4"/>
    </row>
    <row r="4536" spans="27:27" x14ac:dyDescent="0.2">
      <c r="AA4536" s="4"/>
    </row>
    <row r="4537" spans="27:27" x14ac:dyDescent="0.2">
      <c r="AA4537" s="4"/>
    </row>
    <row r="4538" spans="27:27" x14ac:dyDescent="0.2">
      <c r="AA4538" s="4"/>
    </row>
    <row r="4539" spans="27:27" x14ac:dyDescent="0.2">
      <c r="AA4539" s="4"/>
    </row>
    <row r="4540" spans="27:27" x14ac:dyDescent="0.2">
      <c r="AA4540" s="4"/>
    </row>
    <row r="4541" spans="27:27" x14ac:dyDescent="0.2">
      <c r="AA4541" s="4"/>
    </row>
    <row r="4542" spans="27:27" x14ac:dyDescent="0.2">
      <c r="AA4542" s="4"/>
    </row>
    <row r="4543" spans="27:27" x14ac:dyDescent="0.2">
      <c r="AA4543" s="4"/>
    </row>
    <row r="4544" spans="27:27" x14ac:dyDescent="0.2">
      <c r="AA4544" s="4"/>
    </row>
    <row r="4545" spans="27:27" x14ac:dyDescent="0.2">
      <c r="AA4545" s="4"/>
    </row>
    <row r="4546" spans="27:27" x14ac:dyDescent="0.2">
      <c r="AA4546" s="4"/>
    </row>
    <row r="4547" spans="27:27" x14ac:dyDescent="0.2">
      <c r="AA4547" s="4"/>
    </row>
    <row r="4548" spans="27:27" x14ac:dyDescent="0.2">
      <c r="AA4548" s="4"/>
    </row>
    <row r="4549" spans="27:27" x14ac:dyDescent="0.2">
      <c r="AA4549" s="4"/>
    </row>
    <row r="4550" spans="27:27" x14ac:dyDescent="0.2">
      <c r="AA4550" s="4"/>
    </row>
    <row r="4551" spans="27:27" x14ac:dyDescent="0.2">
      <c r="AA4551" s="4"/>
    </row>
    <row r="4552" spans="27:27" x14ac:dyDescent="0.2">
      <c r="AA4552" s="4"/>
    </row>
    <row r="4553" spans="27:27" x14ac:dyDescent="0.2">
      <c r="AA4553" s="4"/>
    </row>
    <row r="4554" spans="27:27" x14ac:dyDescent="0.2">
      <c r="AA4554" s="4"/>
    </row>
    <row r="4555" spans="27:27" x14ac:dyDescent="0.2">
      <c r="AA4555" s="4"/>
    </row>
    <row r="4556" spans="27:27" x14ac:dyDescent="0.2">
      <c r="AA4556" s="4"/>
    </row>
    <row r="4557" spans="27:27" x14ac:dyDescent="0.2">
      <c r="AA4557" s="4"/>
    </row>
    <row r="4558" spans="27:27" x14ac:dyDescent="0.2">
      <c r="AA4558" s="4"/>
    </row>
    <row r="4559" spans="27:27" x14ac:dyDescent="0.2">
      <c r="AA4559" s="4"/>
    </row>
    <row r="4560" spans="27:27" x14ac:dyDescent="0.2">
      <c r="AA4560" s="4"/>
    </row>
    <row r="4561" spans="27:27" x14ac:dyDescent="0.2">
      <c r="AA4561" s="4"/>
    </row>
    <row r="4562" spans="27:27" x14ac:dyDescent="0.2">
      <c r="AA4562" s="4"/>
    </row>
    <row r="4563" spans="27:27" x14ac:dyDescent="0.2">
      <c r="AA4563" s="4"/>
    </row>
    <row r="4564" spans="27:27" x14ac:dyDescent="0.2">
      <c r="AA4564" s="4"/>
    </row>
    <row r="4565" spans="27:27" x14ac:dyDescent="0.2">
      <c r="AA4565" s="4"/>
    </row>
    <row r="4566" spans="27:27" x14ac:dyDescent="0.2">
      <c r="AA4566" s="4"/>
    </row>
    <row r="4567" spans="27:27" x14ac:dyDescent="0.2">
      <c r="AA4567" s="4"/>
    </row>
    <row r="4568" spans="27:27" x14ac:dyDescent="0.2">
      <c r="AA4568" s="4"/>
    </row>
    <row r="4569" spans="27:27" x14ac:dyDescent="0.2">
      <c r="AA4569" s="4"/>
    </row>
    <row r="4570" spans="27:27" x14ac:dyDescent="0.2">
      <c r="AA4570" s="4"/>
    </row>
    <row r="4571" spans="27:27" x14ac:dyDescent="0.2">
      <c r="AA4571" s="4"/>
    </row>
    <row r="4572" spans="27:27" x14ac:dyDescent="0.2">
      <c r="AA4572" s="4"/>
    </row>
    <row r="4573" spans="27:27" x14ac:dyDescent="0.2">
      <c r="AA4573" s="4"/>
    </row>
    <row r="4574" spans="27:27" x14ac:dyDescent="0.2">
      <c r="AA4574" s="4"/>
    </row>
    <row r="4575" spans="27:27" x14ac:dyDescent="0.2">
      <c r="AA4575" s="4"/>
    </row>
    <row r="4576" spans="27:27" x14ac:dyDescent="0.2">
      <c r="AA4576" s="4"/>
    </row>
    <row r="4577" spans="27:27" x14ac:dyDescent="0.2">
      <c r="AA4577" s="4"/>
    </row>
    <row r="4578" spans="27:27" x14ac:dyDescent="0.2">
      <c r="AA4578" s="4"/>
    </row>
    <row r="4579" spans="27:27" x14ac:dyDescent="0.2">
      <c r="AA4579" s="4"/>
    </row>
    <row r="4580" spans="27:27" x14ac:dyDescent="0.2">
      <c r="AA4580" s="4"/>
    </row>
    <row r="4581" spans="27:27" x14ac:dyDescent="0.2">
      <c r="AA4581" s="4"/>
    </row>
    <row r="4582" spans="27:27" x14ac:dyDescent="0.2">
      <c r="AA4582" s="4"/>
    </row>
    <row r="4583" spans="27:27" x14ac:dyDescent="0.2">
      <c r="AA4583" s="4"/>
    </row>
    <row r="4584" spans="27:27" x14ac:dyDescent="0.2">
      <c r="AA4584" s="4"/>
    </row>
    <row r="4585" spans="27:27" x14ac:dyDescent="0.2">
      <c r="AA4585" s="4"/>
    </row>
    <row r="4586" spans="27:27" x14ac:dyDescent="0.2">
      <c r="AA4586" s="4"/>
    </row>
    <row r="4587" spans="27:27" x14ac:dyDescent="0.2">
      <c r="AA4587" s="4"/>
    </row>
    <row r="4588" spans="27:27" x14ac:dyDescent="0.2">
      <c r="AA4588" s="4"/>
    </row>
    <row r="4589" spans="27:27" x14ac:dyDescent="0.2">
      <c r="AA4589" s="4"/>
    </row>
    <row r="4590" spans="27:27" x14ac:dyDescent="0.2">
      <c r="AA4590" s="4"/>
    </row>
    <row r="4591" spans="27:27" x14ac:dyDescent="0.2">
      <c r="AA4591" s="4"/>
    </row>
    <row r="4592" spans="27:27" x14ac:dyDescent="0.2">
      <c r="AA4592" s="4"/>
    </row>
    <row r="4593" spans="27:27" x14ac:dyDescent="0.2">
      <c r="AA4593" s="4"/>
    </row>
    <row r="4594" spans="27:27" x14ac:dyDescent="0.2">
      <c r="AA4594" s="4"/>
    </row>
    <row r="4595" spans="27:27" x14ac:dyDescent="0.2">
      <c r="AA4595" s="4"/>
    </row>
    <row r="4596" spans="27:27" x14ac:dyDescent="0.2">
      <c r="AA4596" s="4"/>
    </row>
    <row r="4597" spans="27:27" x14ac:dyDescent="0.2">
      <c r="AA4597" s="4"/>
    </row>
    <row r="4598" spans="27:27" x14ac:dyDescent="0.2">
      <c r="AA4598" s="4"/>
    </row>
    <row r="4599" spans="27:27" x14ac:dyDescent="0.2">
      <c r="AA4599" s="4"/>
    </row>
    <row r="4600" spans="27:27" x14ac:dyDescent="0.2">
      <c r="AA4600" s="4"/>
    </row>
    <row r="4601" spans="27:27" x14ac:dyDescent="0.2">
      <c r="AA4601" s="4"/>
    </row>
    <row r="4602" spans="27:27" x14ac:dyDescent="0.2">
      <c r="AA4602" s="4"/>
    </row>
    <row r="4603" spans="27:27" x14ac:dyDescent="0.2">
      <c r="AA4603" s="4"/>
    </row>
    <row r="4604" spans="27:27" x14ac:dyDescent="0.2">
      <c r="AA4604" s="4"/>
    </row>
    <row r="4605" spans="27:27" x14ac:dyDescent="0.2">
      <c r="AA4605" s="4"/>
    </row>
    <row r="4606" spans="27:27" x14ac:dyDescent="0.2">
      <c r="AA4606" s="4"/>
    </row>
    <row r="4607" spans="27:27" x14ac:dyDescent="0.2">
      <c r="AA4607" s="4"/>
    </row>
    <row r="4608" spans="27:27" x14ac:dyDescent="0.2">
      <c r="AA4608" s="4"/>
    </row>
    <row r="4609" spans="27:27" x14ac:dyDescent="0.2">
      <c r="AA4609" s="4"/>
    </row>
    <row r="4610" spans="27:27" x14ac:dyDescent="0.2">
      <c r="AA4610" s="4"/>
    </row>
    <row r="4611" spans="27:27" x14ac:dyDescent="0.2">
      <c r="AA4611" s="4"/>
    </row>
    <row r="4612" spans="27:27" x14ac:dyDescent="0.2">
      <c r="AA4612" s="4"/>
    </row>
    <row r="4613" spans="27:27" x14ac:dyDescent="0.2">
      <c r="AA4613" s="4"/>
    </row>
    <row r="4614" spans="27:27" x14ac:dyDescent="0.2">
      <c r="AA4614" s="4"/>
    </row>
    <row r="4615" spans="27:27" x14ac:dyDescent="0.2">
      <c r="AA4615" s="4"/>
    </row>
    <row r="4616" spans="27:27" x14ac:dyDescent="0.2">
      <c r="AA4616" s="4"/>
    </row>
    <row r="4617" spans="27:27" x14ac:dyDescent="0.2">
      <c r="AA4617" s="4"/>
    </row>
    <row r="4618" spans="27:27" x14ac:dyDescent="0.2">
      <c r="AA4618" s="4"/>
    </row>
    <row r="4619" spans="27:27" x14ac:dyDescent="0.2">
      <c r="AA4619" s="4"/>
    </row>
    <row r="4620" spans="27:27" x14ac:dyDescent="0.2">
      <c r="AA4620" s="4"/>
    </row>
    <row r="4621" spans="27:27" x14ac:dyDescent="0.2">
      <c r="AA4621" s="4"/>
    </row>
    <row r="4622" spans="27:27" x14ac:dyDescent="0.2">
      <c r="AA4622" s="4"/>
    </row>
    <row r="4623" spans="27:27" x14ac:dyDescent="0.2">
      <c r="AA4623" s="4"/>
    </row>
    <row r="4624" spans="27:27" x14ac:dyDescent="0.2">
      <c r="AA4624" s="4"/>
    </row>
    <row r="4625" spans="27:27" x14ac:dyDescent="0.2">
      <c r="AA4625" s="4"/>
    </row>
    <row r="4626" spans="27:27" x14ac:dyDescent="0.2">
      <c r="AA4626" s="4"/>
    </row>
    <row r="4627" spans="27:27" x14ac:dyDescent="0.2">
      <c r="AA4627" s="4"/>
    </row>
    <row r="4628" spans="27:27" x14ac:dyDescent="0.2">
      <c r="AA4628" s="4"/>
    </row>
    <row r="4629" spans="27:27" x14ac:dyDescent="0.2">
      <c r="AA4629" s="4"/>
    </row>
    <row r="4630" spans="27:27" x14ac:dyDescent="0.2">
      <c r="AA4630" s="4"/>
    </row>
    <row r="4631" spans="27:27" x14ac:dyDescent="0.2">
      <c r="AA4631" s="4"/>
    </row>
    <row r="4632" spans="27:27" x14ac:dyDescent="0.2">
      <c r="AA4632" s="4"/>
    </row>
    <row r="4633" spans="27:27" x14ac:dyDescent="0.2">
      <c r="AA4633" s="4"/>
    </row>
    <row r="4634" spans="27:27" x14ac:dyDescent="0.2">
      <c r="AA4634" s="4"/>
    </row>
    <row r="4635" spans="27:27" x14ac:dyDescent="0.2">
      <c r="AA4635" s="4"/>
    </row>
    <row r="4636" spans="27:27" x14ac:dyDescent="0.2">
      <c r="AA4636" s="4"/>
    </row>
    <row r="4637" spans="27:27" x14ac:dyDescent="0.2">
      <c r="AA4637" s="4"/>
    </row>
    <row r="4638" spans="27:27" x14ac:dyDescent="0.2">
      <c r="AA4638" s="4"/>
    </row>
    <row r="4639" spans="27:27" x14ac:dyDescent="0.2">
      <c r="AA4639" s="4"/>
    </row>
    <row r="4640" spans="27:27" x14ac:dyDescent="0.2">
      <c r="AA4640" s="4"/>
    </row>
    <row r="4641" spans="27:27" x14ac:dyDescent="0.2">
      <c r="AA4641" s="4"/>
    </row>
    <row r="4642" spans="27:27" x14ac:dyDescent="0.2">
      <c r="AA4642" s="4"/>
    </row>
    <row r="4643" spans="27:27" x14ac:dyDescent="0.2">
      <c r="AA4643" s="4"/>
    </row>
    <row r="4644" spans="27:27" x14ac:dyDescent="0.2">
      <c r="AA4644" s="4"/>
    </row>
    <row r="4645" spans="27:27" x14ac:dyDescent="0.2">
      <c r="AA4645" s="4"/>
    </row>
    <row r="4646" spans="27:27" x14ac:dyDescent="0.2">
      <c r="AA4646" s="4"/>
    </row>
    <row r="4647" spans="27:27" x14ac:dyDescent="0.2">
      <c r="AA4647" s="4"/>
    </row>
    <row r="4648" spans="27:27" x14ac:dyDescent="0.2">
      <c r="AA4648" s="4"/>
    </row>
    <row r="4649" spans="27:27" x14ac:dyDescent="0.2">
      <c r="AA4649" s="4"/>
    </row>
    <row r="4650" spans="27:27" x14ac:dyDescent="0.2">
      <c r="AA4650" s="4"/>
    </row>
    <row r="4651" spans="27:27" x14ac:dyDescent="0.2">
      <c r="AA4651" s="4"/>
    </row>
    <row r="4652" spans="27:27" x14ac:dyDescent="0.2">
      <c r="AA4652" s="4"/>
    </row>
    <row r="4653" spans="27:27" x14ac:dyDescent="0.2">
      <c r="AA4653" s="4"/>
    </row>
    <row r="4654" spans="27:27" x14ac:dyDescent="0.2">
      <c r="AA4654" s="4"/>
    </row>
    <row r="4655" spans="27:27" x14ac:dyDescent="0.2">
      <c r="AA4655" s="4"/>
    </row>
    <row r="4656" spans="27:27" x14ac:dyDescent="0.2">
      <c r="AA4656" s="4"/>
    </row>
    <row r="4657" spans="27:27" x14ac:dyDescent="0.2">
      <c r="AA4657" s="4"/>
    </row>
    <row r="4658" spans="27:27" x14ac:dyDescent="0.2">
      <c r="AA4658" s="4"/>
    </row>
    <row r="4659" spans="27:27" x14ac:dyDescent="0.2">
      <c r="AA4659" s="4"/>
    </row>
    <row r="4660" spans="27:27" x14ac:dyDescent="0.2">
      <c r="AA4660" s="4"/>
    </row>
    <row r="4661" spans="27:27" x14ac:dyDescent="0.2">
      <c r="AA4661" s="4"/>
    </row>
    <row r="4662" spans="27:27" x14ac:dyDescent="0.2">
      <c r="AA4662" s="4"/>
    </row>
    <row r="4663" spans="27:27" x14ac:dyDescent="0.2">
      <c r="AA4663" s="4"/>
    </row>
    <row r="4664" spans="27:27" x14ac:dyDescent="0.2">
      <c r="AA4664" s="4"/>
    </row>
    <row r="4665" spans="27:27" x14ac:dyDescent="0.2">
      <c r="AA4665" s="4"/>
    </row>
    <row r="4666" spans="27:27" x14ac:dyDescent="0.2">
      <c r="AA4666" s="4"/>
    </row>
    <row r="4667" spans="27:27" x14ac:dyDescent="0.2">
      <c r="AA4667" s="4"/>
    </row>
    <row r="4668" spans="27:27" x14ac:dyDescent="0.2">
      <c r="AA4668" s="4"/>
    </row>
    <row r="4669" spans="27:27" x14ac:dyDescent="0.2">
      <c r="AA4669" s="4"/>
    </row>
    <row r="4670" spans="27:27" x14ac:dyDescent="0.2">
      <c r="AA4670" s="4"/>
    </row>
    <row r="4671" spans="27:27" x14ac:dyDescent="0.2">
      <c r="AA4671" s="4"/>
    </row>
    <row r="4672" spans="27:27" x14ac:dyDescent="0.2">
      <c r="AA4672" s="4"/>
    </row>
    <row r="4673" spans="27:27" x14ac:dyDescent="0.2">
      <c r="AA4673" s="4"/>
    </row>
    <row r="4674" spans="27:27" x14ac:dyDescent="0.2">
      <c r="AA4674" s="4"/>
    </row>
    <row r="4675" spans="27:27" x14ac:dyDescent="0.2">
      <c r="AA4675" s="4"/>
    </row>
    <row r="4676" spans="27:27" x14ac:dyDescent="0.2">
      <c r="AA4676" s="4"/>
    </row>
    <row r="4677" spans="27:27" x14ac:dyDescent="0.2">
      <c r="AA4677" s="4"/>
    </row>
    <row r="4678" spans="27:27" x14ac:dyDescent="0.2">
      <c r="AA4678" s="4"/>
    </row>
    <row r="4679" spans="27:27" x14ac:dyDescent="0.2">
      <c r="AA4679" s="4"/>
    </row>
    <row r="4680" spans="27:27" x14ac:dyDescent="0.2">
      <c r="AA4680" s="4"/>
    </row>
    <row r="4681" spans="27:27" x14ac:dyDescent="0.2">
      <c r="AA4681" s="4"/>
    </row>
    <row r="4682" spans="27:27" x14ac:dyDescent="0.2">
      <c r="AA4682" s="4"/>
    </row>
    <row r="4683" spans="27:27" x14ac:dyDescent="0.2">
      <c r="AA4683" s="4"/>
    </row>
    <row r="4684" spans="27:27" x14ac:dyDescent="0.2">
      <c r="AA4684" s="4"/>
    </row>
    <row r="4685" spans="27:27" x14ac:dyDescent="0.2">
      <c r="AA4685" s="4"/>
    </row>
    <row r="4686" spans="27:27" x14ac:dyDescent="0.2">
      <c r="AA4686" s="4"/>
    </row>
    <row r="4687" spans="27:27" x14ac:dyDescent="0.2">
      <c r="AA4687" s="4"/>
    </row>
    <row r="4688" spans="27:27" x14ac:dyDescent="0.2">
      <c r="AA4688" s="4"/>
    </row>
    <row r="4689" spans="27:27" x14ac:dyDescent="0.2">
      <c r="AA4689" s="4"/>
    </row>
    <row r="4690" spans="27:27" x14ac:dyDescent="0.2">
      <c r="AA4690" s="4"/>
    </row>
    <row r="4691" spans="27:27" x14ac:dyDescent="0.2">
      <c r="AA4691" s="4"/>
    </row>
    <row r="4692" spans="27:27" x14ac:dyDescent="0.2">
      <c r="AA4692" s="4"/>
    </row>
    <row r="4693" spans="27:27" x14ac:dyDescent="0.2">
      <c r="AA4693" s="4"/>
    </row>
    <row r="4694" spans="27:27" x14ac:dyDescent="0.2">
      <c r="AA4694" s="4"/>
    </row>
    <row r="4695" spans="27:27" x14ac:dyDescent="0.2">
      <c r="AA4695" s="4"/>
    </row>
    <row r="4696" spans="27:27" x14ac:dyDescent="0.2">
      <c r="AA4696" s="4"/>
    </row>
    <row r="4697" spans="27:27" x14ac:dyDescent="0.2">
      <c r="AA4697" s="4"/>
    </row>
    <row r="4698" spans="27:27" x14ac:dyDescent="0.2">
      <c r="AA4698" s="4"/>
    </row>
    <row r="4699" spans="27:27" x14ac:dyDescent="0.2">
      <c r="AA4699" s="4"/>
    </row>
    <row r="4700" spans="27:27" x14ac:dyDescent="0.2">
      <c r="AA4700" s="4"/>
    </row>
    <row r="4701" spans="27:27" x14ac:dyDescent="0.2">
      <c r="AA4701" s="4"/>
    </row>
    <row r="4702" spans="27:27" x14ac:dyDescent="0.2">
      <c r="AA4702" s="4"/>
    </row>
    <row r="4703" spans="27:27" x14ac:dyDescent="0.2">
      <c r="AA4703" s="4"/>
    </row>
    <row r="4704" spans="27:27" x14ac:dyDescent="0.2">
      <c r="AA4704" s="4"/>
    </row>
    <row r="4705" spans="27:27" x14ac:dyDescent="0.2">
      <c r="AA4705" s="4"/>
    </row>
    <row r="4706" spans="27:27" x14ac:dyDescent="0.2">
      <c r="AA4706" s="4"/>
    </row>
    <row r="4707" spans="27:27" x14ac:dyDescent="0.2">
      <c r="AA4707" s="4"/>
    </row>
    <row r="4708" spans="27:27" x14ac:dyDescent="0.2">
      <c r="AA4708" s="4"/>
    </row>
    <row r="4709" spans="27:27" x14ac:dyDescent="0.2">
      <c r="AA4709" s="4"/>
    </row>
    <row r="4710" spans="27:27" x14ac:dyDescent="0.2">
      <c r="AA4710" s="4"/>
    </row>
    <row r="4711" spans="27:27" x14ac:dyDescent="0.2">
      <c r="AA4711" s="4"/>
    </row>
    <row r="4712" spans="27:27" x14ac:dyDescent="0.2">
      <c r="AA4712" s="4"/>
    </row>
    <row r="4713" spans="27:27" x14ac:dyDescent="0.2">
      <c r="AA4713" s="4"/>
    </row>
    <row r="4714" spans="27:27" x14ac:dyDescent="0.2">
      <c r="AA4714" s="4"/>
    </row>
    <row r="4715" spans="27:27" x14ac:dyDescent="0.2">
      <c r="AA4715" s="4"/>
    </row>
    <row r="4716" spans="27:27" x14ac:dyDescent="0.2">
      <c r="AA4716" s="4"/>
    </row>
    <row r="4717" spans="27:27" x14ac:dyDescent="0.2">
      <c r="AA4717" s="4"/>
    </row>
    <row r="4718" spans="27:27" x14ac:dyDescent="0.2">
      <c r="AA4718" s="4"/>
    </row>
    <row r="4719" spans="27:27" x14ac:dyDescent="0.2">
      <c r="AA4719" s="4"/>
    </row>
    <row r="4720" spans="27:27" x14ac:dyDescent="0.2">
      <c r="AA4720" s="4"/>
    </row>
    <row r="4721" spans="27:27" x14ac:dyDescent="0.2">
      <c r="AA4721" s="4"/>
    </row>
    <row r="4722" spans="27:27" x14ac:dyDescent="0.2">
      <c r="AA4722" s="4"/>
    </row>
    <row r="4723" spans="27:27" x14ac:dyDescent="0.2">
      <c r="AA4723" s="4"/>
    </row>
    <row r="4724" spans="27:27" x14ac:dyDescent="0.2">
      <c r="AA4724" s="4"/>
    </row>
    <row r="4725" spans="27:27" x14ac:dyDescent="0.2">
      <c r="AA4725" s="4"/>
    </row>
    <row r="4726" spans="27:27" x14ac:dyDescent="0.2">
      <c r="AA4726" s="4"/>
    </row>
    <row r="4727" spans="27:27" x14ac:dyDescent="0.2">
      <c r="AA4727" s="4"/>
    </row>
    <row r="4728" spans="27:27" x14ac:dyDescent="0.2">
      <c r="AA4728" s="4"/>
    </row>
    <row r="4729" spans="27:27" x14ac:dyDescent="0.2">
      <c r="AA4729" s="4"/>
    </row>
    <row r="4730" spans="27:27" x14ac:dyDescent="0.2">
      <c r="AA4730" s="4"/>
    </row>
    <row r="4731" spans="27:27" x14ac:dyDescent="0.2">
      <c r="AA4731" s="4"/>
    </row>
    <row r="4732" spans="27:27" x14ac:dyDescent="0.2">
      <c r="AA4732" s="4"/>
    </row>
    <row r="4733" spans="27:27" x14ac:dyDescent="0.2">
      <c r="AA4733" s="4"/>
    </row>
    <row r="4734" spans="27:27" x14ac:dyDescent="0.2">
      <c r="AA4734" s="4"/>
    </row>
    <row r="4735" spans="27:27" x14ac:dyDescent="0.2">
      <c r="AA4735" s="4"/>
    </row>
    <row r="4736" spans="27:27" x14ac:dyDescent="0.2">
      <c r="AA4736" s="4"/>
    </row>
    <row r="4737" spans="27:27" x14ac:dyDescent="0.2">
      <c r="AA4737" s="4"/>
    </row>
    <row r="4738" spans="27:27" x14ac:dyDescent="0.2">
      <c r="AA4738" s="4"/>
    </row>
    <row r="4739" spans="27:27" x14ac:dyDescent="0.2">
      <c r="AA4739" s="4"/>
    </row>
    <row r="4740" spans="27:27" x14ac:dyDescent="0.2">
      <c r="AA4740" s="4"/>
    </row>
    <row r="4741" spans="27:27" x14ac:dyDescent="0.2">
      <c r="AA4741" s="4"/>
    </row>
    <row r="4742" spans="27:27" x14ac:dyDescent="0.2">
      <c r="AA4742" s="4"/>
    </row>
    <row r="4743" spans="27:27" x14ac:dyDescent="0.2">
      <c r="AA4743" s="4"/>
    </row>
    <row r="4744" spans="27:27" x14ac:dyDescent="0.2">
      <c r="AA4744" s="4"/>
    </row>
    <row r="4745" spans="27:27" x14ac:dyDescent="0.2">
      <c r="AA4745" s="4"/>
    </row>
    <row r="4746" spans="27:27" x14ac:dyDescent="0.2">
      <c r="AA4746" s="4"/>
    </row>
    <row r="4747" spans="27:27" x14ac:dyDescent="0.2">
      <c r="AA4747" s="4"/>
    </row>
    <row r="4748" spans="27:27" x14ac:dyDescent="0.2">
      <c r="AA4748" s="4"/>
    </row>
    <row r="4749" spans="27:27" x14ac:dyDescent="0.2">
      <c r="AA4749" s="4"/>
    </row>
    <row r="4750" spans="27:27" x14ac:dyDescent="0.2">
      <c r="AA4750" s="4"/>
    </row>
    <row r="4751" spans="27:27" x14ac:dyDescent="0.2">
      <c r="AA4751" s="4"/>
    </row>
    <row r="4752" spans="27:27" x14ac:dyDescent="0.2">
      <c r="AA4752" s="4"/>
    </row>
    <row r="4753" spans="27:27" x14ac:dyDescent="0.2">
      <c r="AA4753" s="4"/>
    </row>
    <row r="4754" spans="27:27" x14ac:dyDescent="0.2">
      <c r="AA4754" s="4"/>
    </row>
    <row r="4755" spans="27:27" x14ac:dyDescent="0.2">
      <c r="AA4755" s="4"/>
    </row>
    <row r="4756" spans="27:27" x14ac:dyDescent="0.2">
      <c r="AA4756" s="4"/>
    </row>
    <row r="4757" spans="27:27" x14ac:dyDescent="0.2">
      <c r="AA4757" s="4"/>
    </row>
    <row r="4758" spans="27:27" x14ac:dyDescent="0.2">
      <c r="AA4758" s="4"/>
    </row>
    <row r="4759" spans="27:27" x14ac:dyDescent="0.2">
      <c r="AA4759" s="4"/>
    </row>
    <row r="4760" spans="27:27" x14ac:dyDescent="0.2">
      <c r="AA4760" s="4"/>
    </row>
    <row r="4761" spans="27:27" x14ac:dyDescent="0.2">
      <c r="AA4761" s="4"/>
    </row>
    <row r="4762" spans="27:27" x14ac:dyDescent="0.2">
      <c r="AA4762" s="4"/>
    </row>
    <row r="4763" spans="27:27" x14ac:dyDescent="0.2">
      <c r="AA4763" s="4"/>
    </row>
    <row r="4764" spans="27:27" x14ac:dyDescent="0.2">
      <c r="AA4764" s="4"/>
    </row>
    <row r="4765" spans="27:27" x14ac:dyDescent="0.2">
      <c r="AA4765" s="4"/>
    </row>
    <row r="4766" spans="27:27" x14ac:dyDescent="0.2">
      <c r="AA4766" s="4"/>
    </row>
    <row r="4767" spans="27:27" x14ac:dyDescent="0.2">
      <c r="AA4767" s="4"/>
    </row>
    <row r="4768" spans="27:27" x14ac:dyDescent="0.2">
      <c r="AA4768" s="4"/>
    </row>
    <row r="4769" spans="27:27" x14ac:dyDescent="0.2">
      <c r="AA4769" s="4"/>
    </row>
    <row r="4770" spans="27:27" x14ac:dyDescent="0.2">
      <c r="AA4770" s="4"/>
    </row>
    <row r="4771" spans="27:27" x14ac:dyDescent="0.2">
      <c r="AA4771" s="4"/>
    </row>
    <row r="4772" spans="27:27" x14ac:dyDescent="0.2">
      <c r="AA4772" s="4"/>
    </row>
    <row r="4773" spans="27:27" x14ac:dyDescent="0.2">
      <c r="AA4773" s="4"/>
    </row>
    <row r="4774" spans="27:27" x14ac:dyDescent="0.2">
      <c r="AA4774" s="4"/>
    </row>
    <row r="4775" spans="27:27" x14ac:dyDescent="0.2">
      <c r="AA4775" s="4"/>
    </row>
    <row r="4776" spans="27:27" x14ac:dyDescent="0.2">
      <c r="AA4776" s="4"/>
    </row>
    <row r="4777" spans="27:27" x14ac:dyDescent="0.2">
      <c r="AA4777" s="4"/>
    </row>
    <row r="4778" spans="27:27" x14ac:dyDescent="0.2">
      <c r="AA4778" s="4"/>
    </row>
    <row r="4779" spans="27:27" x14ac:dyDescent="0.2">
      <c r="AA4779" s="4"/>
    </row>
    <row r="4780" spans="27:27" x14ac:dyDescent="0.2">
      <c r="AA4780" s="4"/>
    </row>
    <row r="4781" spans="27:27" x14ac:dyDescent="0.2">
      <c r="AA4781" s="4"/>
    </row>
    <row r="4782" spans="27:27" x14ac:dyDescent="0.2">
      <c r="AA4782" s="4"/>
    </row>
    <row r="4783" spans="27:27" x14ac:dyDescent="0.2">
      <c r="AA4783" s="4"/>
    </row>
    <row r="4784" spans="27:27" x14ac:dyDescent="0.2">
      <c r="AA4784" s="4"/>
    </row>
    <row r="4785" spans="27:27" x14ac:dyDescent="0.2">
      <c r="AA4785" s="4"/>
    </row>
    <row r="4786" spans="27:27" x14ac:dyDescent="0.2">
      <c r="AA4786" s="4"/>
    </row>
    <row r="4787" spans="27:27" x14ac:dyDescent="0.2">
      <c r="AA4787" s="4"/>
    </row>
    <row r="4788" spans="27:27" x14ac:dyDescent="0.2">
      <c r="AA4788" s="4"/>
    </row>
    <row r="4789" spans="27:27" x14ac:dyDescent="0.2">
      <c r="AA4789" s="4"/>
    </row>
    <row r="4790" spans="27:27" x14ac:dyDescent="0.2">
      <c r="AA4790" s="4"/>
    </row>
    <row r="4791" spans="27:27" x14ac:dyDescent="0.2">
      <c r="AA4791" s="4"/>
    </row>
    <row r="4792" spans="27:27" x14ac:dyDescent="0.2">
      <c r="AA4792" s="4"/>
    </row>
    <row r="4793" spans="27:27" x14ac:dyDescent="0.2">
      <c r="AA4793" s="4"/>
    </row>
    <row r="4794" spans="27:27" x14ac:dyDescent="0.2">
      <c r="AA4794" s="4"/>
    </row>
    <row r="4795" spans="27:27" x14ac:dyDescent="0.2">
      <c r="AA4795" s="4"/>
    </row>
    <row r="4796" spans="27:27" x14ac:dyDescent="0.2">
      <c r="AA4796" s="4"/>
    </row>
    <row r="4797" spans="27:27" x14ac:dyDescent="0.2">
      <c r="AA4797" s="4"/>
    </row>
    <row r="4798" spans="27:27" x14ac:dyDescent="0.2">
      <c r="AA4798" s="4"/>
    </row>
    <row r="4799" spans="27:27" x14ac:dyDescent="0.2">
      <c r="AA4799" s="4"/>
    </row>
    <row r="4800" spans="27:27" x14ac:dyDescent="0.2">
      <c r="AA4800" s="4"/>
    </row>
    <row r="4801" spans="27:27" x14ac:dyDescent="0.2">
      <c r="AA4801" s="4"/>
    </row>
    <row r="4802" spans="27:27" x14ac:dyDescent="0.2">
      <c r="AA4802" s="4"/>
    </row>
    <row r="4803" spans="27:27" x14ac:dyDescent="0.2">
      <c r="AA4803" s="4"/>
    </row>
    <row r="4804" spans="27:27" x14ac:dyDescent="0.2">
      <c r="AA4804" s="4"/>
    </row>
    <row r="4805" spans="27:27" x14ac:dyDescent="0.2">
      <c r="AA4805" s="4"/>
    </row>
    <row r="4806" spans="27:27" x14ac:dyDescent="0.2">
      <c r="AA4806" s="4"/>
    </row>
    <row r="4807" spans="27:27" x14ac:dyDescent="0.2">
      <c r="AA4807" s="4"/>
    </row>
    <row r="4808" spans="27:27" x14ac:dyDescent="0.2">
      <c r="AA4808" s="4"/>
    </row>
    <row r="4809" spans="27:27" x14ac:dyDescent="0.2">
      <c r="AA4809" s="4"/>
    </row>
    <row r="4810" spans="27:27" x14ac:dyDescent="0.2">
      <c r="AA4810" s="4"/>
    </row>
    <row r="4811" spans="27:27" x14ac:dyDescent="0.2">
      <c r="AA4811" s="4"/>
    </row>
    <row r="4812" spans="27:27" x14ac:dyDescent="0.2">
      <c r="AA4812" s="4"/>
    </row>
    <row r="4813" spans="27:27" x14ac:dyDescent="0.2">
      <c r="AA4813" s="4"/>
    </row>
    <row r="4814" spans="27:27" x14ac:dyDescent="0.2">
      <c r="AA4814" s="4"/>
    </row>
    <row r="4815" spans="27:27" x14ac:dyDescent="0.2">
      <c r="AA4815" s="4"/>
    </row>
    <row r="4816" spans="27:27" x14ac:dyDescent="0.2">
      <c r="AA4816" s="4"/>
    </row>
    <row r="4817" spans="27:27" x14ac:dyDescent="0.2">
      <c r="AA4817" s="4"/>
    </row>
    <row r="4818" spans="27:27" x14ac:dyDescent="0.2">
      <c r="AA4818" s="4"/>
    </row>
    <row r="4819" spans="27:27" x14ac:dyDescent="0.2">
      <c r="AA4819" s="4"/>
    </row>
    <row r="4820" spans="27:27" x14ac:dyDescent="0.2">
      <c r="AA4820" s="4"/>
    </row>
    <row r="4821" spans="27:27" x14ac:dyDescent="0.2">
      <c r="AA4821" s="4"/>
    </row>
    <row r="4822" spans="27:27" x14ac:dyDescent="0.2">
      <c r="AA4822" s="4"/>
    </row>
    <row r="4823" spans="27:27" x14ac:dyDescent="0.2">
      <c r="AA4823" s="4"/>
    </row>
    <row r="4824" spans="27:27" x14ac:dyDescent="0.2">
      <c r="AA4824" s="4"/>
    </row>
    <row r="4825" spans="27:27" x14ac:dyDescent="0.2">
      <c r="AA4825" s="4"/>
    </row>
    <row r="4826" spans="27:27" x14ac:dyDescent="0.2">
      <c r="AA4826" s="4"/>
    </row>
    <row r="4827" spans="27:27" x14ac:dyDescent="0.2">
      <c r="AA4827" s="4"/>
    </row>
    <row r="4828" spans="27:27" x14ac:dyDescent="0.2">
      <c r="AA4828" s="4"/>
    </row>
    <row r="4829" spans="27:27" x14ac:dyDescent="0.2">
      <c r="AA4829" s="4"/>
    </row>
    <row r="4830" spans="27:27" x14ac:dyDescent="0.2">
      <c r="AA4830" s="4"/>
    </row>
    <row r="4831" spans="27:27" x14ac:dyDescent="0.2">
      <c r="AA4831" s="4"/>
    </row>
    <row r="4832" spans="27:27" x14ac:dyDescent="0.2">
      <c r="AA4832" s="4"/>
    </row>
    <row r="4833" spans="27:27" x14ac:dyDescent="0.2">
      <c r="AA4833" s="4"/>
    </row>
    <row r="4834" spans="27:27" x14ac:dyDescent="0.2">
      <c r="AA4834" s="4"/>
    </row>
    <row r="4835" spans="27:27" x14ac:dyDescent="0.2">
      <c r="AA4835" s="4"/>
    </row>
    <row r="4836" spans="27:27" x14ac:dyDescent="0.2">
      <c r="AA4836" s="4"/>
    </row>
    <row r="4837" spans="27:27" x14ac:dyDescent="0.2">
      <c r="AA4837" s="4"/>
    </row>
    <row r="4838" spans="27:27" x14ac:dyDescent="0.2">
      <c r="AA4838" s="4"/>
    </row>
    <row r="4839" spans="27:27" x14ac:dyDescent="0.2">
      <c r="AA4839" s="4"/>
    </row>
    <row r="4840" spans="27:27" x14ac:dyDescent="0.2">
      <c r="AA4840" s="4"/>
    </row>
    <row r="4841" spans="27:27" x14ac:dyDescent="0.2">
      <c r="AA4841" s="4"/>
    </row>
    <row r="4842" spans="27:27" x14ac:dyDescent="0.2">
      <c r="AA4842" s="4"/>
    </row>
    <row r="4843" spans="27:27" x14ac:dyDescent="0.2">
      <c r="AA4843" s="4"/>
    </row>
    <row r="4844" spans="27:27" x14ac:dyDescent="0.2">
      <c r="AA4844" s="4"/>
    </row>
    <row r="4845" spans="27:27" x14ac:dyDescent="0.2">
      <c r="AA4845" s="4"/>
    </row>
    <row r="4846" spans="27:27" x14ac:dyDescent="0.2">
      <c r="AA4846" s="4"/>
    </row>
    <row r="4847" spans="27:27" x14ac:dyDescent="0.2">
      <c r="AA4847" s="4"/>
    </row>
    <row r="4848" spans="27:27" x14ac:dyDescent="0.2">
      <c r="AA4848" s="4"/>
    </row>
    <row r="4849" spans="27:27" x14ac:dyDescent="0.2">
      <c r="AA4849" s="4"/>
    </row>
    <row r="4850" spans="27:27" x14ac:dyDescent="0.2">
      <c r="AA4850" s="4"/>
    </row>
    <row r="4851" spans="27:27" x14ac:dyDescent="0.2">
      <c r="AA4851" s="4"/>
    </row>
    <row r="4852" spans="27:27" x14ac:dyDescent="0.2">
      <c r="AA4852" s="4"/>
    </row>
    <row r="4853" spans="27:27" x14ac:dyDescent="0.2">
      <c r="AA4853" s="4"/>
    </row>
    <row r="4854" spans="27:27" x14ac:dyDescent="0.2">
      <c r="AA4854" s="4"/>
    </row>
    <row r="4855" spans="27:27" x14ac:dyDescent="0.2">
      <c r="AA4855" s="4"/>
    </row>
    <row r="4856" spans="27:27" x14ac:dyDescent="0.2">
      <c r="AA4856" s="4"/>
    </row>
    <row r="4857" spans="27:27" x14ac:dyDescent="0.2">
      <c r="AA4857" s="4"/>
    </row>
    <row r="4858" spans="27:27" x14ac:dyDescent="0.2">
      <c r="AA4858" s="4"/>
    </row>
    <row r="4859" spans="27:27" x14ac:dyDescent="0.2">
      <c r="AA4859" s="4"/>
    </row>
    <row r="4860" spans="27:27" x14ac:dyDescent="0.2">
      <c r="AA4860" s="4"/>
    </row>
    <row r="4861" spans="27:27" x14ac:dyDescent="0.2">
      <c r="AA4861" s="4"/>
    </row>
    <row r="4862" spans="27:27" x14ac:dyDescent="0.2">
      <c r="AA4862" s="4"/>
    </row>
    <row r="4863" spans="27:27" x14ac:dyDescent="0.2">
      <c r="AA4863" s="4"/>
    </row>
    <row r="4864" spans="27:27" x14ac:dyDescent="0.2">
      <c r="AA4864" s="4"/>
    </row>
    <row r="4865" spans="27:27" x14ac:dyDescent="0.2">
      <c r="AA4865" s="4"/>
    </row>
    <row r="4866" spans="27:27" x14ac:dyDescent="0.2">
      <c r="AA4866" s="4"/>
    </row>
    <row r="4867" spans="27:27" x14ac:dyDescent="0.2">
      <c r="AA4867" s="4"/>
    </row>
    <row r="4868" spans="27:27" x14ac:dyDescent="0.2">
      <c r="AA4868" s="4"/>
    </row>
    <row r="4869" spans="27:27" x14ac:dyDescent="0.2">
      <c r="AA4869" s="4"/>
    </row>
    <row r="4870" spans="27:27" x14ac:dyDescent="0.2">
      <c r="AA4870" s="4"/>
    </row>
    <row r="4871" spans="27:27" x14ac:dyDescent="0.2">
      <c r="AA4871" s="4"/>
    </row>
    <row r="4872" spans="27:27" x14ac:dyDescent="0.2">
      <c r="AA4872" s="4"/>
    </row>
    <row r="4873" spans="27:27" x14ac:dyDescent="0.2">
      <c r="AA4873" s="4"/>
    </row>
    <row r="4874" spans="27:27" x14ac:dyDescent="0.2">
      <c r="AA4874" s="4"/>
    </row>
    <row r="4875" spans="27:27" x14ac:dyDescent="0.2">
      <c r="AA4875" s="4"/>
    </row>
    <row r="4876" spans="27:27" x14ac:dyDescent="0.2">
      <c r="AA4876" s="4"/>
    </row>
    <row r="4877" spans="27:27" x14ac:dyDescent="0.2">
      <c r="AA4877" s="4"/>
    </row>
    <row r="4878" spans="27:27" x14ac:dyDescent="0.2">
      <c r="AA4878" s="4"/>
    </row>
    <row r="4879" spans="27:27" x14ac:dyDescent="0.2">
      <c r="AA4879" s="4"/>
    </row>
    <row r="4880" spans="27:27" x14ac:dyDescent="0.2">
      <c r="AA4880" s="4"/>
    </row>
    <row r="4881" spans="27:27" x14ac:dyDescent="0.2">
      <c r="AA4881" s="4"/>
    </row>
    <row r="4882" spans="27:27" x14ac:dyDescent="0.2">
      <c r="AA4882" s="4"/>
    </row>
    <row r="4883" spans="27:27" x14ac:dyDescent="0.2">
      <c r="AA4883" s="4"/>
    </row>
    <row r="4884" spans="27:27" x14ac:dyDescent="0.2">
      <c r="AA4884" s="4"/>
    </row>
    <row r="4885" spans="27:27" x14ac:dyDescent="0.2">
      <c r="AA4885" s="4"/>
    </row>
    <row r="4886" spans="27:27" x14ac:dyDescent="0.2">
      <c r="AA4886" s="4"/>
    </row>
    <row r="4887" spans="27:27" x14ac:dyDescent="0.2">
      <c r="AA4887" s="4"/>
    </row>
    <row r="4888" spans="27:27" x14ac:dyDescent="0.2">
      <c r="AA4888" s="4"/>
    </row>
    <row r="4889" spans="27:27" x14ac:dyDescent="0.2">
      <c r="AA4889" s="4"/>
    </row>
    <row r="4890" spans="27:27" x14ac:dyDescent="0.2">
      <c r="AA4890" s="4"/>
    </row>
    <row r="4891" spans="27:27" x14ac:dyDescent="0.2">
      <c r="AA4891" s="4"/>
    </row>
    <row r="4892" spans="27:27" x14ac:dyDescent="0.2">
      <c r="AA4892" s="4"/>
    </row>
    <row r="4893" spans="27:27" x14ac:dyDescent="0.2">
      <c r="AA4893" s="4"/>
    </row>
    <row r="4894" spans="27:27" x14ac:dyDescent="0.2">
      <c r="AA4894" s="4"/>
    </row>
    <row r="4895" spans="27:27" x14ac:dyDescent="0.2">
      <c r="AA4895" s="4"/>
    </row>
    <row r="4896" spans="27:27" x14ac:dyDescent="0.2">
      <c r="AA4896" s="4"/>
    </row>
    <row r="4897" spans="27:27" x14ac:dyDescent="0.2">
      <c r="AA4897" s="4"/>
    </row>
    <row r="4898" spans="27:27" x14ac:dyDescent="0.2">
      <c r="AA4898" s="4"/>
    </row>
    <row r="4899" spans="27:27" x14ac:dyDescent="0.2">
      <c r="AA4899" s="4"/>
    </row>
    <row r="4900" spans="27:27" x14ac:dyDescent="0.2">
      <c r="AA4900" s="4"/>
    </row>
    <row r="4901" spans="27:27" x14ac:dyDescent="0.2">
      <c r="AA4901" s="4"/>
    </row>
    <row r="4902" spans="27:27" x14ac:dyDescent="0.2">
      <c r="AA4902" s="4"/>
    </row>
    <row r="4903" spans="27:27" x14ac:dyDescent="0.2">
      <c r="AA4903" s="4"/>
    </row>
    <row r="4904" spans="27:27" x14ac:dyDescent="0.2">
      <c r="AA4904" s="4"/>
    </row>
    <row r="4905" spans="27:27" x14ac:dyDescent="0.2">
      <c r="AA4905" s="4"/>
    </row>
    <row r="4906" spans="27:27" x14ac:dyDescent="0.2">
      <c r="AA4906" s="4"/>
    </row>
    <row r="4907" spans="27:27" x14ac:dyDescent="0.2">
      <c r="AA4907" s="4"/>
    </row>
    <row r="4908" spans="27:27" x14ac:dyDescent="0.2">
      <c r="AA4908" s="4"/>
    </row>
    <row r="4909" spans="27:27" x14ac:dyDescent="0.2">
      <c r="AA4909" s="4"/>
    </row>
    <row r="4910" spans="27:27" x14ac:dyDescent="0.2">
      <c r="AA4910" s="4"/>
    </row>
    <row r="4911" spans="27:27" x14ac:dyDescent="0.2">
      <c r="AA4911" s="4"/>
    </row>
    <row r="4912" spans="27:27" x14ac:dyDescent="0.2">
      <c r="AA4912" s="4"/>
    </row>
    <row r="4913" spans="27:27" x14ac:dyDescent="0.2">
      <c r="AA4913" s="4"/>
    </row>
    <row r="4914" spans="27:27" x14ac:dyDescent="0.2">
      <c r="AA4914" s="4"/>
    </row>
    <row r="4915" spans="27:27" x14ac:dyDescent="0.2">
      <c r="AA4915" s="4"/>
    </row>
    <row r="4916" spans="27:27" x14ac:dyDescent="0.2">
      <c r="AA4916" s="4"/>
    </row>
    <row r="4917" spans="27:27" x14ac:dyDescent="0.2">
      <c r="AA4917" s="4"/>
    </row>
    <row r="4918" spans="27:27" x14ac:dyDescent="0.2">
      <c r="AA4918" s="4"/>
    </row>
    <row r="4919" spans="27:27" x14ac:dyDescent="0.2">
      <c r="AA4919" s="4"/>
    </row>
    <row r="4920" spans="27:27" x14ac:dyDescent="0.2">
      <c r="AA4920" s="4"/>
    </row>
    <row r="4921" spans="27:27" x14ac:dyDescent="0.2">
      <c r="AA4921" s="4"/>
    </row>
    <row r="4922" spans="27:27" x14ac:dyDescent="0.2">
      <c r="AA4922" s="4"/>
    </row>
    <row r="4923" spans="27:27" x14ac:dyDescent="0.2">
      <c r="AA4923" s="4"/>
    </row>
    <row r="4924" spans="27:27" x14ac:dyDescent="0.2">
      <c r="AA4924" s="4"/>
    </row>
    <row r="4925" spans="27:27" x14ac:dyDescent="0.2">
      <c r="AA4925" s="4"/>
    </row>
    <row r="4926" spans="27:27" x14ac:dyDescent="0.2">
      <c r="AA4926" s="4"/>
    </row>
    <row r="4927" spans="27:27" x14ac:dyDescent="0.2">
      <c r="AA4927" s="4"/>
    </row>
    <row r="4928" spans="27:27" x14ac:dyDescent="0.2">
      <c r="AA4928" s="4"/>
    </row>
    <row r="4929" spans="27:27" x14ac:dyDescent="0.2">
      <c r="AA4929" s="4"/>
    </row>
    <row r="4930" spans="27:27" x14ac:dyDescent="0.2">
      <c r="AA4930" s="4"/>
    </row>
    <row r="4931" spans="27:27" x14ac:dyDescent="0.2">
      <c r="AA4931" s="4"/>
    </row>
    <row r="4932" spans="27:27" x14ac:dyDescent="0.2">
      <c r="AA4932" s="4"/>
    </row>
    <row r="4933" spans="27:27" x14ac:dyDescent="0.2">
      <c r="AA4933" s="4"/>
    </row>
    <row r="4934" spans="27:27" x14ac:dyDescent="0.2">
      <c r="AA4934" s="4"/>
    </row>
    <row r="4935" spans="27:27" x14ac:dyDescent="0.2">
      <c r="AA4935" s="4"/>
    </row>
    <row r="4936" spans="27:27" x14ac:dyDescent="0.2">
      <c r="AA4936" s="4"/>
    </row>
    <row r="4937" spans="27:27" x14ac:dyDescent="0.2">
      <c r="AA4937" s="4"/>
    </row>
    <row r="4938" spans="27:27" x14ac:dyDescent="0.2">
      <c r="AA4938" s="4"/>
    </row>
    <row r="4939" spans="27:27" x14ac:dyDescent="0.2">
      <c r="AA4939" s="4"/>
    </row>
    <row r="4940" spans="27:27" x14ac:dyDescent="0.2">
      <c r="AA4940" s="4"/>
    </row>
    <row r="4941" spans="27:27" x14ac:dyDescent="0.2">
      <c r="AA4941" s="4"/>
    </row>
    <row r="4942" spans="27:27" x14ac:dyDescent="0.2">
      <c r="AA4942" s="4"/>
    </row>
    <row r="4943" spans="27:27" x14ac:dyDescent="0.2">
      <c r="AA4943" s="4"/>
    </row>
    <row r="4944" spans="27:27" x14ac:dyDescent="0.2">
      <c r="AA4944" s="4"/>
    </row>
    <row r="4945" spans="27:27" x14ac:dyDescent="0.2">
      <c r="AA4945" s="4"/>
    </row>
    <row r="4946" spans="27:27" x14ac:dyDescent="0.2">
      <c r="AA4946" s="4"/>
    </row>
    <row r="4947" spans="27:27" x14ac:dyDescent="0.2">
      <c r="AA4947" s="4"/>
    </row>
    <row r="4948" spans="27:27" x14ac:dyDescent="0.2">
      <c r="AA4948" s="4"/>
    </row>
    <row r="4949" spans="27:27" x14ac:dyDescent="0.2">
      <c r="AA4949" s="4"/>
    </row>
    <row r="4950" spans="27:27" x14ac:dyDescent="0.2">
      <c r="AA4950" s="4"/>
    </row>
    <row r="4951" spans="27:27" x14ac:dyDescent="0.2">
      <c r="AA4951" s="4"/>
    </row>
    <row r="4952" spans="27:27" x14ac:dyDescent="0.2">
      <c r="AA4952" s="4"/>
    </row>
    <row r="4953" spans="27:27" x14ac:dyDescent="0.2">
      <c r="AA4953" s="4"/>
    </row>
    <row r="4954" spans="27:27" x14ac:dyDescent="0.2">
      <c r="AA4954" s="4"/>
    </row>
    <row r="4955" spans="27:27" x14ac:dyDescent="0.2">
      <c r="AA4955" s="4"/>
    </row>
    <row r="4956" spans="27:27" x14ac:dyDescent="0.2">
      <c r="AA4956" s="4"/>
    </row>
    <row r="4957" spans="27:27" x14ac:dyDescent="0.2">
      <c r="AA4957" s="4"/>
    </row>
    <row r="4958" spans="27:27" x14ac:dyDescent="0.2">
      <c r="AA4958" s="4"/>
    </row>
    <row r="4959" spans="27:27" x14ac:dyDescent="0.2">
      <c r="AA4959" s="4"/>
    </row>
    <row r="4960" spans="27:27" x14ac:dyDescent="0.2">
      <c r="AA4960" s="4"/>
    </row>
    <row r="4961" spans="27:27" x14ac:dyDescent="0.2">
      <c r="AA4961" s="4"/>
    </row>
    <row r="4962" spans="27:27" x14ac:dyDescent="0.2">
      <c r="AA4962" s="4"/>
    </row>
    <row r="4963" spans="27:27" x14ac:dyDescent="0.2">
      <c r="AA4963" s="4"/>
    </row>
    <row r="4964" spans="27:27" x14ac:dyDescent="0.2">
      <c r="AA4964" s="4"/>
    </row>
    <row r="4965" spans="27:27" x14ac:dyDescent="0.2">
      <c r="AA4965" s="4"/>
    </row>
    <row r="4966" spans="27:27" x14ac:dyDescent="0.2">
      <c r="AA4966" s="4"/>
    </row>
    <row r="4967" spans="27:27" x14ac:dyDescent="0.2">
      <c r="AA4967" s="4"/>
    </row>
    <row r="4968" spans="27:27" x14ac:dyDescent="0.2">
      <c r="AA4968" s="4"/>
    </row>
    <row r="4969" spans="27:27" x14ac:dyDescent="0.2">
      <c r="AA4969" s="4"/>
    </row>
    <row r="4970" spans="27:27" x14ac:dyDescent="0.2">
      <c r="AA4970" s="4"/>
    </row>
    <row r="4971" spans="27:27" x14ac:dyDescent="0.2">
      <c r="AA4971" s="4"/>
    </row>
    <row r="4972" spans="27:27" x14ac:dyDescent="0.2">
      <c r="AA4972" s="4"/>
    </row>
    <row r="4973" spans="27:27" x14ac:dyDescent="0.2">
      <c r="AA4973" s="4"/>
    </row>
    <row r="4974" spans="27:27" x14ac:dyDescent="0.2">
      <c r="AA4974" s="4"/>
    </row>
    <row r="4975" spans="27:27" x14ac:dyDescent="0.2">
      <c r="AA4975" s="4"/>
    </row>
    <row r="4976" spans="27:27" x14ac:dyDescent="0.2">
      <c r="AA4976" s="4"/>
    </row>
    <row r="4977" spans="27:27" x14ac:dyDescent="0.2">
      <c r="AA4977" s="4"/>
    </row>
    <row r="4978" spans="27:27" x14ac:dyDescent="0.2">
      <c r="AA4978" s="4"/>
    </row>
    <row r="4979" spans="27:27" x14ac:dyDescent="0.2">
      <c r="AA4979" s="4"/>
    </row>
    <row r="4980" spans="27:27" x14ac:dyDescent="0.2">
      <c r="AA4980" s="4"/>
    </row>
    <row r="4981" spans="27:27" x14ac:dyDescent="0.2">
      <c r="AA4981" s="4"/>
    </row>
    <row r="4982" spans="27:27" x14ac:dyDescent="0.2">
      <c r="AA4982" s="4"/>
    </row>
    <row r="4983" spans="27:27" x14ac:dyDescent="0.2">
      <c r="AA4983" s="4"/>
    </row>
    <row r="4984" spans="27:27" x14ac:dyDescent="0.2">
      <c r="AA4984" s="4"/>
    </row>
    <row r="4985" spans="27:27" x14ac:dyDescent="0.2">
      <c r="AA4985" s="4"/>
    </row>
    <row r="4986" spans="27:27" x14ac:dyDescent="0.2">
      <c r="AA4986" s="4"/>
    </row>
    <row r="4987" spans="27:27" x14ac:dyDescent="0.2">
      <c r="AA4987" s="4"/>
    </row>
    <row r="4988" spans="27:27" x14ac:dyDescent="0.2">
      <c r="AA4988" s="4"/>
    </row>
    <row r="4989" spans="27:27" x14ac:dyDescent="0.2">
      <c r="AA4989" s="4"/>
    </row>
    <row r="4990" spans="27:27" x14ac:dyDescent="0.2">
      <c r="AA4990" s="4"/>
    </row>
    <row r="4991" spans="27:27" x14ac:dyDescent="0.2">
      <c r="AA4991" s="4"/>
    </row>
    <row r="4992" spans="27:27" x14ac:dyDescent="0.2">
      <c r="AA4992" s="4"/>
    </row>
    <row r="4993" spans="27:27" x14ac:dyDescent="0.2">
      <c r="AA4993" s="4"/>
    </row>
    <row r="4994" spans="27:27" x14ac:dyDescent="0.2">
      <c r="AA4994" s="4"/>
    </row>
    <row r="4995" spans="27:27" x14ac:dyDescent="0.2">
      <c r="AA4995" s="4"/>
    </row>
    <row r="4996" spans="27:27" x14ac:dyDescent="0.2">
      <c r="AA4996" s="4"/>
    </row>
    <row r="4997" spans="27:27" x14ac:dyDescent="0.2">
      <c r="AA4997" s="4"/>
    </row>
    <row r="4998" spans="27:27" x14ac:dyDescent="0.2">
      <c r="AA4998" s="4"/>
    </row>
    <row r="4999" spans="27:27" x14ac:dyDescent="0.2">
      <c r="AA4999" s="4"/>
    </row>
    <row r="5000" spans="27:27" x14ac:dyDescent="0.2">
      <c r="AA5000" s="4"/>
    </row>
    <row r="5001" spans="27:27" x14ac:dyDescent="0.2">
      <c r="AA5001" s="4"/>
    </row>
    <row r="5002" spans="27:27" x14ac:dyDescent="0.2">
      <c r="AA5002" s="4"/>
    </row>
    <row r="5003" spans="27:27" x14ac:dyDescent="0.2">
      <c r="AA5003" s="4"/>
    </row>
    <row r="5004" spans="27:27" x14ac:dyDescent="0.2">
      <c r="AA5004" s="4"/>
    </row>
    <row r="5005" spans="27:27" x14ac:dyDescent="0.2">
      <c r="AA5005" s="4"/>
    </row>
    <row r="5006" spans="27:27" x14ac:dyDescent="0.2">
      <c r="AA5006" s="4"/>
    </row>
    <row r="5007" spans="27:27" x14ac:dyDescent="0.2">
      <c r="AA5007" s="4"/>
    </row>
    <row r="5008" spans="27:27" x14ac:dyDescent="0.2">
      <c r="AA5008" s="4"/>
    </row>
    <row r="5009" spans="27:27" x14ac:dyDescent="0.2">
      <c r="AA5009" s="4"/>
    </row>
    <row r="5010" spans="27:27" x14ac:dyDescent="0.2">
      <c r="AA5010" s="4"/>
    </row>
    <row r="5011" spans="27:27" x14ac:dyDescent="0.2">
      <c r="AA5011" s="4"/>
    </row>
    <row r="5012" spans="27:27" x14ac:dyDescent="0.2">
      <c r="AA5012" s="4"/>
    </row>
    <row r="5013" spans="27:27" x14ac:dyDescent="0.2">
      <c r="AA5013" s="4"/>
    </row>
    <row r="5014" spans="27:27" x14ac:dyDescent="0.2">
      <c r="AA5014" s="4"/>
    </row>
    <row r="5015" spans="27:27" x14ac:dyDescent="0.2">
      <c r="AA5015" s="4"/>
    </row>
    <row r="5016" spans="27:27" x14ac:dyDescent="0.2">
      <c r="AA5016" s="4"/>
    </row>
    <row r="5017" spans="27:27" x14ac:dyDescent="0.2">
      <c r="AA5017" s="4"/>
    </row>
    <row r="5018" spans="27:27" x14ac:dyDescent="0.2">
      <c r="AA5018" s="4"/>
    </row>
    <row r="5019" spans="27:27" x14ac:dyDescent="0.2">
      <c r="AA5019" s="4"/>
    </row>
  </sheetData>
  <mergeCells count="1">
    <mergeCell ref="H19:I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C603-A4C3-6A44-80A3-B4BE389B16EB}">
  <dimension ref="B11:X1020"/>
  <sheetViews>
    <sheetView topLeftCell="K1" zoomScale="109" workbookViewId="0">
      <selection activeCell="Q12" sqref="Q12"/>
    </sheetView>
  </sheetViews>
  <sheetFormatPr baseColWidth="10" defaultRowHeight="16" x14ac:dyDescent="0.2"/>
  <cols>
    <col min="3" max="3" width="18.33203125" bestFit="1" customWidth="1"/>
    <col min="5" max="5" width="22.33203125" bestFit="1" customWidth="1"/>
    <col min="6" max="6" width="20.1640625" bestFit="1" customWidth="1"/>
    <col min="7" max="7" width="14" bestFit="1" customWidth="1"/>
    <col min="8" max="8" width="25.5" bestFit="1" customWidth="1"/>
    <col min="10" max="10" width="16.83203125" bestFit="1" customWidth="1"/>
    <col min="11" max="11" width="20.1640625" bestFit="1" customWidth="1"/>
    <col min="12" max="12" width="18.5" bestFit="1" customWidth="1"/>
    <col min="14" max="14" width="11.83203125" bestFit="1" customWidth="1"/>
    <col min="15" max="15" width="11" bestFit="1" customWidth="1"/>
    <col min="23" max="23" width="16.83203125" bestFit="1" customWidth="1"/>
    <col min="24" max="24" width="19.6640625" bestFit="1" customWidth="1"/>
  </cols>
  <sheetData>
    <row r="11" spans="2:17" ht="17" thickBot="1" x14ac:dyDescent="0.25"/>
    <row r="12" spans="2:17" ht="17" thickBot="1" x14ac:dyDescent="0.25">
      <c r="Q12" s="84" t="s">
        <v>137</v>
      </c>
    </row>
    <row r="14" spans="2:17" x14ac:dyDescent="0.2">
      <c r="C14" s="47" t="s">
        <v>66</v>
      </c>
      <c r="E14" s="47" t="s">
        <v>75</v>
      </c>
      <c r="F14" s="35">
        <v>0.06</v>
      </c>
    </row>
    <row r="15" spans="2:17" x14ac:dyDescent="0.2">
      <c r="B15">
        <v>1</v>
      </c>
      <c r="C15" s="4">
        <f ca="1">'Varity C - Syrah'!AU10</f>
        <v>209184368.22279817</v>
      </c>
    </row>
    <row r="16" spans="2:17" x14ac:dyDescent="0.2">
      <c r="B16">
        <v>2</v>
      </c>
      <c r="C16" s="4">
        <f ca="1">'Varity C - Syrah'!AU11</f>
        <v>388935872.55145568</v>
      </c>
    </row>
    <row r="17" spans="2:24" x14ac:dyDescent="0.2">
      <c r="B17">
        <v>3</v>
      </c>
      <c r="C17" s="4">
        <f ca="1">'Varity C - Syrah'!AU12</f>
        <v>146763577.01820379</v>
      </c>
      <c r="E17" s="47" t="s">
        <v>76</v>
      </c>
      <c r="F17" s="4">
        <f ca="1">NPV(F14,C15:C34)</f>
        <v>2860337028.8390946</v>
      </c>
    </row>
    <row r="18" spans="2:24" x14ac:dyDescent="0.2">
      <c r="B18">
        <v>4</v>
      </c>
      <c r="C18" s="4">
        <f ca="1">'Varity C - Syrah'!AU13</f>
        <v>262904225.21342003</v>
      </c>
    </row>
    <row r="19" spans="2:24" ht="17" thickBot="1" x14ac:dyDescent="0.25">
      <c r="B19">
        <v>5</v>
      </c>
      <c r="C19" s="4">
        <f ca="1">'Varity C - Syrah'!AU14</f>
        <v>488000229.85759228</v>
      </c>
      <c r="E19" s="47" t="s">
        <v>91</v>
      </c>
    </row>
    <row r="20" spans="2:24" x14ac:dyDescent="0.2">
      <c r="B20">
        <v>6</v>
      </c>
      <c r="C20" s="4">
        <f ca="1">'Varity C - Syrah'!AU15</f>
        <v>306242381.82856083</v>
      </c>
      <c r="E20" s="57" t="s">
        <v>78</v>
      </c>
      <c r="F20" s="57" t="s">
        <v>74</v>
      </c>
      <c r="G20" s="57" t="s">
        <v>112</v>
      </c>
      <c r="H20" s="57" t="s">
        <v>126</v>
      </c>
      <c r="J20" s="65" t="s">
        <v>111</v>
      </c>
      <c r="K20" s="65"/>
      <c r="L20" s="64" t="s">
        <v>92</v>
      </c>
      <c r="N20" s="64" t="s">
        <v>110</v>
      </c>
      <c r="O20" s="64" t="s">
        <v>101</v>
      </c>
      <c r="W20" s="63" t="s">
        <v>114</v>
      </c>
      <c r="X20" s="4">
        <f>K21</f>
        <v>3119167886.1279817</v>
      </c>
    </row>
    <row r="21" spans="2:24" x14ac:dyDescent="0.2">
      <c r="B21">
        <v>7</v>
      </c>
      <c r="C21" s="4">
        <f ca="1">'Varity C - Syrah'!AU16</f>
        <v>159000776.91198897</v>
      </c>
      <c r="E21">
        <v>1</v>
      </c>
      <c r="F21" s="4">
        <f ca="1">F17</f>
        <v>2860337028.8390946</v>
      </c>
      <c r="G21">
        <f ca="1">IF(F21&lt;1700000000,1,0)</f>
        <v>0</v>
      </c>
      <c r="H21" s="58">
        <f ca="1">SUM(G21:G1020)/1000</f>
        <v>0</v>
      </c>
      <c r="J21" s="1" t="s">
        <v>1</v>
      </c>
      <c r="K21" s="38">
        <v>3119167886.1279817</v>
      </c>
      <c r="L21" s="4">
        <f ca="1">F17-K21</f>
        <v>-258830857.28888702</v>
      </c>
      <c r="N21" s="51">
        <v>2497471395.0077977</v>
      </c>
      <c r="O21" s="51">
        <v>1</v>
      </c>
      <c r="W21" s="63" t="s">
        <v>82</v>
      </c>
      <c r="X21">
        <f>K25</f>
        <v>223399474.26226896</v>
      </c>
    </row>
    <row r="22" spans="2:24" x14ac:dyDescent="0.2">
      <c r="B22">
        <v>8</v>
      </c>
      <c r="C22" s="4">
        <f ca="1">'Varity C - Syrah'!AU17</f>
        <v>348816366.88180315</v>
      </c>
      <c r="E22">
        <v>2</v>
      </c>
      <c r="F22" s="4">
        <f t="dataTable" ref="F22:F1020" dt2D="0" dtr="0" r1="F20" ca="1"/>
        <v>2986731012.7280407</v>
      </c>
      <c r="G22">
        <f t="shared" ref="G22:G85" si="0">IF(F22&lt;1700000000,1,0)</f>
        <v>0</v>
      </c>
      <c r="J22" t="s">
        <v>79</v>
      </c>
      <c r="K22">
        <v>7064511.6675293399</v>
      </c>
      <c r="N22" s="51">
        <v>2539367975.7661996</v>
      </c>
      <c r="O22" s="51">
        <v>2</v>
      </c>
      <c r="W22" s="63" t="s">
        <v>115</v>
      </c>
      <c r="X22">
        <v>1000</v>
      </c>
    </row>
    <row r="23" spans="2:24" x14ac:dyDescent="0.2">
      <c r="B23">
        <v>9</v>
      </c>
      <c r="C23" s="4">
        <f ca="1">'Varity C - Syrah'!AU18</f>
        <v>90235928.896359771</v>
      </c>
      <c r="E23">
        <v>3</v>
      </c>
      <c r="F23" s="4">
        <v>3091490243.7608838</v>
      </c>
      <c r="G23">
        <f t="shared" si="0"/>
        <v>0</v>
      </c>
      <c r="J23" t="s">
        <v>80</v>
      </c>
      <c r="K23">
        <v>3116930242.5090389</v>
      </c>
      <c r="N23" s="51">
        <v>2581264556.5246015</v>
      </c>
      <c r="O23" s="51">
        <v>2</v>
      </c>
      <c r="W23" s="63" t="s">
        <v>116</v>
      </c>
      <c r="X23" s="35">
        <v>0.95</v>
      </c>
    </row>
    <row r="24" spans="2:24" x14ac:dyDescent="0.2">
      <c r="B24">
        <v>10</v>
      </c>
      <c r="C24" s="4">
        <f ca="1">'Varity C - Syrah'!AU19</f>
        <v>250055666.26354805</v>
      </c>
      <c r="E24">
        <v>4</v>
      </c>
      <c r="F24" s="4">
        <v>2908626654.900876</v>
      </c>
      <c r="G24">
        <f t="shared" si="0"/>
        <v>0</v>
      </c>
      <c r="J24" t="s">
        <v>81</v>
      </c>
      <c r="K24" t="e">
        <v>#N/A</v>
      </c>
      <c r="N24" s="51">
        <v>2623161137.2830038</v>
      </c>
      <c r="O24" s="51">
        <v>4</v>
      </c>
      <c r="W24" s="63"/>
    </row>
    <row r="25" spans="2:24" x14ac:dyDescent="0.2">
      <c r="B25">
        <v>11</v>
      </c>
      <c r="C25" s="4">
        <f ca="1">'Varity C - Syrah'!AU20</f>
        <v>176211565.15721992</v>
      </c>
      <c r="E25">
        <v>5</v>
      </c>
      <c r="F25" s="4">
        <v>3277760436.6403279</v>
      </c>
      <c r="G25">
        <f t="shared" si="0"/>
        <v>0</v>
      </c>
      <c r="J25" s="1" t="s">
        <v>82</v>
      </c>
      <c r="K25" s="1">
        <v>223399474.26226896</v>
      </c>
      <c r="N25" s="51">
        <v>2665057718.0414057</v>
      </c>
      <c r="O25" s="51">
        <v>4</v>
      </c>
      <c r="W25" s="47" t="s">
        <v>117</v>
      </c>
      <c r="X25">
        <f>_xlfn.CONFIDENCE.NORM(1-X23,X21,X22)</f>
        <v>13846188.436720503</v>
      </c>
    </row>
    <row r="26" spans="2:24" x14ac:dyDescent="0.2">
      <c r="B26">
        <v>12</v>
      </c>
      <c r="C26" s="4">
        <f ca="1">'Varity C - Syrah'!AU21</f>
        <v>305785294.6659354</v>
      </c>
      <c r="E26">
        <v>6</v>
      </c>
      <c r="F26" s="4">
        <v>3117053542.3187904</v>
      </c>
      <c r="G26">
        <f t="shared" si="0"/>
        <v>0</v>
      </c>
      <c r="J26" t="s">
        <v>83</v>
      </c>
      <c r="K26">
        <v>4.9907325100658168E+16</v>
      </c>
      <c r="N26" s="51">
        <v>2706954298.7998075</v>
      </c>
      <c r="O26" s="51">
        <v>11</v>
      </c>
      <c r="W26" s="63" t="s">
        <v>118</v>
      </c>
      <c r="X26" s="4">
        <f>X20-X25</f>
        <v>3105321697.6912613</v>
      </c>
    </row>
    <row r="27" spans="2:24" x14ac:dyDescent="0.2">
      <c r="B27">
        <v>13</v>
      </c>
      <c r="C27" s="4">
        <f ca="1">'Varity C - Syrah'!AU22</f>
        <v>209264267.98595262</v>
      </c>
      <c r="E27">
        <v>7</v>
      </c>
      <c r="F27" s="4">
        <v>3034958214.7027245</v>
      </c>
      <c r="G27">
        <f t="shared" si="0"/>
        <v>0</v>
      </c>
      <c r="J27" s="1" t="s">
        <v>84</v>
      </c>
      <c r="K27" s="1">
        <v>0.11515245326556922</v>
      </c>
      <c r="N27" s="51">
        <v>2748850879.5582094</v>
      </c>
      <c r="O27" s="51">
        <v>18</v>
      </c>
      <c r="W27" s="63" t="s">
        <v>119</v>
      </c>
      <c r="X27" s="4">
        <f>X20+X25</f>
        <v>3133014074.564702</v>
      </c>
    </row>
    <row r="28" spans="2:24" x14ac:dyDescent="0.2">
      <c r="B28">
        <v>14</v>
      </c>
      <c r="C28" s="4">
        <f ca="1">'Varity C - Syrah'!AU23</f>
        <v>196114888.79109278</v>
      </c>
      <c r="E28">
        <v>8</v>
      </c>
      <c r="F28" s="4">
        <v>3079899361.5141959</v>
      </c>
      <c r="G28">
        <f t="shared" si="0"/>
        <v>0</v>
      </c>
      <c r="J28" s="1" t="s">
        <v>85</v>
      </c>
      <c r="K28" s="1">
        <v>-7.0525836254893368E-3</v>
      </c>
      <c r="N28" s="51">
        <v>2790747460.3166113</v>
      </c>
      <c r="O28" s="51">
        <v>27</v>
      </c>
      <c r="W28" s="47" t="s">
        <v>134</v>
      </c>
      <c r="X28" s="4">
        <f>X27-X26</f>
        <v>27692376.873440742</v>
      </c>
    </row>
    <row r="29" spans="2:24" x14ac:dyDescent="0.2">
      <c r="B29">
        <v>15</v>
      </c>
      <c r="C29" s="4">
        <f ca="1">'Varity C - Syrah'!AU24</f>
        <v>245488744.31717837</v>
      </c>
      <c r="E29">
        <v>9</v>
      </c>
      <c r="F29" s="4">
        <v>3098029781.0746646</v>
      </c>
      <c r="G29">
        <f t="shared" si="0"/>
        <v>0</v>
      </c>
      <c r="J29" s="1" t="s">
        <v>86</v>
      </c>
      <c r="K29" s="38">
        <v>1563669878.427464</v>
      </c>
      <c r="N29" s="51">
        <v>2832644041.0750136</v>
      </c>
      <c r="O29" s="51">
        <v>26</v>
      </c>
    </row>
    <row r="30" spans="2:24" x14ac:dyDescent="0.2">
      <c r="B30">
        <v>16</v>
      </c>
      <c r="C30" s="4">
        <f ca="1">'Varity C - Syrah'!AU25</f>
        <v>261714151.38940558</v>
      </c>
      <c r="E30">
        <v>10</v>
      </c>
      <c r="F30" s="4">
        <v>3048406329.4392419</v>
      </c>
      <c r="G30">
        <f t="shared" si="0"/>
        <v>0</v>
      </c>
      <c r="J30" s="1" t="s">
        <v>87</v>
      </c>
      <c r="K30" s="38">
        <v>2226369532.6397786</v>
      </c>
      <c r="N30" s="51">
        <v>2874540621.8334155</v>
      </c>
      <c r="O30" s="51">
        <v>36</v>
      </c>
    </row>
    <row r="31" spans="2:24" x14ac:dyDescent="0.2">
      <c r="B31">
        <v>17</v>
      </c>
      <c r="C31" s="4">
        <f ca="1">'Varity C - Syrah'!AU26</f>
        <v>130458842.38677961</v>
      </c>
      <c r="E31">
        <v>11</v>
      </c>
      <c r="F31" s="4">
        <v>3123590684.5634952</v>
      </c>
      <c r="G31">
        <f t="shared" si="0"/>
        <v>0</v>
      </c>
      <c r="J31" s="1" t="s">
        <v>88</v>
      </c>
      <c r="K31" s="38">
        <v>3790039411.0672426</v>
      </c>
      <c r="N31" s="51">
        <v>2916437202.5918174</v>
      </c>
      <c r="O31" s="51">
        <v>59</v>
      </c>
    </row>
    <row r="32" spans="2:24" x14ac:dyDescent="0.2">
      <c r="B32">
        <v>18</v>
      </c>
      <c r="C32" s="4">
        <f ca="1">'Varity C - Syrah'!AU27</f>
        <v>154598987.39482883</v>
      </c>
      <c r="E32">
        <v>12</v>
      </c>
      <c r="F32" s="4">
        <v>2755867333.088644</v>
      </c>
      <c r="G32">
        <f t="shared" si="0"/>
        <v>0</v>
      </c>
      <c r="J32" t="s">
        <v>89</v>
      </c>
      <c r="K32">
        <v>3119167886127.9814</v>
      </c>
      <c r="N32" s="51">
        <v>2958333783.3502192</v>
      </c>
      <c r="O32" s="51">
        <v>55</v>
      </c>
    </row>
    <row r="33" spans="2:15" ht="17" thickBot="1" x14ac:dyDescent="0.25">
      <c r="B33">
        <v>19</v>
      </c>
      <c r="C33" s="4">
        <f ca="1">'Varity C - Syrah'!AU28</f>
        <v>236556665.61773461</v>
      </c>
      <c r="E33">
        <v>13</v>
      </c>
      <c r="F33" s="4">
        <v>2762632810.1317</v>
      </c>
      <c r="G33">
        <f t="shared" si="0"/>
        <v>0</v>
      </c>
      <c r="J33" s="37" t="s">
        <v>90</v>
      </c>
      <c r="K33" s="37">
        <v>1000</v>
      </c>
      <c r="N33" s="51">
        <v>3000230364.1086216</v>
      </c>
      <c r="O33" s="51">
        <v>57</v>
      </c>
    </row>
    <row r="34" spans="2:15" ht="17" thickBot="1" x14ac:dyDescent="0.25">
      <c r="B34">
        <v>20</v>
      </c>
      <c r="C34" s="4">
        <f ca="1">'Varity C - Syrah'!AU29</f>
        <v>228625660.77051014</v>
      </c>
      <c r="E34">
        <v>14</v>
      </c>
      <c r="F34" s="4">
        <v>3149512203.4503074</v>
      </c>
      <c r="G34">
        <f t="shared" si="0"/>
        <v>0</v>
      </c>
      <c r="J34" s="37"/>
      <c r="K34" s="37"/>
      <c r="N34" s="51">
        <v>3042126944.8670235</v>
      </c>
      <c r="O34" s="51">
        <v>60</v>
      </c>
    </row>
    <row r="35" spans="2:15" x14ac:dyDescent="0.2">
      <c r="E35">
        <v>15</v>
      </c>
      <c r="F35" s="4">
        <v>2999691500.8593383</v>
      </c>
      <c r="G35">
        <f t="shared" si="0"/>
        <v>0</v>
      </c>
      <c r="N35" s="51">
        <v>3084023525.6254253</v>
      </c>
      <c r="O35" s="51">
        <v>82</v>
      </c>
    </row>
    <row r="36" spans="2:15" x14ac:dyDescent="0.2">
      <c r="E36">
        <v>16</v>
      </c>
      <c r="F36" s="4">
        <v>3155181430.0424104</v>
      </c>
      <c r="G36">
        <f t="shared" si="0"/>
        <v>0</v>
      </c>
      <c r="N36" s="51">
        <v>3125920106.3838272</v>
      </c>
      <c r="O36" s="51">
        <v>72</v>
      </c>
    </row>
    <row r="37" spans="2:15" x14ac:dyDescent="0.2">
      <c r="E37">
        <v>17</v>
      </c>
      <c r="F37" s="4">
        <v>3152073580.2576084</v>
      </c>
      <c r="G37">
        <f t="shared" si="0"/>
        <v>0</v>
      </c>
      <c r="N37" s="51">
        <v>3167816687.1422291</v>
      </c>
      <c r="O37" s="51">
        <v>74</v>
      </c>
    </row>
    <row r="38" spans="2:15" x14ac:dyDescent="0.2">
      <c r="E38">
        <v>18</v>
      </c>
      <c r="F38" s="4">
        <v>2942947247.0639462</v>
      </c>
      <c r="G38">
        <f t="shared" si="0"/>
        <v>0</v>
      </c>
      <c r="N38" s="51">
        <v>3209713267.9006314</v>
      </c>
      <c r="O38" s="51">
        <v>76</v>
      </c>
    </row>
    <row r="39" spans="2:15" x14ac:dyDescent="0.2">
      <c r="E39">
        <v>19</v>
      </c>
      <c r="F39" s="4">
        <v>3150851919.6015315</v>
      </c>
      <c r="G39">
        <f t="shared" si="0"/>
        <v>0</v>
      </c>
      <c r="N39" s="51">
        <v>3251609848.6590333</v>
      </c>
      <c r="O39" s="51">
        <v>63</v>
      </c>
    </row>
    <row r="40" spans="2:15" x14ac:dyDescent="0.2">
      <c r="E40">
        <v>20</v>
      </c>
      <c r="F40" s="4">
        <v>3216461019.9658904</v>
      </c>
      <c r="G40">
        <f t="shared" si="0"/>
        <v>0</v>
      </c>
      <c r="N40" s="51">
        <v>3293506429.4174352</v>
      </c>
      <c r="O40" s="51">
        <v>66</v>
      </c>
    </row>
    <row r="41" spans="2:15" x14ac:dyDescent="0.2">
      <c r="E41">
        <v>21</v>
      </c>
      <c r="F41" s="4">
        <v>3227778738.8858228</v>
      </c>
      <c r="G41">
        <f t="shared" si="0"/>
        <v>0</v>
      </c>
      <c r="N41" s="51">
        <v>3335403010.1758375</v>
      </c>
      <c r="O41" s="51">
        <v>60</v>
      </c>
    </row>
    <row r="42" spans="2:15" x14ac:dyDescent="0.2">
      <c r="E42">
        <v>22</v>
      </c>
      <c r="F42" s="4">
        <v>3056985034.9690037</v>
      </c>
      <c r="G42">
        <f t="shared" si="0"/>
        <v>0</v>
      </c>
      <c r="N42" s="51">
        <v>3377299590.9342394</v>
      </c>
      <c r="O42" s="51">
        <v>41</v>
      </c>
    </row>
    <row r="43" spans="2:15" x14ac:dyDescent="0.2">
      <c r="E43">
        <v>23</v>
      </c>
      <c r="F43" s="4">
        <v>3021482080.9862142</v>
      </c>
      <c r="G43">
        <f t="shared" si="0"/>
        <v>0</v>
      </c>
      <c r="N43" s="51">
        <v>3419196171.6926413</v>
      </c>
      <c r="O43" s="51">
        <v>27</v>
      </c>
    </row>
    <row r="44" spans="2:15" x14ac:dyDescent="0.2">
      <c r="E44">
        <v>24</v>
      </c>
      <c r="F44" s="4">
        <v>3133066451.5652943</v>
      </c>
      <c r="G44">
        <f t="shared" si="0"/>
        <v>0</v>
      </c>
      <c r="N44" s="51">
        <v>3461092752.4510431</v>
      </c>
      <c r="O44" s="51">
        <v>25</v>
      </c>
    </row>
    <row r="45" spans="2:15" x14ac:dyDescent="0.2">
      <c r="E45">
        <v>25</v>
      </c>
      <c r="F45" s="4">
        <v>2897149921.7484298</v>
      </c>
      <c r="G45">
        <f t="shared" si="0"/>
        <v>0</v>
      </c>
      <c r="N45" s="51">
        <v>3502989333.209445</v>
      </c>
      <c r="O45" s="51">
        <v>16</v>
      </c>
    </row>
    <row r="46" spans="2:15" x14ac:dyDescent="0.2">
      <c r="E46">
        <v>26</v>
      </c>
      <c r="F46" s="4">
        <v>2928117095.9528131</v>
      </c>
      <c r="G46">
        <f t="shared" si="0"/>
        <v>0</v>
      </c>
      <c r="N46" s="51">
        <v>3544885913.9678469</v>
      </c>
      <c r="O46" s="51">
        <v>6</v>
      </c>
    </row>
    <row r="47" spans="2:15" x14ac:dyDescent="0.2">
      <c r="E47">
        <v>27</v>
      </c>
      <c r="F47" s="4">
        <v>2977212269.1901031</v>
      </c>
      <c r="G47">
        <f t="shared" si="0"/>
        <v>0</v>
      </c>
      <c r="N47" s="51">
        <v>3586782494.7262487</v>
      </c>
      <c r="O47" s="51">
        <v>12</v>
      </c>
    </row>
    <row r="48" spans="2:15" x14ac:dyDescent="0.2">
      <c r="E48">
        <v>28</v>
      </c>
      <c r="F48" s="4">
        <v>3001495790.0849991</v>
      </c>
      <c r="G48">
        <f t="shared" si="0"/>
        <v>0</v>
      </c>
      <c r="N48" s="51">
        <v>3628679075.4846511</v>
      </c>
      <c r="O48" s="51">
        <v>8</v>
      </c>
    </row>
    <row r="49" spans="5:15" x14ac:dyDescent="0.2">
      <c r="E49">
        <v>29</v>
      </c>
      <c r="F49" s="4">
        <v>3033135150.7076187</v>
      </c>
      <c r="G49">
        <f t="shared" si="0"/>
        <v>0</v>
      </c>
      <c r="N49" s="51">
        <v>3670575656.243053</v>
      </c>
      <c r="O49" s="51">
        <v>4</v>
      </c>
    </row>
    <row r="50" spans="5:15" x14ac:dyDescent="0.2">
      <c r="E50">
        <v>30</v>
      </c>
      <c r="F50" s="4">
        <v>3014336293.1917601</v>
      </c>
      <c r="G50">
        <f t="shared" si="0"/>
        <v>0</v>
      </c>
      <c r="N50" s="51">
        <v>3712472237.0014553</v>
      </c>
      <c r="O50" s="51">
        <v>4</v>
      </c>
    </row>
    <row r="51" spans="5:15" x14ac:dyDescent="0.2">
      <c r="E51">
        <v>31</v>
      </c>
      <c r="F51" s="4">
        <v>3449449757.2227316</v>
      </c>
      <c r="G51">
        <f t="shared" si="0"/>
        <v>0</v>
      </c>
      <c r="N51" s="51">
        <v>3754368817.7598572</v>
      </c>
      <c r="O51" s="51">
        <v>0</v>
      </c>
    </row>
    <row r="52" spans="5:15" ht="17" thickBot="1" x14ac:dyDescent="0.25">
      <c r="E52">
        <v>32</v>
      </c>
      <c r="F52" s="4">
        <v>3300841574.6078682</v>
      </c>
      <c r="G52">
        <f t="shared" si="0"/>
        <v>0</v>
      </c>
      <c r="N52" s="52" t="s">
        <v>100</v>
      </c>
      <c r="O52" s="52">
        <v>2</v>
      </c>
    </row>
    <row r="53" spans="5:15" x14ac:dyDescent="0.2">
      <c r="E53">
        <v>33</v>
      </c>
      <c r="F53" s="4">
        <v>3017464382.2768984</v>
      </c>
      <c r="G53">
        <f t="shared" si="0"/>
        <v>0</v>
      </c>
    </row>
    <row r="54" spans="5:15" x14ac:dyDescent="0.2">
      <c r="E54">
        <v>34</v>
      </c>
      <c r="F54" s="4">
        <v>3344569217.2536168</v>
      </c>
      <c r="G54">
        <f t="shared" si="0"/>
        <v>0</v>
      </c>
    </row>
    <row r="55" spans="5:15" x14ac:dyDescent="0.2">
      <c r="E55">
        <v>35</v>
      </c>
      <c r="F55" s="4">
        <v>3292769000.0311179</v>
      </c>
      <c r="G55">
        <f t="shared" si="0"/>
        <v>0</v>
      </c>
    </row>
    <row r="56" spans="5:15" x14ac:dyDescent="0.2">
      <c r="E56">
        <v>36</v>
      </c>
      <c r="F56" s="4">
        <v>2977349664.987937</v>
      </c>
      <c r="G56">
        <f t="shared" si="0"/>
        <v>0</v>
      </c>
    </row>
    <row r="57" spans="5:15" x14ac:dyDescent="0.2">
      <c r="E57">
        <v>37</v>
      </c>
      <c r="F57" s="4">
        <v>3516383553.7847309</v>
      </c>
      <c r="G57">
        <f t="shared" si="0"/>
        <v>0</v>
      </c>
    </row>
    <row r="58" spans="5:15" x14ac:dyDescent="0.2">
      <c r="E58">
        <v>38</v>
      </c>
      <c r="F58" s="4">
        <v>3507512124.1075449</v>
      </c>
      <c r="G58">
        <f t="shared" si="0"/>
        <v>0</v>
      </c>
    </row>
    <row r="59" spans="5:15" x14ac:dyDescent="0.2">
      <c r="E59">
        <v>39</v>
      </c>
      <c r="F59" s="4">
        <v>2919776451.8283076</v>
      </c>
      <c r="G59">
        <f t="shared" si="0"/>
        <v>0</v>
      </c>
    </row>
    <row r="60" spans="5:15" x14ac:dyDescent="0.2">
      <c r="E60">
        <v>40</v>
      </c>
      <c r="F60" s="4">
        <v>3206353291.4837465</v>
      </c>
      <c r="G60">
        <f t="shared" si="0"/>
        <v>0</v>
      </c>
    </row>
    <row r="61" spans="5:15" x14ac:dyDescent="0.2">
      <c r="E61">
        <v>41</v>
      </c>
      <c r="F61" s="4">
        <v>3097804722.6503048</v>
      </c>
      <c r="G61">
        <f t="shared" si="0"/>
        <v>0</v>
      </c>
    </row>
    <row r="62" spans="5:15" x14ac:dyDescent="0.2">
      <c r="E62">
        <v>42</v>
      </c>
      <c r="F62" s="4">
        <v>3097622337.3750587</v>
      </c>
      <c r="G62">
        <f t="shared" si="0"/>
        <v>0</v>
      </c>
    </row>
    <row r="63" spans="5:15" x14ac:dyDescent="0.2">
      <c r="E63">
        <v>43</v>
      </c>
      <c r="F63" s="4">
        <v>3517262814.7631192</v>
      </c>
      <c r="G63">
        <f t="shared" si="0"/>
        <v>0</v>
      </c>
    </row>
    <row r="64" spans="5:15" x14ac:dyDescent="0.2">
      <c r="E64">
        <v>44</v>
      </c>
      <c r="F64" s="4">
        <v>2823298775.8767443</v>
      </c>
      <c r="G64">
        <f t="shared" si="0"/>
        <v>0</v>
      </c>
    </row>
    <row r="65" spans="5:7" x14ac:dyDescent="0.2">
      <c r="E65">
        <v>45</v>
      </c>
      <c r="F65" s="4">
        <v>3058695152.4919348</v>
      </c>
      <c r="G65">
        <f t="shared" si="0"/>
        <v>0</v>
      </c>
    </row>
    <row r="66" spans="5:7" x14ac:dyDescent="0.2">
      <c r="E66">
        <v>46</v>
      </c>
      <c r="F66" s="4">
        <v>3090572347.6925344</v>
      </c>
      <c r="G66">
        <f t="shared" si="0"/>
        <v>0</v>
      </c>
    </row>
    <row r="67" spans="5:7" x14ac:dyDescent="0.2">
      <c r="E67">
        <v>47</v>
      </c>
      <c r="F67" s="4">
        <v>2722851548.8353505</v>
      </c>
      <c r="G67">
        <f t="shared" si="0"/>
        <v>0</v>
      </c>
    </row>
    <row r="68" spans="5:7" x14ac:dyDescent="0.2">
      <c r="E68">
        <v>48</v>
      </c>
      <c r="F68" s="4">
        <v>3160007575.1349301</v>
      </c>
      <c r="G68">
        <f t="shared" si="0"/>
        <v>0</v>
      </c>
    </row>
    <row r="69" spans="5:7" x14ac:dyDescent="0.2">
      <c r="E69">
        <v>49</v>
      </c>
      <c r="F69" s="4">
        <v>3323021199.0987058</v>
      </c>
      <c r="G69">
        <f t="shared" si="0"/>
        <v>0</v>
      </c>
    </row>
    <row r="70" spans="5:7" x14ac:dyDescent="0.2">
      <c r="E70">
        <v>50</v>
      </c>
      <c r="F70" s="4">
        <v>3223513080.9711962</v>
      </c>
      <c r="G70">
        <f t="shared" si="0"/>
        <v>0</v>
      </c>
    </row>
    <row r="71" spans="5:7" x14ac:dyDescent="0.2">
      <c r="E71">
        <v>51</v>
      </c>
      <c r="F71" s="4">
        <v>2961949330.4464025</v>
      </c>
      <c r="G71">
        <f t="shared" si="0"/>
        <v>0</v>
      </c>
    </row>
    <row r="72" spans="5:7" x14ac:dyDescent="0.2">
      <c r="E72">
        <v>52</v>
      </c>
      <c r="F72" s="4">
        <v>2905944312.11339</v>
      </c>
      <c r="G72">
        <f t="shared" si="0"/>
        <v>0</v>
      </c>
    </row>
    <row r="73" spans="5:7" x14ac:dyDescent="0.2">
      <c r="E73">
        <v>53</v>
      </c>
      <c r="F73" s="4">
        <v>2925266098.7198362</v>
      </c>
      <c r="G73">
        <f t="shared" si="0"/>
        <v>0</v>
      </c>
    </row>
    <row r="74" spans="5:7" x14ac:dyDescent="0.2">
      <c r="E74">
        <v>54</v>
      </c>
      <c r="F74" s="4">
        <v>2669047397.4903488</v>
      </c>
      <c r="G74">
        <f t="shared" si="0"/>
        <v>0</v>
      </c>
    </row>
    <row r="75" spans="5:7" x14ac:dyDescent="0.2">
      <c r="E75">
        <v>55</v>
      </c>
      <c r="F75" s="4">
        <v>2962059309.2549891</v>
      </c>
      <c r="G75">
        <f t="shared" si="0"/>
        <v>0</v>
      </c>
    </row>
    <row r="76" spans="5:7" x14ac:dyDescent="0.2">
      <c r="E76">
        <v>56</v>
      </c>
      <c r="F76" s="4">
        <v>3126321647.5451331</v>
      </c>
      <c r="G76">
        <f t="shared" si="0"/>
        <v>0</v>
      </c>
    </row>
    <row r="77" spans="5:7" x14ac:dyDescent="0.2">
      <c r="E77">
        <v>57</v>
      </c>
      <c r="F77" s="4">
        <v>3201967235.3877912</v>
      </c>
      <c r="G77">
        <f t="shared" si="0"/>
        <v>0</v>
      </c>
    </row>
    <row r="78" spans="5:7" x14ac:dyDescent="0.2">
      <c r="E78">
        <v>58</v>
      </c>
      <c r="F78" s="4">
        <v>3162231818.7259278</v>
      </c>
      <c r="G78">
        <f t="shared" si="0"/>
        <v>0</v>
      </c>
    </row>
    <row r="79" spans="5:7" x14ac:dyDescent="0.2">
      <c r="E79">
        <v>59</v>
      </c>
      <c r="F79" s="4">
        <v>2746911702.570962</v>
      </c>
      <c r="G79">
        <f t="shared" si="0"/>
        <v>0</v>
      </c>
    </row>
    <row r="80" spans="5:7" x14ac:dyDescent="0.2">
      <c r="E80">
        <v>60</v>
      </c>
      <c r="F80" s="4">
        <v>3160192819.8581038</v>
      </c>
      <c r="G80">
        <f t="shared" si="0"/>
        <v>0</v>
      </c>
    </row>
    <row r="81" spans="5:7" x14ac:dyDescent="0.2">
      <c r="E81">
        <v>61</v>
      </c>
      <c r="F81" s="4">
        <v>2877086725.2877774</v>
      </c>
      <c r="G81">
        <f t="shared" si="0"/>
        <v>0</v>
      </c>
    </row>
    <row r="82" spans="5:7" x14ac:dyDescent="0.2">
      <c r="E82">
        <v>62</v>
      </c>
      <c r="F82" s="4">
        <v>3126696993.0309372</v>
      </c>
      <c r="G82">
        <f t="shared" si="0"/>
        <v>0</v>
      </c>
    </row>
    <row r="83" spans="5:7" x14ac:dyDescent="0.2">
      <c r="E83">
        <v>63</v>
      </c>
      <c r="F83" s="4">
        <v>2935085237.0519962</v>
      </c>
      <c r="G83">
        <f t="shared" si="0"/>
        <v>0</v>
      </c>
    </row>
    <row r="84" spans="5:7" x14ac:dyDescent="0.2">
      <c r="E84">
        <v>64</v>
      </c>
      <c r="F84" s="4">
        <v>2871551895.8116498</v>
      </c>
      <c r="G84">
        <f t="shared" si="0"/>
        <v>0</v>
      </c>
    </row>
    <row r="85" spans="5:7" x14ac:dyDescent="0.2">
      <c r="E85">
        <v>65</v>
      </c>
      <c r="F85" s="4">
        <v>3118023087.0239687</v>
      </c>
      <c r="G85">
        <f t="shared" si="0"/>
        <v>0</v>
      </c>
    </row>
    <row r="86" spans="5:7" x14ac:dyDescent="0.2">
      <c r="E86">
        <v>66</v>
      </c>
      <c r="F86" s="4">
        <v>3368961827.5867143</v>
      </c>
      <c r="G86">
        <f t="shared" ref="G86:G149" si="1">IF(F86&lt;1700000000,1,0)</f>
        <v>0</v>
      </c>
    </row>
    <row r="87" spans="5:7" x14ac:dyDescent="0.2">
      <c r="E87">
        <v>67</v>
      </c>
      <c r="F87" s="4">
        <v>2948422896.5151839</v>
      </c>
      <c r="G87">
        <f t="shared" si="1"/>
        <v>0</v>
      </c>
    </row>
    <row r="88" spans="5:7" x14ac:dyDescent="0.2">
      <c r="E88">
        <v>68</v>
      </c>
      <c r="F88" s="4">
        <v>2904548690.2756524</v>
      </c>
      <c r="G88">
        <f t="shared" si="1"/>
        <v>0</v>
      </c>
    </row>
    <row r="89" spans="5:7" x14ac:dyDescent="0.2">
      <c r="E89">
        <v>69</v>
      </c>
      <c r="F89" s="4">
        <v>3334181983.0859437</v>
      </c>
      <c r="G89">
        <f t="shared" si="1"/>
        <v>0</v>
      </c>
    </row>
    <row r="90" spans="5:7" x14ac:dyDescent="0.2">
      <c r="E90">
        <v>70</v>
      </c>
      <c r="F90" s="4">
        <v>3176992661.2473021</v>
      </c>
      <c r="G90">
        <f t="shared" si="1"/>
        <v>0</v>
      </c>
    </row>
    <row r="91" spans="5:7" x14ac:dyDescent="0.2">
      <c r="E91">
        <v>71</v>
      </c>
      <c r="F91" s="4">
        <v>2919642437.7027655</v>
      </c>
      <c r="G91">
        <f t="shared" si="1"/>
        <v>0</v>
      </c>
    </row>
    <row r="92" spans="5:7" x14ac:dyDescent="0.2">
      <c r="E92">
        <v>72</v>
      </c>
      <c r="F92" s="4">
        <v>2900642528.9053216</v>
      </c>
      <c r="G92">
        <f t="shared" si="1"/>
        <v>0</v>
      </c>
    </row>
    <row r="93" spans="5:7" x14ac:dyDescent="0.2">
      <c r="E93">
        <v>73</v>
      </c>
      <c r="F93" s="4">
        <v>3091544558.9329042</v>
      </c>
      <c r="G93">
        <f t="shared" si="1"/>
        <v>0</v>
      </c>
    </row>
    <row r="94" spans="5:7" x14ac:dyDescent="0.2">
      <c r="E94">
        <v>74</v>
      </c>
      <c r="F94" s="4">
        <v>3035820713.801549</v>
      </c>
      <c r="G94">
        <f t="shared" si="1"/>
        <v>0</v>
      </c>
    </row>
    <row r="95" spans="5:7" x14ac:dyDescent="0.2">
      <c r="E95">
        <v>75</v>
      </c>
      <c r="F95" s="4">
        <v>3036243272.8351197</v>
      </c>
      <c r="G95">
        <f t="shared" si="1"/>
        <v>0</v>
      </c>
    </row>
    <row r="96" spans="5:7" x14ac:dyDescent="0.2">
      <c r="E96">
        <v>76</v>
      </c>
      <c r="F96" s="4">
        <v>3198217938.2280731</v>
      </c>
      <c r="G96">
        <f t="shared" si="1"/>
        <v>0</v>
      </c>
    </row>
    <row r="97" spans="5:7" x14ac:dyDescent="0.2">
      <c r="E97">
        <v>77</v>
      </c>
      <c r="F97" s="4">
        <v>2842386183.9206185</v>
      </c>
      <c r="G97">
        <f t="shared" si="1"/>
        <v>0</v>
      </c>
    </row>
    <row r="98" spans="5:7" x14ac:dyDescent="0.2">
      <c r="E98">
        <v>78</v>
      </c>
      <c r="F98" s="4">
        <v>3579661608.3208532</v>
      </c>
      <c r="G98">
        <f t="shared" si="1"/>
        <v>0</v>
      </c>
    </row>
    <row r="99" spans="5:7" x14ac:dyDescent="0.2">
      <c r="E99">
        <v>79</v>
      </c>
      <c r="F99" s="4">
        <v>3383717417.9184055</v>
      </c>
      <c r="G99">
        <f t="shared" si="1"/>
        <v>0</v>
      </c>
    </row>
    <row r="100" spans="5:7" x14ac:dyDescent="0.2">
      <c r="E100">
        <v>80</v>
      </c>
      <c r="F100" s="4">
        <v>3126818998.3665195</v>
      </c>
      <c r="G100">
        <f t="shared" si="1"/>
        <v>0</v>
      </c>
    </row>
    <row r="101" spans="5:7" x14ac:dyDescent="0.2">
      <c r="E101">
        <v>81</v>
      </c>
      <c r="F101" s="4">
        <v>2984623911.8272476</v>
      </c>
      <c r="G101">
        <f t="shared" si="1"/>
        <v>0</v>
      </c>
    </row>
    <row r="102" spans="5:7" x14ac:dyDescent="0.2">
      <c r="E102">
        <v>82</v>
      </c>
      <c r="F102" s="4">
        <v>2710962149.4538636</v>
      </c>
      <c r="G102">
        <f t="shared" si="1"/>
        <v>0</v>
      </c>
    </row>
    <row r="103" spans="5:7" x14ac:dyDescent="0.2">
      <c r="E103">
        <v>83</v>
      </c>
      <c r="F103" s="4">
        <v>3030737136.1130934</v>
      </c>
      <c r="G103">
        <f t="shared" si="1"/>
        <v>0</v>
      </c>
    </row>
    <row r="104" spans="5:7" x14ac:dyDescent="0.2">
      <c r="E104">
        <v>84</v>
      </c>
      <c r="F104" s="4">
        <v>3690726177.0777469</v>
      </c>
      <c r="G104">
        <f t="shared" si="1"/>
        <v>0</v>
      </c>
    </row>
    <row r="105" spans="5:7" x14ac:dyDescent="0.2">
      <c r="E105">
        <v>85</v>
      </c>
      <c r="F105" s="4">
        <v>3130113256.2329473</v>
      </c>
      <c r="G105">
        <f t="shared" si="1"/>
        <v>0</v>
      </c>
    </row>
    <row r="106" spans="5:7" x14ac:dyDescent="0.2">
      <c r="E106">
        <v>86</v>
      </c>
      <c r="F106" s="4">
        <v>2900335444.5995145</v>
      </c>
      <c r="G106">
        <f t="shared" si="1"/>
        <v>0</v>
      </c>
    </row>
    <row r="107" spans="5:7" x14ac:dyDescent="0.2">
      <c r="E107">
        <v>87</v>
      </c>
      <c r="F107" s="4">
        <v>3192712757.7111545</v>
      </c>
      <c r="G107">
        <f t="shared" si="1"/>
        <v>0</v>
      </c>
    </row>
    <row r="108" spans="5:7" x14ac:dyDescent="0.2">
      <c r="E108">
        <v>88</v>
      </c>
      <c r="F108" s="4">
        <v>3371379746.2882929</v>
      </c>
      <c r="G108">
        <f t="shared" si="1"/>
        <v>0</v>
      </c>
    </row>
    <row r="109" spans="5:7" x14ac:dyDescent="0.2">
      <c r="E109">
        <v>89</v>
      </c>
      <c r="F109" s="4">
        <v>3126781585.0786176</v>
      </c>
      <c r="G109">
        <f t="shared" si="1"/>
        <v>0</v>
      </c>
    </row>
    <row r="110" spans="5:7" x14ac:dyDescent="0.2">
      <c r="E110">
        <v>90</v>
      </c>
      <c r="F110" s="4">
        <v>3055508107.0175076</v>
      </c>
      <c r="G110">
        <f t="shared" si="1"/>
        <v>0</v>
      </c>
    </row>
    <row r="111" spans="5:7" x14ac:dyDescent="0.2">
      <c r="E111">
        <v>91</v>
      </c>
      <c r="F111" s="4">
        <v>2949195615.5197906</v>
      </c>
      <c r="G111">
        <f t="shared" si="1"/>
        <v>0</v>
      </c>
    </row>
    <row r="112" spans="5:7" x14ac:dyDescent="0.2">
      <c r="E112">
        <v>92</v>
      </c>
      <c r="F112" s="4">
        <v>3287995977.5338612</v>
      </c>
      <c r="G112">
        <f t="shared" si="1"/>
        <v>0</v>
      </c>
    </row>
    <row r="113" spans="5:7" x14ac:dyDescent="0.2">
      <c r="E113">
        <v>93</v>
      </c>
      <c r="F113" s="4">
        <v>2932514429.4757533</v>
      </c>
      <c r="G113">
        <f t="shared" si="1"/>
        <v>0</v>
      </c>
    </row>
    <row r="114" spans="5:7" x14ac:dyDescent="0.2">
      <c r="E114">
        <v>94</v>
      </c>
      <c r="F114" s="4">
        <v>3103765194.8212295</v>
      </c>
      <c r="G114">
        <f t="shared" si="1"/>
        <v>0</v>
      </c>
    </row>
    <row r="115" spans="5:7" x14ac:dyDescent="0.2">
      <c r="E115">
        <v>95</v>
      </c>
      <c r="F115" s="4">
        <v>2489038166.431848</v>
      </c>
      <c r="G115">
        <f t="shared" si="1"/>
        <v>0</v>
      </c>
    </row>
    <row r="116" spans="5:7" x14ac:dyDescent="0.2">
      <c r="E116">
        <v>96</v>
      </c>
      <c r="F116" s="4">
        <v>3118001593.1347756</v>
      </c>
      <c r="G116">
        <f t="shared" si="1"/>
        <v>0</v>
      </c>
    </row>
    <row r="117" spans="5:7" x14ac:dyDescent="0.2">
      <c r="E117">
        <v>97</v>
      </c>
      <c r="F117" s="4">
        <v>2957148178.8546195</v>
      </c>
      <c r="G117">
        <f t="shared" si="1"/>
        <v>0</v>
      </c>
    </row>
    <row r="118" spans="5:7" x14ac:dyDescent="0.2">
      <c r="E118">
        <v>98</v>
      </c>
      <c r="F118" s="4">
        <v>2933597312.8173676</v>
      </c>
      <c r="G118">
        <f t="shared" si="1"/>
        <v>0</v>
      </c>
    </row>
    <row r="119" spans="5:7" x14ac:dyDescent="0.2">
      <c r="E119">
        <v>99</v>
      </c>
      <c r="F119" s="4">
        <v>3450471346.3012695</v>
      </c>
      <c r="G119">
        <f t="shared" si="1"/>
        <v>0</v>
      </c>
    </row>
    <row r="120" spans="5:7" x14ac:dyDescent="0.2">
      <c r="E120">
        <v>100</v>
      </c>
      <c r="F120" s="4">
        <v>2939011386.9407253</v>
      </c>
      <c r="G120">
        <f t="shared" si="1"/>
        <v>0</v>
      </c>
    </row>
    <row r="121" spans="5:7" x14ac:dyDescent="0.2">
      <c r="E121">
        <v>101</v>
      </c>
      <c r="F121" s="4">
        <v>3159087706.6648064</v>
      </c>
      <c r="G121">
        <f t="shared" si="1"/>
        <v>0</v>
      </c>
    </row>
    <row r="122" spans="5:7" x14ac:dyDescent="0.2">
      <c r="E122">
        <v>102</v>
      </c>
      <c r="F122" s="4">
        <v>2821733572.6129866</v>
      </c>
      <c r="G122">
        <f t="shared" si="1"/>
        <v>0</v>
      </c>
    </row>
    <row r="123" spans="5:7" x14ac:dyDescent="0.2">
      <c r="E123">
        <v>103</v>
      </c>
      <c r="F123" s="4">
        <v>2922970291.2876797</v>
      </c>
      <c r="G123">
        <f t="shared" si="1"/>
        <v>0</v>
      </c>
    </row>
    <row r="124" spans="5:7" x14ac:dyDescent="0.2">
      <c r="E124">
        <v>104</v>
      </c>
      <c r="F124" s="4">
        <v>3172148057.101635</v>
      </c>
      <c r="G124">
        <f t="shared" si="1"/>
        <v>0</v>
      </c>
    </row>
    <row r="125" spans="5:7" x14ac:dyDescent="0.2">
      <c r="E125">
        <v>105</v>
      </c>
      <c r="F125" s="4">
        <v>3067649468.0036283</v>
      </c>
      <c r="G125">
        <f t="shared" si="1"/>
        <v>0</v>
      </c>
    </row>
    <row r="126" spans="5:7" x14ac:dyDescent="0.2">
      <c r="E126">
        <v>106</v>
      </c>
      <c r="F126" s="4">
        <v>2841032909.8726282</v>
      </c>
      <c r="G126">
        <f t="shared" si="1"/>
        <v>0</v>
      </c>
    </row>
    <row r="127" spans="5:7" x14ac:dyDescent="0.2">
      <c r="E127">
        <v>107</v>
      </c>
      <c r="F127" s="4">
        <v>3377586304.3848763</v>
      </c>
      <c r="G127">
        <f t="shared" si="1"/>
        <v>0</v>
      </c>
    </row>
    <row r="128" spans="5:7" x14ac:dyDescent="0.2">
      <c r="E128">
        <v>108</v>
      </c>
      <c r="F128" s="4">
        <v>3391872553.6985836</v>
      </c>
      <c r="G128">
        <f t="shared" si="1"/>
        <v>0</v>
      </c>
    </row>
    <row r="129" spans="5:7" x14ac:dyDescent="0.2">
      <c r="E129">
        <v>109</v>
      </c>
      <c r="F129" s="4">
        <v>2979513402.2748084</v>
      </c>
      <c r="G129">
        <f t="shared" si="1"/>
        <v>0</v>
      </c>
    </row>
    <row r="130" spans="5:7" x14ac:dyDescent="0.2">
      <c r="E130">
        <v>110</v>
      </c>
      <c r="F130" s="4">
        <v>3027288155.5040236</v>
      </c>
      <c r="G130">
        <f t="shared" si="1"/>
        <v>0</v>
      </c>
    </row>
    <row r="131" spans="5:7" x14ac:dyDescent="0.2">
      <c r="E131">
        <v>111</v>
      </c>
      <c r="F131" s="4">
        <v>3218053173.5224996</v>
      </c>
      <c r="G131">
        <f t="shared" si="1"/>
        <v>0</v>
      </c>
    </row>
    <row r="132" spans="5:7" x14ac:dyDescent="0.2">
      <c r="E132">
        <v>112</v>
      </c>
      <c r="F132" s="4">
        <v>3072256491.1529794</v>
      </c>
      <c r="G132">
        <f t="shared" si="1"/>
        <v>0</v>
      </c>
    </row>
    <row r="133" spans="5:7" x14ac:dyDescent="0.2">
      <c r="E133">
        <v>113</v>
      </c>
      <c r="F133" s="4">
        <v>3113832023.0994296</v>
      </c>
      <c r="G133">
        <f t="shared" si="1"/>
        <v>0</v>
      </c>
    </row>
    <row r="134" spans="5:7" x14ac:dyDescent="0.2">
      <c r="E134">
        <v>114</v>
      </c>
      <c r="F134" s="4">
        <v>3054993733.7246614</v>
      </c>
      <c r="G134">
        <f t="shared" si="1"/>
        <v>0</v>
      </c>
    </row>
    <row r="135" spans="5:7" x14ac:dyDescent="0.2">
      <c r="E135">
        <v>115</v>
      </c>
      <c r="F135" s="4">
        <v>3329387107.6058493</v>
      </c>
      <c r="G135">
        <f t="shared" si="1"/>
        <v>0</v>
      </c>
    </row>
    <row r="136" spans="5:7" x14ac:dyDescent="0.2">
      <c r="E136">
        <v>116</v>
      </c>
      <c r="F136" s="4">
        <v>2705364419.5117812</v>
      </c>
      <c r="G136">
        <f t="shared" si="1"/>
        <v>0</v>
      </c>
    </row>
    <row r="137" spans="5:7" x14ac:dyDescent="0.2">
      <c r="E137">
        <v>117</v>
      </c>
      <c r="F137" s="4">
        <v>2751462143.1490588</v>
      </c>
      <c r="G137">
        <f t="shared" si="1"/>
        <v>0</v>
      </c>
    </row>
    <row r="138" spans="5:7" x14ac:dyDescent="0.2">
      <c r="E138">
        <v>118</v>
      </c>
      <c r="F138" s="4">
        <v>3435418256.2676539</v>
      </c>
      <c r="G138">
        <f t="shared" si="1"/>
        <v>0</v>
      </c>
    </row>
    <row r="139" spans="5:7" x14ac:dyDescent="0.2">
      <c r="E139">
        <v>119</v>
      </c>
      <c r="F139" s="4">
        <v>3052883628.8443975</v>
      </c>
      <c r="G139">
        <f t="shared" si="1"/>
        <v>0</v>
      </c>
    </row>
    <row r="140" spans="5:7" x14ac:dyDescent="0.2">
      <c r="E140">
        <v>120</v>
      </c>
      <c r="F140" s="4">
        <v>3091138889.4924417</v>
      </c>
      <c r="G140">
        <f t="shared" si="1"/>
        <v>0</v>
      </c>
    </row>
    <row r="141" spans="5:7" x14ac:dyDescent="0.2">
      <c r="E141">
        <v>121</v>
      </c>
      <c r="F141" s="4">
        <v>3326272923.0175929</v>
      </c>
      <c r="G141">
        <f t="shared" si="1"/>
        <v>0</v>
      </c>
    </row>
    <row r="142" spans="5:7" x14ac:dyDescent="0.2">
      <c r="E142">
        <v>122</v>
      </c>
      <c r="F142" s="4">
        <v>2893548475.0905418</v>
      </c>
      <c r="G142">
        <f t="shared" si="1"/>
        <v>0</v>
      </c>
    </row>
    <row r="143" spans="5:7" x14ac:dyDescent="0.2">
      <c r="E143">
        <v>123</v>
      </c>
      <c r="F143" s="4">
        <v>3371758426.7715974</v>
      </c>
      <c r="G143">
        <f t="shared" si="1"/>
        <v>0</v>
      </c>
    </row>
    <row r="144" spans="5:7" x14ac:dyDescent="0.2">
      <c r="E144">
        <v>124</v>
      </c>
      <c r="F144" s="4">
        <v>2786887009.0180764</v>
      </c>
      <c r="G144">
        <f t="shared" si="1"/>
        <v>0</v>
      </c>
    </row>
    <row r="145" spans="5:7" x14ac:dyDescent="0.2">
      <c r="E145">
        <v>125</v>
      </c>
      <c r="F145" s="4">
        <v>2898755344.9577503</v>
      </c>
      <c r="G145">
        <f t="shared" si="1"/>
        <v>0</v>
      </c>
    </row>
    <row r="146" spans="5:7" x14ac:dyDescent="0.2">
      <c r="E146">
        <v>126</v>
      </c>
      <c r="F146" s="4">
        <v>2850109033.2413001</v>
      </c>
      <c r="G146">
        <f t="shared" si="1"/>
        <v>0</v>
      </c>
    </row>
    <row r="147" spans="5:7" x14ac:dyDescent="0.2">
      <c r="E147">
        <v>127</v>
      </c>
      <c r="F147" s="4">
        <v>3350136462.0883279</v>
      </c>
      <c r="G147">
        <f t="shared" si="1"/>
        <v>0</v>
      </c>
    </row>
    <row r="148" spans="5:7" x14ac:dyDescent="0.2">
      <c r="E148">
        <v>128</v>
      </c>
      <c r="F148" s="4">
        <v>2932543265.3248806</v>
      </c>
      <c r="G148">
        <f t="shared" si="1"/>
        <v>0</v>
      </c>
    </row>
    <row r="149" spans="5:7" x14ac:dyDescent="0.2">
      <c r="E149">
        <v>129</v>
      </c>
      <c r="F149" s="4">
        <v>3148118168.0674906</v>
      </c>
      <c r="G149">
        <f t="shared" si="1"/>
        <v>0</v>
      </c>
    </row>
    <row r="150" spans="5:7" x14ac:dyDescent="0.2">
      <c r="E150">
        <v>130</v>
      </c>
      <c r="F150" s="4">
        <v>3299078548.7136855</v>
      </c>
      <c r="G150">
        <f t="shared" ref="G150:G213" si="2">IF(F150&lt;1700000000,1,0)</f>
        <v>0</v>
      </c>
    </row>
    <row r="151" spans="5:7" x14ac:dyDescent="0.2">
      <c r="E151">
        <v>131</v>
      </c>
      <c r="F151" s="4">
        <v>2952369695.7582107</v>
      </c>
      <c r="G151">
        <f t="shared" si="2"/>
        <v>0</v>
      </c>
    </row>
    <row r="152" spans="5:7" x14ac:dyDescent="0.2">
      <c r="E152">
        <v>132</v>
      </c>
      <c r="F152" s="4">
        <v>2868951856.109591</v>
      </c>
      <c r="G152">
        <f t="shared" si="2"/>
        <v>0</v>
      </c>
    </row>
    <row r="153" spans="5:7" x14ac:dyDescent="0.2">
      <c r="E153">
        <v>133</v>
      </c>
      <c r="F153" s="4">
        <v>3426553679.611948</v>
      </c>
      <c r="G153">
        <f t="shared" si="2"/>
        <v>0</v>
      </c>
    </row>
    <row r="154" spans="5:7" x14ac:dyDescent="0.2">
      <c r="E154">
        <v>134</v>
      </c>
      <c r="F154" s="4">
        <v>2768594773.3596239</v>
      </c>
      <c r="G154">
        <f t="shared" si="2"/>
        <v>0</v>
      </c>
    </row>
    <row r="155" spans="5:7" x14ac:dyDescent="0.2">
      <c r="E155">
        <v>135</v>
      </c>
      <c r="F155" s="4">
        <v>2887871035.1998672</v>
      </c>
      <c r="G155">
        <f t="shared" si="2"/>
        <v>0</v>
      </c>
    </row>
    <row r="156" spans="5:7" x14ac:dyDescent="0.2">
      <c r="E156">
        <v>136</v>
      </c>
      <c r="F156" s="4">
        <v>3079170087.1615791</v>
      </c>
      <c r="G156">
        <f t="shared" si="2"/>
        <v>0</v>
      </c>
    </row>
    <row r="157" spans="5:7" x14ac:dyDescent="0.2">
      <c r="E157">
        <v>137</v>
      </c>
      <c r="F157" s="4">
        <v>3206367312.5116363</v>
      </c>
      <c r="G157">
        <f t="shared" si="2"/>
        <v>0</v>
      </c>
    </row>
    <row r="158" spans="5:7" x14ac:dyDescent="0.2">
      <c r="E158">
        <v>138</v>
      </c>
      <c r="F158" s="4">
        <v>3095112181.1712008</v>
      </c>
      <c r="G158">
        <f t="shared" si="2"/>
        <v>0</v>
      </c>
    </row>
    <row r="159" spans="5:7" x14ac:dyDescent="0.2">
      <c r="E159">
        <v>139</v>
      </c>
      <c r="F159" s="4">
        <v>3290513398.7940059</v>
      </c>
      <c r="G159">
        <f t="shared" si="2"/>
        <v>0</v>
      </c>
    </row>
    <row r="160" spans="5:7" x14ac:dyDescent="0.2">
      <c r="E160">
        <v>140</v>
      </c>
      <c r="F160" s="4">
        <v>3156172787.5491581</v>
      </c>
      <c r="G160">
        <f t="shared" si="2"/>
        <v>0</v>
      </c>
    </row>
    <row r="161" spans="5:7" x14ac:dyDescent="0.2">
      <c r="E161">
        <v>141</v>
      </c>
      <c r="F161" s="4">
        <v>3206888025.9963069</v>
      </c>
      <c r="G161">
        <f t="shared" si="2"/>
        <v>0</v>
      </c>
    </row>
    <row r="162" spans="5:7" x14ac:dyDescent="0.2">
      <c r="E162">
        <v>142</v>
      </c>
      <c r="F162" s="4">
        <v>2644038562.500464</v>
      </c>
      <c r="G162">
        <f t="shared" si="2"/>
        <v>0</v>
      </c>
    </row>
    <row r="163" spans="5:7" x14ac:dyDescent="0.2">
      <c r="E163">
        <v>143</v>
      </c>
      <c r="F163" s="4">
        <v>2826702835.7745514</v>
      </c>
      <c r="G163">
        <f t="shared" si="2"/>
        <v>0</v>
      </c>
    </row>
    <row r="164" spans="5:7" x14ac:dyDescent="0.2">
      <c r="E164">
        <v>144</v>
      </c>
      <c r="F164" s="4">
        <v>2923099025.0239387</v>
      </c>
      <c r="G164">
        <f t="shared" si="2"/>
        <v>0</v>
      </c>
    </row>
    <row r="165" spans="5:7" x14ac:dyDescent="0.2">
      <c r="E165">
        <v>145</v>
      </c>
      <c r="F165" s="4">
        <v>3021597708.0692544</v>
      </c>
      <c r="G165">
        <f t="shared" si="2"/>
        <v>0</v>
      </c>
    </row>
    <row r="166" spans="5:7" x14ac:dyDescent="0.2">
      <c r="E166">
        <v>146</v>
      </c>
      <c r="F166" s="4">
        <v>2904343411.5735698</v>
      </c>
      <c r="G166">
        <f t="shared" si="2"/>
        <v>0</v>
      </c>
    </row>
    <row r="167" spans="5:7" x14ac:dyDescent="0.2">
      <c r="E167">
        <v>147</v>
      </c>
      <c r="F167" s="4">
        <v>3221841215.0087976</v>
      </c>
      <c r="G167">
        <f t="shared" si="2"/>
        <v>0</v>
      </c>
    </row>
    <row r="168" spans="5:7" x14ac:dyDescent="0.2">
      <c r="E168">
        <v>148</v>
      </c>
      <c r="F168" s="4">
        <v>3260317547.898777</v>
      </c>
      <c r="G168">
        <f t="shared" si="2"/>
        <v>0</v>
      </c>
    </row>
    <row r="169" spans="5:7" x14ac:dyDescent="0.2">
      <c r="E169">
        <v>149</v>
      </c>
      <c r="F169" s="4">
        <v>3315342937.395462</v>
      </c>
      <c r="G169">
        <f t="shared" si="2"/>
        <v>0</v>
      </c>
    </row>
    <row r="170" spans="5:7" x14ac:dyDescent="0.2">
      <c r="E170">
        <v>150</v>
      </c>
      <c r="F170" s="4">
        <v>2934780124.3260598</v>
      </c>
      <c r="G170">
        <f t="shared" si="2"/>
        <v>0</v>
      </c>
    </row>
    <row r="171" spans="5:7" x14ac:dyDescent="0.2">
      <c r="E171">
        <v>151</v>
      </c>
      <c r="F171" s="4">
        <v>3538303203.9752874</v>
      </c>
      <c r="G171">
        <f t="shared" si="2"/>
        <v>0</v>
      </c>
    </row>
    <row r="172" spans="5:7" x14ac:dyDescent="0.2">
      <c r="E172">
        <v>152</v>
      </c>
      <c r="F172" s="4">
        <v>3219418276.4185057</v>
      </c>
      <c r="G172">
        <f t="shared" si="2"/>
        <v>0</v>
      </c>
    </row>
    <row r="173" spans="5:7" x14ac:dyDescent="0.2">
      <c r="E173">
        <v>153</v>
      </c>
      <c r="F173" s="4">
        <v>3169911502.4440889</v>
      </c>
      <c r="G173">
        <f t="shared" si="2"/>
        <v>0</v>
      </c>
    </row>
    <row r="174" spans="5:7" x14ac:dyDescent="0.2">
      <c r="E174">
        <v>154</v>
      </c>
      <c r="F174" s="4">
        <v>3207102089.2873354</v>
      </c>
      <c r="G174">
        <f t="shared" si="2"/>
        <v>0</v>
      </c>
    </row>
    <row r="175" spans="5:7" x14ac:dyDescent="0.2">
      <c r="E175">
        <v>155</v>
      </c>
      <c r="F175" s="4">
        <v>2933233861.1054444</v>
      </c>
      <c r="G175">
        <f t="shared" si="2"/>
        <v>0</v>
      </c>
    </row>
    <row r="176" spans="5:7" x14ac:dyDescent="0.2">
      <c r="E176">
        <v>156</v>
      </c>
      <c r="F176" s="4">
        <v>3289670850.6274972</v>
      </c>
      <c r="G176">
        <f t="shared" si="2"/>
        <v>0</v>
      </c>
    </row>
    <row r="177" spans="5:7" x14ac:dyDescent="0.2">
      <c r="E177">
        <v>157</v>
      </c>
      <c r="F177" s="4">
        <v>3273125014.3767533</v>
      </c>
      <c r="G177">
        <f t="shared" si="2"/>
        <v>0</v>
      </c>
    </row>
    <row r="178" spans="5:7" x14ac:dyDescent="0.2">
      <c r="E178">
        <v>158</v>
      </c>
      <c r="F178" s="4">
        <v>2836383522.6469231</v>
      </c>
      <c r="G178">
        <f t="shared" si="2"/>
        <v>0</v>
      </c>
    </row>
    <row r="179" spans="5:7" x14ac:dyDescent="0.2">
      <c r="E179">
        <v>159</v>
      </c>
      <c r="F179" s="4">
        <v>3168531359.9008527</v>
      </c>
      <c r="G179">
        <f t="shared" si="2"/>
        <v>0</v>
      </c>
    </row>
    <row r="180" spans="5:7" x14ac:dyDescent="0.2">
      <c r="E180">
        <v>160</v>
      </c>
      <c r="F180" s="4">
        <v>3138037681.0447388</v>
      </c>
      <c r="G180">
        <f t="shared" si="2"/>
        <v>0</v>
      </c>
    </row>
    <row r="181" spans="5:7" x14ac:dyDescent="0.2">
      <c r="E181">
        <v>161</v>
      </c>
      <c r="F181" s="4">
        <v>3033820764.954689</v>
      </c>
      <c r="G181">
        <f t="shared" si="2"/>
        <v>0</v>
      </c>
    </row>
    <row r="182" spans="5:7" x14ac:dyDescent="0.2">
      <c r="E182">
        <v>162</v>
      </c>
      <c r="F182" s="4">
        <v>3197360266.8434882</v>
      </c>
      <c r="G182">
        <f t="shared" si="2"/>
        <v>0</v>
      </c>
    </row>
    <row r="183" spans="5:7" x14ac:dyDescent="0.2">
      <c r="E183">
        <v>163</v>
      </c>
      <c r="F183" s="4">
        <v>2989016251.9541368</v>
      </c>
      <c r="G183">
        <f t="shared" si="2"/>
        <v>0</v>
      </c>
    </row>
    <row r="184" spans="5:7" x14ac:dyDescent="0.2">
      <c r="E184">
        <v>164</v>
      </c>
      <c r="F184" s="4">
        <v>3377975524.2630548</v>
      </c>
      <c r="G184">
        <f t="shared" si="2"/>
        <v>0</v>
      </c>
    </row>
    <row r="185" spans="5:7" x14ac:dyDescent="0.2">
      <c r="E185">
        <v>165</v>
      </c>
      <c r="F185" s="4">
        <v>2753066228.855536</v>
      </c>
      <c r="G185">
        <f t="shared" si="2"/>
        <v>0</v>
      </c>
    </row>
    <row r="186" spans="5:7" x14ac:dyDescent="0.2">
      <c r="E186">
        <v>166</v>
      </c>
      <c r="F186" s="4">
        <v>3144099719.0865784</v>
      </c>
      <c r="G186">
        <f t="shared" si="2"/>
        <v>0</v>
      </c>
    </row>
    <row r="187" spans="5:7" x14ac:dyDescent="0.2">
      <c r="E187">
        <v>167</v>
      </c>
      <c r="F187" s="4">
        <v>3018738614.2190547</v>
      </c>
      <c r="G187">
        <f t="shared" si="2"/>
        <v>0</v>
      </c>
    </row>
    <row r="188" spans="5:7" x14ac:dyDescent="0.2">
      <c r="E188">
        <v>168</v>
      </c>
      <c r="F188" s="4">
        <v>3131103289.3250475</v>
      </c>
      <c r="G188">
        <f t="shared" si="2"/>
        <v>0</v>
      </c>
    </row>
    <row r="189" spans="5:7" x14ac:dyDescent="0.2">
      <c r="E189">
        <v>169</v>
      </c>
      <c r="F189" s="4">
        <v>3081468402.0706725</v>
      </c>
      <c r="G189">
        <f t="shared" si="2"/>
        <v>0</v>
      </c>
    </row>
    <row r="190" spans="5:7" x14ac:dyDescent="0.2">
      <c r="E190">
        <v>170</v>
      </c>
      <c r="F190" s="4">
        <v>3319826821.2257013</v>
      </c>
      <c r="G190">
        <f t="shared" si="2"/>
        <v>0</v>
      </c>
    </row>
    <row r="191" spans="5:7" x14ac:dyDescent="0.2">
      <c r="E191">
        <v>171</v>
      </c>
      <c r="F191" s="4">
        <v>3067651731.1401291</v>
      </c>
      <c r="G191">
        <f t="shared" si="2"/>
        <v>0</v>
      </c>
    </row>
    <row r="192" spans="5:7" x14ac:dyDescent="0.2">
      <c r="E192">
        <v>172</v>
      </c>
      <c r="F192" s="4">
        <v>3418859421.4591255</v>
      </c>
      <c r="G192">
        <f t="shared" si="2"/>
        <v>0</v>
      </c>
    </row>
    <row r="193" spans="5:7" x14ac:dyDescent="0.2">
      <c r="E193">
        <v>173</v>
      </c>
      <c r="F193" s="4">
        <v>3104541903.0799341</v>
      </c>
      <c r="G193">
        <f t="shared" si="2"/>
        <v>0</v>
      </c>
    </row>
    <row r="194" spans="5:7" x14ac:dyDescent="0.2">
      <c r="E194">
        <v>174</v>
      </c>
      <c r="F194" s="4">
        <v>2761471106.4762387</v>
      </c>
      <c r="G194">
        <f t="shared" si="2"/>
        <v>0</v>
      </c>
    </row>
    <row r="195" spans="5:7" x14ac:dyDescent="0.2">
      <c r="E195">
        <v>175</v>
      </c>
      <c r="F195" s="4">
        <v>2847159721.0243235</v>
      </c>
      <c r="G195">
        <f t="shared" si="2"/>
        <v>0</v>
      </c>
    </row>
    <row r="196" spans="5:7" x14ac:dyDescent="0.2">
      <c r="E196">
        <v>176</v>
      </c>
      <c r="F196" s="4">
        <v>3110185287.8970022</v>
      </c>
      <c r="G196">
        <f t="shared" si="2"/>
        <v>0</v>
      </c>
    </row>
    <row r="197" spans="5:7" x14ac:dyDescent="0.2">
      <c r="E197">
        <v>177</v>
      </c>
      <c r="F197" s="4">
        <v>2960789397.6163278</v>
      </c>
      <c r="G197">
        <f t="shared" si="2"/>
        <v>0</v>
      </c>
    </row>
    <row r="198" spans="5:7" x14ac:dyDescent="0.2">
      <c r="E198">
        <v>178</v>
      </c>
      <c r="F198" s="4">
        <v>2914471798.6453552</v>
      </c>
      <c r="G198">
        <f t="shared" si="2"/>
        <v>0</v>
      </c>
    </row>
    <row r="199" spans="5:7" x14ac:dyDescent="0.2">
      <c r="E199">
        <v>179</v>
      </c>
      <c r="F199" s="4">
        <v>3157163339.8365335</v>
      </c>
      <c r="G199">
        <f t="shared" si="2"/>
        <v>0</v>
      </c>
    </row>
    <row r="200" spans="5:7" x14ac:dyDescent="0.2">
      <c r="E200">
        <v>180</v>
      </c>
      <c r="F200" s="4">
        <v>3211252077.1219969</v>
      </c>
      <c r="G200">
        <f t="shared" si="2"/>
        <v>0</v>
      </c>
    </row>
    <row r="201" spans="5:7" x14ac:dyDescent="0.2">
      <c r="E201">
        <v>181</v>
      </c>
      <c r="F201" s="4">
        <v>3112211820.2755675</v>
      </c>
      <c r="G201">
        <f t="shared" si="2"/>
        <v>0</v>
      </c>
    </row>
    <row r="202" spans="5:7" x14ac:dyDescent="0.2">
      <c r="E202">
        <v>182</v>
      </c>
      <c r="F202" s="4">
        <v>2919046066.3977137</v>
      </c>
      <c r="G202">
        <f t="shared" si="2"/>
        <v>0</v>
      </c>
    </row>
    <row r="203" spans="5:7" x14ac:dyDescent="0.2">
      <c r="E203">
        <v>183</v>
      </c>
      <c r="F203" s="4">
        <v>2847918363.2620893</v>
      </c>
      <c r="G203">
        <f t="shared" si="2"/>
        <v>0</v>
      </c>
    </row>
    <row r="204" spans="5:7" x14ac:dyDescent="0.2">
      <c r="E204">
        <v>184</v>
      </c>
      <c r="F204" s="4">
        <v>3317306599.3989468</v>
      </c>
      <c r="G204">
        <f t="shared" si="2"/>
        <v>0</v>
      </c>
    </row>
    <row r="205" spans="5:7" x14ac:dyDescent="0.2">
      <c r="E205">
        <v>185</v>
      </c>
      <c r="F205" s="4">
        <v>2900612996.6961007</v>
      </c>
      <c r="G205">
        <f t="shared" si="2"/>
        <v>0</v>
      </c>
    </row>
    <row r="206" spans="5:7" x14ac:dyDescent="0.2">
      <c r="E206">
        <v>186</v>
      </c>
      <c r="F206" s="4">
        <v>3351758550.1044703</v>
      </c>
      <c r="G206">
        <f t="shared" si="2"/>
        <v>0</v>
      </c>
    </row>
    <row r="207" spans="5:7" x14ac:dyDescent="0.2">
      <c r="E207">
        <v>187</v>
      </c>
      <c r="F207" s="4">
        <v>2854489788.0968618</v>
      </c>
      <c r="G207">
        <f t="shared" si="2"/>
        <v>0</v>
      </c>
    </row>
    <row r="208" spans="5:7" x14ac:dyDescent="0.2">
      <c r="E208">
        <v>188</v>
      </c>
      <c r="F208" s="4">
        <v>3011226267.6574016</v>
      </c>
      <c r="G208">
        <f t="shared" si="2"/>
        <v>0</v>
      </c>
    </row>
    <row r="209" spans="5:7" x14ac:dyDescent="0.2">
      <c r="E209">
        <v>189</v>
      </c>
      <c r="F209" s="4">
        <v>3462564506.6921263</v>
      </c>
      <c r="G209">
        <f t="shared" si="2"/>
        <v>0</v>
      </c>
    </row>
    <row r="210" spans="5:7" x14ac:dyDescent="0.2">
      <c r="E210">
        <v>190</v>
      </c>
      <c r="F210" s="4">
        <v>3023089003.4164219</v>
      </c>
      <c r="G210">
        <f t="shared" si="2"/>
        <v>0</v>
      </c>
    </row>
    <row r="211" spans="5:7" x14ac:dyDescent="0.2">
      <c r="E211">
        <v>191</v>
      </c>
      <c r="F211" s="4">
        <v>3219537685.9418907</v>
      </c>
      <c r="G211">
        <f t="shared" si="2"/>
        <v>0</v>
      </c>
    </row>
    <row r="212" spans="5:7" x14ac:dyDescent="0.2">
      <c r="E212">
        <v>192</v>
      </c>
      <c r="F212" s="4">
        <v>3395309395.7810807</v>
      </c>
      <c r="G212">
        <f t="shared" si="2"/>
        <v>0</v>
      </c>
    </row>
    <row r="213" spans="5:7" x14ac:dyDescent="0.2">
      <c r="E213">
        <v>193</v>
      </c>
      <c r="F213" s="4">
        <v>3057091880.6142392</v>
      </c>
      <c r="G213">
        <f t="shared" si="2"/>
        <v>0</v>
      </c>
    </row>
    <row r="214" spans="5:7" x14ac:dyDescent="0.2">
      <c r="E214">
        <v>194</v>
      </c>
      <c r="F214" s="4">
        <v>3310528978.6600533</v>
      </c>
      <c r="G214">
        <f t="shared" ref="G214:G277" si="3">IF(F214&lt;1700000000,1,0)</f>
        <v>0</v>
      </c>
    </row>
    <row r="215" spans="5:7" x14ac:dyDescent="0.2">
      <c r="E215">
        <v>195</v>
      </c>
      <c r="F215" s="4">
        <v>2965099108.0043187</v>
      </c>
      <c r="G215">
        <f t="shared" si="3"/>
        <v>0</v>
      </c>
    </row>
    <row r="216" spans="5:7" x14ac:dyDescent="0.2">
      <c r="E216">
        <v>196</v>
      </c>
      <c r="F216" s="4">
        <v>2895507281.980268</v>
      </c>
      <c r="G216">
        <f t="shared" si="3"/>
        <v>0</v>
      </c>
    </row>
    <row r="217" spans="5:7" x14ac:dyDescent="0.2">
      <c r="E217">
        <v>197</v>
      </c>
      <c r="F217" s="4">
        <v>3119833699.6826725</v>
      </c>
      <c r="G217">
        <f t="shared" si="3"/>
        <v>0</v>
      </c>
    </row>
    <row r="218" spans="5:7" x14ac:dyDescent="0.2">
      <c r="E218">
        <v>198</v>
      </c>
      <c r="F218" s="4">
        <v>3076631961.1587176</v>
      </c>
      <c r="G218">
        <f t="shared" si="3"/>
        <v>0</v>
      </c>
    </row>
    <row r="219" spans="5:7" x14ac:dyDescent="0.2">
      <c r="E219">
        <v>199</v>
      </c>
      <c r="F219" s="4">
        <v>2968990456.6625829</v>
      </c>
      <c r="G219">
        <f t="shared" si="3"/>
        <v>0</v>
      </c>
    </row>
    <row r="220" spans="5:7" x14ac:dyDescent="0.2">
      <c r="E220">
        <v>200</v>
      </c>
      <c r="F220" s="4">
        <v>3011376043.5131812</v>
      </c>
      <c r="G220">
        <f t="shared" si="3"/>
        <v>0</v>
      </c>
    </row>
    <row r="221" spans="5:7" x14ac:dyDescent="0.2">
      <c r="E221">
        <v>201</v>
      </c>
      <c r="F221" s="4">
        <v>3176844342.3062639</v>
      </c>
      <c r="G221">
        <f t="shared" si="3"/>
        <v>0</v>
      </c>
    </row>
    <row r="222" spans="5:7" x14ac:dyDescent="0.2">
      <c r="E222">
        <v>202</v>
      </c>
      <c r="F222" s="4">
        <v>2848151479.0507832</v>
      </c>
      <c r="G222">
        <f t="shared" si="3"/>
        <v>0</v>
      </c>
    </row>
    <row r="223" spans="5:7" x14ac:dyDescent="0.2">
      <c r="E223">
        <v>203</v>
      </c>
      <c r="F223" s="4">
        <v>3205123770.1231875</v>
      </c>
      <c r="G223">
        <f t="shared" si="3"/>
        <v>0</v>
      </c>
    </row>
    <row r="224" spans="5:7" x14ac:dyDescent="0.2">
      <c r="E224">
        <v>204</v>
      </c>
      <c r="F224" s="4">
        <v>3009365289.0444598</v>
      </c>
      <c r="G224">
        <f t="shared" si="3"/>
        <v>0</v>
      </c>
    </row>
    <row r="225" spans="5:7" x14ac:dyDescent="0.2">
      <c r="E225">
        <v>205</v>
      </c>
      <c r="F225" s="4">
        <v>3323934823.2618961</v>
      </c>
      <c r="G225">
        <f t="shared" si="3"/>
        <v>0</v>
      </c>
    </row>
    <row r="226" spans="5:7" x14ac:dyDescent="0.2">
      <c r="E226">
        <v>206</v>
      </c>
      <c r="F226" s="4">
        <v>3043362487.859705</v>
      </c>
      <c r="G226">
        <f t="shared" si="3"/>
        <v>0</v>
      </c>
    </row>
    <row r="227" spans="5:7" x14ac:dyDescent="0.2">
      <c r="E227">
        <v>207</v>
      </c>
      <c r="F227" s="4">
        <v>3120214711.1842055</v>
      </c>
      <c r="G227">
        <f t="shared" si="3"/>
        <v>0</v>
      </c>
    </row>
    <row r="228" spans="5:7" x14ac:dyDescent="0.2">
      <c r="E228">
        <v>208</v>
      </c>
      <c r="F228" s="4">
        <v>3072534731.9379325</v>
      </c>
      <c r="G228">
        <f t="shared" si="3"/>
        <v>0</v>
      </c>
    </row>
    <row r="229" spans="5:7" x14ac:dyDescent="0.2">
      <c r="E229">
        <v>209</v>
      </c>
      <c r="F229" s="4">
        <v>3231926521.9083591</v>
      </c>
      <c r="G229">
        <f t="shared" si="3"/>
        <v>0</v>
      </c>
    </row>
    <row r="230" spans="5:7" x14ac:dyDescent="0.2">
      <c r="E230">
        <v>210</v>
      </c>
      <c r="F230" s="4">
        <v>3183506306.6784916</v>
      </c>
      <c r="G230">
        <f t="shared" si="3"/>
        <v>0</v>
      </c>
    </row>
    <row r="231" spans="5:7" x14ac:dyDescent="0.2">
      <c r="E231">
        <v>211</v>
      </c>
      <c r="F231" s="4">
        <v>3271883632.2718477</v>
      </c>
      <c r="G231">
        <f t="shared" si="3"/>
        <v>0</v>
      </c>
    </row>
    <row r="232" spans="5:7" x14ac:dyDescent="0.2">
      <c r="E232">
        <v>212</v>
      </c>
      <c r="F232" s="4">
        <v>3161645667.6741695</v>
      </c>
      <c r="G232">
        <f t="shared" si="3"/>
        <v>0</v>
      </c>
    </row>
    <row r="233" spans="5:7" x14ac:dyDescent="0.2">
      <c r="E233">
        <v>213</v>
      </c>
      <c r="F233" s="4">
        <v>2888372334.5838957</v>
      </c>
      <c r="G233">
        <f t="shared" si="3"/>
        <v>0</v>
      </c>
    </row>
    <row r="234" spans="5:7" x14ac:dyDescent="0.2">
      <c r="E234">
        <v>214</v>
      </c>
      <c r="F234" s="4">
        <v>3064164865.9482331</v>
      </c>
      <c r="G234">
        <f t="shared" si="3"/>
        <v>0</v>
      </c>
    </row>
    <row r="235" spans="5:7" x14ac:dyDescent="0.2">
      <c r="E235">
        <v>215</v>
      </c>
      <c r="F235" s="4">
        <v>3083507059.9754167</v>
      </c>
      <c r="G235">
        <f t="shared" si="3"/>
        <v>0</v>
      </c>
    </row>
    <row r="236" spans="5:7" x14ac:dyDescent="0.2">
      <c r="E236">
        <v>216</v>
      </c>
      <c r="F236" s="4">
        <v>2941227316.2127757</v>
      </c>
      <c r="G236">
        <f t="shared" si="3"/>
        <v>0</v>
      </c>
    </row>
    <row r="237" spans="5:7" x14ac:dyDescent="0.2">
      <c r="E237">
        <v>217</v>
      </c>
      <c r="F237" s="4">
        <v>3665670321.9983411</v>
      </c>
      <c r="G237">
        <f t="shared" si="3"/>
        <v>0</v>
      </c>
    </row>
    <row r="238" spans="5:7" x14ac:dyDescent="0.2">
      <c r="E238">
        <v>218</v>
      </c>
      <c r="F238" s="4">
        <v>2872821765.0634942</v>
      </c>
      <c r="G238">
        <f t="shared" si="3"/>
        <v>0</v>
      </c>
    </row>
    <row r="239" spans="5:7" x14ac:dyDescent="0.2">
      <c r="E239">
        <v>219</v>
      </c>
      <c r="F239" s="4">
        <v>2918042396.5891037</v>
      </c>
      <c r="G239">
        <f t="shared" si="3"/>
        <v>0</v>
      </c>
    </row>
    <row r="240" spans="5:7" x14ac:dyDescent="0.2">
      <c r="E240">
        <v>220</v>
      </c>
      <c r="F240" s="4">
        <v>3131171141.0233088</v>
      </c>
      <c r="G240">
        <f t="shared" si="3"/>
        <v>0</v>
      </c>
    </row>
    <row r="241" spans="5:7" x14ac:dyDescent="0.2">
      <c r="E241">
        <v>221</v>
      </c>
      <c r="F241" s="4">
        <v>3208286899.6515841</v>
      </c>
      <c r="G241">
        <f t="shared" si="3"/>
        <v>0</v>
      </c>
    </row>
    <row r="242" spans="5:7" x14ac:dyDescent="0.2">
      <c r="E242">
        <v>222</v>
      </c>
      <c r="F242" s="4">
        <v>2855514751.0765104</v>
      </c>
      <c r="G242">
        <f t="shared" si="3"/>
        <v>0</v>
      </c>
    </row>
    <row r="243" spans="5:7" x14ac:dyDescent="0.2">
      <c r="E243">
        <v>223</v>
      </c>
      <c r="F243" s="4">
        <v>2903162151.6276078</v>
      </c>
      <c r="G243">
        <f t="shared" si="3"/>
        <v>0</v>
      </c>
    </row>
    <row r="244" spans="5:7" x14ac:dyDescent="0.2">
      <c r="E244">
        <v>224</v>
      </c>
      <c r="F244" s="4">
        <v>2958593276.0750623</v>
      </c>
      <c r="G244">
        <f t="shared" si="3"/>
        <v>0</v>
      </c>
    </row>
    <row r="245" spans="5:7" x14ac:dyDescent="0.2">
      <c r="E245">
        <v>225</v>
      </c>
      <c r="F245" s="4">
        <v>2841556502.6647849</v>
      </c>
      <c r="G245">
        <f t="shared" si="3"/>
        <v>0</v>
      </c>
    </row>
    <row r="246" spans="5:7" x14ac:dyDescent="0.2">
      <c r="E246">
        <v>226</v>
      </c>
      <c r="F246" s="4">
        <v>3420138926.5017552</v>
      </c>
      <c r="G246">
        <f t="shared" si="3"/>
        <v>0</v>
      </c>
    </row>
    <row r="247" spans="5:7" x14ac:dyDescent="0.2">
      <c r="E247">
        <v>227</v>
      </c>
      <c r="F247" s="4">
        <v>3203879895.4789667</v>
      </c>
      <c r="G247">
        <f t="shared" si="3"/>
        <v>0</v>
      </c>
    </row>
    <row r="248" spans="5:7" x14ac:dyDescent="0.2">
      <c r="E248">
        <v>228</v>
      </c>
      <c r="F248" s="4">
        <v>3127378900.1774216</v>
      </c>
      <c r="G248">
        <f t="shared" si="3"/>
        <v>0</v>
      </c>
    </row>
    <row r="249" spans="5:7" x14ac:dyDescent="0.2">
      <c r="E249">
        <v>229</v>
      </c>
      <c r="F249" s="4">
        <v>3182640780.6056705</v>
      </c>
      <c r="G249">
        <f t="shared" si="3"/>
        <v>0</v>
      </c>
    </row>
    <row r="250" spans="5:7" x14ac:dyDescent="0.2">
      <c r="E250">
        <v>230</v>
      </c>
      <c r="F250" s="4">
        <v>3179885315.1531825</v>
      </c>
      <c r="G250">
        <f t="shared" si="3"/>
        <v>0</v>
      </c>
    </row>
    <row r="251" spans="5:7" x14ac:dyDescent="0.2">
      <c r="E251">
        <v>231</v>
      </c>
      <c r="F251" s="4">
        <v>3023466146.9961982</v>
      </c>
      <c r="G251">
        <f t="shared" si="3"/>
        <v>0</v>
      </c>
    </row>
    <row r="252" spans="5:7" x14ac:dyDescent="0.2">
      <c r="E252">
        <v>232</v>
      </c>
      <c r="F252" s="4">
        <v>2965417143.6327868</v>
      </c>
      <c r="G252">
        <f t="shared" si="3"/>
        <v>0</v>
      </c>
    </row>
    <row r="253" spans="5:7" x14ac:dyDescent="0.2">
      <c r="E253">
        <v>233</v>
      </c>
      <c r="F253" s="4">
        <v>3363700348.2027473</v>
      </c>
      <c r="G253">
        <f t="shared" si="3"/>
        <v>0</v>
      </c>
    </row>
    <row r="254" spans="5:7" x14ac:dyDescent="0.2">
      <c r="E254">
        <v>234</v>
      </c>
      <c r="F254" s="4">
        <v>3155606815.4229889</v>
      </c>
      <c r="G254">
        <f t="shared" si="3"/>
        <v>0</v>
      </c>
    </row>
    <row r="255" spans="5:7" x14ac:dyDescent="0.2">
      <c r="E255">
        <v>235</v>
      </c>
      <c r="F255" s="4">
        <v>3608935821.6347046</v>
      </c>
      <c r="G255">
        <f t="shared" si="3"/>
        <v>0</v>
      </c>
    </row>
    <row r="256" spans="5:7" x14ac:dyDescent="0.2">
      <c r="E256">
        <v>236</v>
      </c>
      <c r="F256" s="4">
        <v>3205884423.3588843</v>
      </c>
      <c r="G256">
        <f t="shared" si="3"/>
        <v>0</v>
      </c>
    </row>
    <row r="257" spans="5:7" x14ac:dyDescent="0.2">
      <c r="E257">
        <v>237</v>
      </c>
      <c r="F257" s="4">
        <v>2754029831.0693598</v>
      </c>
      <c r="G257">
        <f t="shared" si="3"/>
        <v>0</v>
      </c>
    </row>
    <row r="258" spans="5:7" x14ac:dyDescent="0.2">
      <c r="E258">
        <v>238</v>
      </c>
      <c r="F258" s="4">
        <v>2687993059.7884812</v>
      </c>
      <c r="G258">
        <f t="shared" si="3"/>
        <v>0</v>
      </c>
    </row>
    <row r="259" spans="5:7" x14ac:dyDescent="0.2">
      <c r="E259">
        <v>239</v>
      </c>
      <c r="F259" s="4">
        <v>2808182904.2984967</v>
      </c>
      <c r="G259">
        <f t="shared" si="3"/>
        <v>0</v>
      </c>
    </row>
    <row r="260" spans="5:7" x14ac:dyDescent="0.2">
      <c r="E260">
        <v>240</v>
      </c>
      <c r="F260" s="4">
        <v>3024308256.7464719</v>
      </c>
      <c r="G260">
        <f t="shared" si="3"/>
        <v>0</v>
      </c>
    </row>
    <row r="261" spans="5:7" x14ac:dyDescent="0.2">
      <c r="E261">
        <v>241</v>
      </c>
      <c r="F261" s="4">
        <v>3183280541.0177894</v>
      </c>
      <c r="G261">
        <f t="shared" si="3"/>
        <v>0</v>
      </c>
    </row>
    <row r="262" spans="5:7" x14ac:dyDescent="0.2">
      <c r="E262">
        <v>242</v>
      </c>
      <c r="F262" s="4">
        <v>3233333650.5157423</v>
      </c>
      <c r="G262">
        <f t="shared" si="3"/>
        <v>0</v>
      </c>
    </row>
    <row r="263" spans="5:7" x14ac:dyDescent="0.2">
      <c r="E263">
        <v>243</v>
      </c>
      <c r="F263" s="4">
        <v>3294862453.1643033</v>
      </c>
      <c r="G263">
        <f t="shared" si="3"/>
        <v>0</v>
      </c>
    </row>
    <row r="264" spans="5:7" x14ac:dyDescent="0.2">
      <c r="E264">
        <v>244</v>
      </c>
      <c r="F264" s="4">
        <v>3194939016.5353265</v>
      </c>
      <c r="G264">
        <f t="shared" si="3"/>
        <v>0</v>
      </c>
    </row>
    <row r="265" spans="5:7" x14ac:dyDescent="0.2">
      <c r="E265">
        <v>245</v>
      </c>
      <c r="F265" s="4">
        <v>3384464121.5802732</v>
      </c>
      <c r="G265">
        <f t="shared" si="3"/>
        <v>0</v>
      </c>
    </row>
    <row r="266" spans="5:7" x14ac:dyDescent="0.2">
      <c r="E266">
        <v>246</v>
      </c>
      <c r="F266" s="4">
        <v>3065855993.4908352</v>
      </c>
      <c r="G266">
        <f t="shared" si="3"/>
        <v>0</v>
      </c>
    </row>
    <row r="267" spans="5:7" x14ac:dyDescent="0.2">
      <c r="E267">
        <v>247</v>
      </c>
      <c r="F267" s="4">
        <v>3033170527.9712772</v>
      </c>
      <c r="G267">
        <f t="shared" si="3"/>
        <v>0</v>
      </c>
    </row>
    <row r="268" spans="5:7" x14ac:dyDescent="0.2">
      <c r="E268">
        <v>248</v>
      </c>
      <c r="F268" s="4">
        <v>3252277109.7630415</v>
      </c>
      <c r="G268">
        <f t="shared" si="3"/>
        <v>0</v>
      </c>
    </row>
    <row r="269" spans="5:7" x14ac:dyDescent="0.2">
      <c r="E269">
        <v>249</v>
      </c>
      <c r="F269" s="4">
        <v>2891651263.5729928</v>
      </c>
      <c r="G269">
        <f t="shared" si="3"/>
        <v>0</v>
      </c>
    </row>
    <row r="270" spans="5:7" x14ac:dyDescent="0.2">
      <c r="E270">
        <v>250</v>
      </c>
      <c r="F270" s="4">
        <v>3369250574.7937675</v>
      </c>
      <c r="G270">
        <f t="shared" si="3"/>
        <v>0</v>
      </c>
    </row>
    <row r="271" spans="5:7" x14ac:dyDescent="0.2">
      <c r="E271">
        <v>251</v>
      </c>
      <c r="F271" s="4">
        <v>2691864163.8948965</v>
      </c>
      <c r="G271">
        <f t="shared" si="3"/>
        <v>0</v>
      </c>
    </row>
    <row r="272" spans="5:7" x14ac:dyDescent="0.2">
      <c r="E272">
        <v>252</v>
      </c>
      <c r="F272" s="4">
        <v>2977812526.4900141</v>
      </c>
      <c r="G272">
        <f t="shared" si="3"/>
        <v>0</v>
      </c>
    </row>
    <row r="273" spans="5:7" x14ac:dyDescent="0.2">
      <c r="E273">
        <v>253</v>
      </c>
      <c r="F273" s="4">
        <v>3248689650.6208572</v>
      </c>
      <c r="G273">
        <f t="shared" si="3"/>
        <v>0</v>
      </c>
    </row>
    <row r="274" spans="5:7" x14ac:dyDescent="0.2">
      <c r="E274">
        <v>254</v>
      </c>
      <c r="F274" s="4">
        <v>3346509807.5843172</v>
      </c>
      <c r="G274">
        <f t="shared" si="3"/>
        <v>0</v>
      </c>
    </row>
    <row r="275" spans="5:7" x14ac:dyDescent="0.2">
      <c r="E275">
        <v>255</v>
      </c>
      <c r="F275" s="4">
        <v>3539689692.5444126</v>
      </c>
      <c r="G275">
        <f t="shared" si="3"/>
        <v>0</v>
      </c>
    </row>
    <row r="276" spans="5:7" x14ac:dyDescent="0.2">
      <c r="E276">
        <v>256</v>
      </c>
      <c r="F276" s="4">
        <v>2821675500.9397197</v>
      </c>
      <c r="G276">
        <f t="shared" si="3"/>
        <v>0</v>
      </c>
    </row>
    <row r="277" spans="5:7" x14ac:dyDescent="0.2">
      <c r="E277">
        <v>257</v>
      </c>
      <c r="F277" s="4">
        <v>3340819975.5150337</v>
      </c>
      <c r="G277">
        <f t="shared" si="3"/>
        <v>0</v>
      </c>
    </row>
    <row r="278" spans="5:7" x14ac:dyDescent="0.2">
      <c r="E278">
        <v>258</v>
      </c>
      <c r="F278" s="4">
        <v>2744023405.8797698</v>
      </c>
      <c r="G278">
        <f t="shared" ref="G278:G341" si="4">IF(F278&lt;1700000000,1,0)</f>
        <v>0</v>
      </c>
    </row>
    <row r="279" spans="5:7" x14ac:dyDescent="0.2">
      <c r="E279">
        <v>259</v>
      </c>
      <c r="F279" s="4">
        <v>3000658809.2792935</v>
      </c>
      <c r="G279">
        <f t="shared" si="4"/>
        <v>0</v>
      </c>
    </row>
    <row r="280" spans="5:7" x14ac:dyDescent="0.2">
      <c r="E280">
        <v>260</v>
      </c>
      <c r="F280" s="4">
        <v>3247544128.9738274</v>
      </c>
      <c r="G280">
        <f t="shared" si="4"/>
        <v>0</v>
      </c>
    </row>
    <row r="281" spans="5:7" x14ac:dyDescent="0.2">
      <c r="E281">
        <v>261</v>
      </c>
      <c r="F281" s="4">
        <v>3116389537.7155337</v>
      </c>
      <c r="G281">
        <f t="shared" si="4"/>
        <v>0</v>
      </c>
    </row>
    <row r="282" spans="5:7" x14ac:dyDescent="0.2">
      <c r="E282">
        <v>262</v>
      </c>
      <c r="F282" s="4">
        <v>3201832061.4583893</v>
      </c>
      <c r="G282">
        <f t="shared" si="4"/>
        <v>0</v>
      </c>
    </row>
    <row r="283" spans="5:7" x14ac:dyDescent="0.2">
      <c r="E283">
        <v>263</v>
      </c>
      <c r="F283" s="4">
        <v>3006895463.6029792</v>
      </c>
      <c r="G283">
        <f t="shared" si="4"/>
        <v>0</v>
      </c>
    </row>
    <row r="284" spans="5:7" x14ac:dyDescent="0.2">
      <c r="E284">
        <v>264</v>
      </c>
      <c r="F284" s="4">
        <v>2961529873.9786534</v>
      </c>
      <c r="G284">
        <f t="shared" si="4"/>
        <v>0</v>
      </c>
    </row>
    <row r="285" spans="5:7" x14ac:dyDescent="0.2">
      <c r="E285">
        <v>265</v>
      </c>
      <c r="F285" s="4">
        <v>2499811439.903666</v>
      </c>
      <c r="G285">
        <f t="shared" si="4"/>
        <v>0</v>
      </c>
    </row>
    <row r="286" spans="5:7" x14ac:dyDescent="0.2">
      <c r="E286">
        <v>266</v>
      </c>
      <c r="F286" s="4">
        <v>3162636466.9615288</v>
      </c>
      <c r="G286">
        <f t="shared" si="4"/>
        <v>0</v>
      </c>
    </row>
    <row r="287" spans="5:7" x14ac:dyDescent="0.2">
      <c r="E287">
        <v>267</v>
      </c>
      <c r="F287" s="4">
        <v>3384977289.2005911</v>
      </c>
      <c r="G287">
        <f t="shared" si="4"/>
        <v>0</v>
      </c>
    </row>
    <row r="288" spans="5:7" x14ac:dyDescent="0.2">
      <c r="E288">
        <v>268</v>
      </c>
      <c r="F288" s="4">
        <v>3084438389.6325469</v>
      </c>
      <c r="G288">
        <f t="shared" si="4"/>
        <v>0</v>
      </c>
    </row>
    <row r="289" spans="5:7" x14ac:dyDescent="0.2">
      <c r="E289">
        <v>269</v>
      </c>
      <c r="F289" s="4">
        <v>2590283037.6285806</v>
      </c>
      <c r="G289">
        <f t="shared" si="4"/>
        <v>0</v>
      </c>
    </row>
    <row r="290" spans="5:7" x14ac:dyDescent="0.2">
      <c r="E290">
        <v>270</v>
      </c>
      <c r="F290" s="4">
        <v>3348954419.9201999</v>
      </c>
      <c r="G290">
        <f t="shared" si="4"/>
        <v>0</v>
      </c>
    </row>
    <row r="291" spans="5:7" x14ac:dyDescent="0.2">
      <c r="E291">
        <v>271</v>
      </c>
      <c r="F291" s="4">
        <v>3116180164.1816368</v>
      </c>
      <c r="G291">
        <f t="shared" si="4"/>
        <v>0</v>
      </c>
    </row>
    <row r="292" spans="5:7" x14ac:dyDescent="0.2">
      <c r="E292">
        <v>272</v>
      </c>
      <c r="F292" s="4">
        <v>2862807503.7922068</v>
      </c>
      <c r="G292">
        <f t="shared" si="4"/>
        <v>0</v>
      </c>
    </row>
    <row r="293" spans="5:7" x14ac:dyDescent="0.2">
      <c r="E293">
        <v>273</v>
      </c>
      <c r="F293" s="4">
        <v>3038577581.1097565</v>
      </c>
      <c r="G293">
        <f t="shared" si="4"/>
        <v>0</v>
      </c>
    </row>
    <row r="294" spans="5:7" x14ac:dyDescent="0.2">
      <c r="E294">
        <v>274</v>
      </c>
      <c r="F294" s="4">
        <v>3161749589.9862223</v>
      </c>
      <c r="G294">
        <f t="shared" si="4"/>
        <v>0</v>
      </c>
    </row>
    <row r="295" spans="5:7" x14ac:dyDescent="0.2">
      <c r="E295">
        <v>275</v>
      </c>
      <c r="F295" s="4">
        <v>3304886013.347611</v>
      </c>
      <c r="G295">
        <f t="shared" si="4"/>
        <v>0</v>
      </c>
    </row>
    <row r="296" spans="5:7" x14ac:dyDescent="0.2">
      <c r="E296">
        <v>276</v>
      </c>
      <c r="F296" s="4">
        <v>3386872801.9170814</v>
      </c>
      <c r="G296">
        <f t="shared" si="4"/>
        <v>0</v>
      </c>
    </row>
    <row r="297" spans="5:7" x14ac:dyDescent="0.2">
      <c r="E297">
        <v>277</v>
      </c>
      <c r="F297" s="4">
        <v>3155289972.6338048</v>
      </c>
      <c r="G297">
        <f t="shared" si="4"/>
        <v>0</v>
      </c>
    </row>
    <row r="298" spans="5:7" x14ac:dyDescent="0.2">
      <c r="E298">
        <v>278</v>
      </c>
      <c r="F298" s="4">
        <v>2783490039.3635964</v>
      </c>
      <c r="G298">
        <f t="shared" si="4"/>
        <v>0</v>
      </c>
    </row>
    <row r="299" spans="5:7" x14ac:dyDescent="0.2">
      <c r="E299">
        <v>279</v>
      </c>
      <c r="F299" s="4">
        <v>3175877665.8006124</v>
      </c>
      <c r="G299">
        <f t="shared" si="4"/>
        <v>0</v>
      </c>
    </row>
    <row r="300" spans="5:7" x14ac:dyDescent="0.2">
      <c r="E300">
        <v>280</v>
      </c>
      <c r="F300" s="4">
        <v>3365014380.6023488</v>
      </c>
      <c r="G300">
        <f t="shared" si="4"/>
        <v>0</v>
      </c>
    </row>
    <row r="301" spans="5:7" x14ac:dyDescent="0.2">
      <c r="E301">
        <v>281</v>
      </c>
      <c r="F301" s="4">
        <v>3399482837.9622402</v>
      </c>
      <c r="G301">
        <f t="shared" si="4"/>
        <v>0</v>
      </c>
    </row>
    <row r="302" spans="5:7" x14ac:dyDescent="0.2">
      <c r="E302">
        <v>282</v>
      </c>
      <c r="F302" s="4">
        <v>3054301597.5683203</v>
      </c>
      <c r="G302">
        <f t="shared" si="4"/>
        <v>0</v>
      </c>
    </row>
    <row r="303" spans="5:7" x14ac:dyDescent="0.2">
      <c r="E303">
        <v>283</v>
      </c>
      <c r="F303" s="4">
        <v>3312591673.2010803</v>
      </c>
      <c r="G303">
        <f t="shared" si="4"/>
        <v>0</v>
      </c>
    </row>
    <row r="304" spans="5:7" x14ac:dyDescent="0.2">
      <c r="E304">
        <v>284</v>
      </c>
      <c r="F304" s="4">
        <v>3099799452.4912434</v>
      </c>
      <c r="G304">
        <f t="shared" si="4"/>
        <v>0</v>
      </c>
    </row>
    <row r="305" spans="5:7" x14ac:dyDescent="0.2">
      <c r="E305">
        <v>285</v>
      </c>
      <c r="F305" s="4">
        <v>3244150432.753706</v>
      </c>
      <c r="G305">
        <f t="shared" si="4"/>
        <v>0</v>
      </c>
    </row>
    <row r="306" spans="5:7" x14ac:dyDescent="0.2">
      <c r="E306">
        <v>286</v>
      </c>
      <c r="F306" s="4">
        <v>2898538873.4799252</v>
      </c>
      <c r="G306">
        <f t="shared" si="4"/>
        <v>0</v>
      </c>
    </row>
    <row r="307" spans="5:7" x14ac:dyDescent="0.2">
      <c r="E307">
        <v>287</v>
      </c>
      <c r="F307" s="4">
        <v>3049439863.2663851</v>
      </c>
      <c r="G307">
        <f t="shared" si="4"/>
        <v>0</v>
      </c>
    </row>
    <row r="308" spans="5:7" x14ac:dyDescent="0.2">
      <c r="E308">
        <v>288</v>
      </c>
      <c r="F308" s="4">
        <v>3053997632.7764001</v>
      </c>
      <c r="G308">
        <f t="shared" si="4"/>
        <v>0</v>
      </c>
    </row>
    <row r="309" spans="5:7" x14ac:dyDescent="0.2">
      <c r="E309">
        <v>289</v>
      </c>
      <c r="F309" s="4">
        <v>3338962409.5020952</v>
      </c>
      <c r="G309">
        <f t="shared" si="4"/>
        <v>0</v>
      </c>
    </row>
    <row r="310" spans="5:7" x14ac:dyDescent="0.2">
      <c r="E310">
        <v>290</v>
      </c>
      <c r="F310" s="4">
        <v>2880341597.206347</v>
      </c>
      <c r="G310">
        <f t="shared" si="4"/>
        <v>0</v>
      </c>
    </row>
    <row r="311" spans="5:7" x14ac:dyDescent="0.2">
      <c r="E311">
        <v>291</v>
      </c>
      <c r="F311" s="4">
        <v>2471169083.529428</v>
      </c>
      <c r="G311">
        <f t="shared" si="4"/>
        <v>0</v>
      </c>
    </row>
    <row r="312" spans="5:7" x14ac:dyDescent="0.2">
      <c r="E312">
        <v>292</v>
      </c>
      <c r="F312" s="4">
        <v>2813037828.2816229</v>
      </c>
      <c r="G312">
        <f t="shared" si="4"/>
        <v>0</v>
      </c>
    </row>
    <row r="313" spans="5:7" x14ac:dyDescent="0.2">
      <c r="E313">
        <v>293</v>
      </c>
      <c r="F313" s="4">
        <v>2870442484.7625995</v>
      </c>
      <c r="G313">
        <f t="shared" si="4"/>
        <v>0</v>
      </c>
    </row>
    <row r="314" spans="5:7" x14ac:dyDescent="0.2">
      <c r="E314">
        <v>294</v>
      </c>
      <c r="F314" s="4">
        <v>3058111693.2717562</v>
      </c>
      <c r="G314">
        <f t="shared" si="4"/>
        <v>0</v>
      </c>
    </row>
    <row r="315" spans="5:7" x14ac:dyDescent="0.2">
      <c r="E315">
        <v>295</v>
      </c>
      <c r="F315" s="4">
        <v>3106353417.2507772</v>
      </c>
      <c r="G315">
        <f t="shared" si="4"/>
        <v>0</v>
      </c>
    </row>
    <row r="316" spans="5:7" x14ac:dyDescent="0.2">
      <c r="E316">
        <v>296</v>
      </c>
      <c r="F316" s="4">
        <v>3106715142.4291182</v>
      </c>
      <c r="G316">
        <f t="shared" si="4"/>
        <v>0</v>
      </c>
    </row>
    <row r="317" spans="5:7" x14ac:dyDescent="0.2">
      <c r="E317">
        <v>297</v>
      </c>
      <c r="F317" s="4">
        <v>2845620678.591764</v>
      </c>
      <c r="G317">
        <f t="shared" si="4"/>
        <v>0</v>
      </c>
    </row>
    <row r="318" spans="5:7" x14ac:dyDescent="0.2">
      <c r="E318">
        <v>298</v>
      </c>
      <c r="F318" s="4">
        <v>2645124185.2793279</v>
      </c>
      <c r="G318">
        <f t="shared" si="4"/>
        <v>0</v>
      </c>
    </row>
    <row r="319" spans="5:7" x14ac:dyDescent="0.2">
      <c r="E319">
        <v>299</v>
      </c>
      <c r="F319" s="4">
        <v>3317883594.9337473</v>
      </c>
      <c r="G319">
        <f t="shared" si="4"/>
        <v>0</v>
      </c>
    </row>
    <row r="320" spans="5:7" x14ac:dyDescent="0.2">
      <c r="E320">
        <v>300</v>
      </c>
      <c r="F320" s="4">
        <v>3211792914.5836716</v>
      </c>
      <c r="G320">
        <f t="shared" si="4"/>
        <v>0</v>
      </c>
    </row>
    <row r="321" spans="5:7" x14ac:dyDescent="0.2">
      <c r="E321">
        <v>301</v>
      </c>
      <c r="F321" s="4">
        <v>3449046159.2161589</v>
      </c>
      <c r="G321">
        <f t="shared" si="4"/>
        <v>0</v>
      </c>
    </row>
    <row r="322" spans="5:7" x14ac:dyDescent="0.2">
      <c r="E322">
        <v>302</v>
      </c>
      <c r="F322" s="4">
        <v>2877988798.0360889</v>
      </c>
      <c r="G322">
        <f t="shared" si="4"/>
        <v>0</v>
      </c>
    </row>
    <row r="323" spans="5:7" x14ac:dyDescent="0.2">
      <c r="E323">
        <v>303</v>
      </c>
      <c r="F323" s="4">
        <v>3342715176.0755553</v>
      </c>
      <c r="G323">
        <f t="shared" si="4"/>
        <v>0</v>
      </c>
    </row>
    <row r="324" spans="5:7" x14ac:dyDescent="0.2">
      <c r="E324">
        <v>304</v>
      </c>
      <c r="F324" s="4">
        <v>3338932787.0872078</v>
      </c>
      <c r="G324">
        <f t="shared" si="4"/>
        <v>0</v>
      </c>
    </row>
    <row r="325" spans="5:7" x14ac:dyDescent="0.2">
      <c r="E325">
        <v>305</v>
      </c>
      <c r="F325" s="4">
        <v>3400342699.0260229</v>
      </c>
      <c r="G325">
        <f t="shared" si="4"/>
        <v>0</v>
      </c>
    </row>
    <row r="326" spans="5:7" x14ac:dyDescent="0.2">
      <c r="E326">
        <v>306</v>
      </c>
      <c r="F326" s="4">
        <v>2990230114.7024627</v>
      </c>
      <c r="G326">
        <f t="shared" si="4"/>
        <v>0</v>
      </c>
    </row>
    <row r="327" spans="5:7" x14ac:dyDescent="0.2">
      <c r="E327">
        <v>307</v>
      </c>
      <c r="F327" s="4">
        <v>3129614315.2287221</v>
      </c>
      <c r="G327">
        <f t="shared" si="4"/>
        <v>0</v>
      </c>
    </row>
    <row r="328" spans="5:7" x14ac:dyDescent="0.2">
      <c r="E328">
        <v>308</v>
      </c>
      <c r="F328" s="4">
        <v>3119409057.2824349</v>
      </c>
      <c r="G328">
        <f t="shared" si="4"/>
        <v>0</v>
      </c>
    </row>
    <row r="329" spans="5:7" x14ac:dyDescent="0.2">
      <c r="E329">
        <v>309</v>
      </c>
      <c r="F329" s="4">
        <v>3215844816.8960562</v>
      </c>
      <c r="G329">
        <f t="shared" si="4"/>
        <v>0</v>
      </c>
    </row>
    <row r="330" spans="5:7" x14ac:dyDescent="0.2">
      <c r="E330">
        <v>310</v>
      </c>
      <c r="F330" s="4">
        <v>2952155115.4464064</v>
      </c>
      <c r="G330">
        <f t="shared" si="4"/>
        <v>0</v>
      </c>
    </row>
    <row r="331" spans="5:7" x14ac:dyDescent="0.2">
      <c r="E331">
        <v>311</v>
      </c>
      <c r="F331" s="4">
        <v>3000836696.664855</v>
      </c>
      <c r="G331">
        <f t="shared" si="4"/>
        <v>0</v>
      </c>
    </row>
    <row r="332" spans="5:7" x14ac:dyDescent="0.2">
      <c r="E332">
        <v>312</v>
      </c>
      <c r="F332" s="4">
        <v>2955980886.233314</v>
      </c>
      <c r="G332">
        <f t="shared" si="4"/>
        <v>0</v>
      </c>
    </row>
    <row r="333" spans="5:7" x14ac:dyDescent="0.2">
      <c r="E333">
        <v>313</v>
      </c>
      <c r="F333" s="4">
        <v>3302032795.3662982</v>
      </c>
      <c r="G333">
        <f t="shared" si="4"/>
        <v>0</v>
      </c>
    </row>
    <row r="334" spans="5:7" x14ac:dyDescent="0.2">
      <c r="E334">
        <v>314</v>
      </c>
      <c r="F334" s="4">
        <v>3211645398.9707837</v>
      </c>
      <c r="G334">
        <f t="shared" si="4"/>
        <v>0</v>
      </c>
    </row>
    <row r="335" spans="5:7" x14ac:dyDescent="0.2">
      <c r="E335">
        <v>315</v>
      </c>
      <c r="F335" s="4">
        <v>3127000192.0334592</v>
      </c>
      <c r="G335">
        <f t="shared" si="4"/>
        <v>0</v>
      </c>
    </row>
    <row r="336" spans="5:7" x14ac:dyDescent="0.2">
      <c r="E336">
        <v>316</v>
      </c>
      <c r="F336" s="4">
        <v>3026431022.9215202</v>
      </c>
      <c r="G336">
        <f t="shared" si="4"/>
        <v>0</v>
      </c>
    </row>
    <row r="337" spans="5:7" x14ac:dyDescent="0.2">
      <c r="E337">
        <v>317</v>
      </c>
      <c r="F337" s="4">
        <v>3130196036.2338696</v>
      </c>
      <c r="G337">
        <f t="shared" si="4"/>
        <v>0</v>
      </c>
    </row>
    <row r="338" spans="5:7" x14ac:dyDescent="0.2">
      <c r="E338">
        <v>318</v>
      </c>
      <c r="F338" s="4">
        <v>3322508740.9597549</v>
      </c>
      <c r="G338">
        <f t="shared" si="4"/>
        <v>0</v>
      </c>
    </row>
    <row r="339" spans="5:7" x14ac:dyDescent="0.2">
      <c r="E339">
        <v>319</v>
      </c>
      <c r="F339" s="4">
        <v>2649419664.5521946</v>
      </c>
      <c r="G339">
        <f t="shared" si="4"/>
        <v>0</v>
      </c>
    </row>
    <row r="340" spans="5:7" x14ac:dyDescent="0.2">
      <c r="E340">
        <v>320</v>
      </c>
      <c r="F340" s="4">
        <v>2955491007.8991809</v>
      </c>
      <c r="G340">
        <f t="shared" si="4"/>
        <v>0</v>
      </c>
    </row>
    <row r="341" spans="5:7" x14ac:dyDescent="0.2">
      <c r="E341">
        <v>321</v>
      </c>
      <c r="F341" s="4">
        <v>2913205846.8987489</v>
      </c>
      <c r="G341">
        <f t="shared" si="4"/>
        <v>0</v>
      </c>
    </row>
    <row r="342" spans="5:7" x14ac:dyDescent="0.2">
      <c r="E342">
        <v>322</v>
      </c>
      <c r="F342" s="4">
        <v>3397582684.9092312</v>
      </c>
      <c r="G342">
        <f t="shared" ref="G342:G405" si="5">IF(F342&lt;1700000000,1,0)</f>
        <v>0</v>
      </c>
    </row>
    <row r="343" spans="5:7" x14ac:dyDescent="0.2">
      <c r="E343">
        <v>323</v>
      </c>
      <c r="F343" s="4">
        <v>3056683474.6076183</v>
      </c>
      <c r="G343">
        <f t="shared" si="5"/>
        <v>0</v>
      </c>
    </row>
    <row r="344" spans="5:7" x14ac:dyDescent="0.2">
      <c r="E344">
        <v>324</v>
      </c>
      <c r="F344" s="4">
        <v>3089060675.5504651</v>
      </c>
      <c r="G344">
        <f t="shared" si="5"/>
        <v>0</v>
      </c>
    </row>
    <row r="345" spans="5:7" x14ac:dyDescent="0.2">
      <c r="E345">
        <v>325</v>
      </c>
      <c r="F345" s="4">
        <v>3294924020.5645256</v>
      </c>
      <c r="G345">
        <f t="shared" si="5"/>
        <v>0</v>
      </c>
    </row>
    <row r="346" spans="5:7" x14ac:dyDescent="0.2">
      <c r="E346">
        <v>326</v>
      </c>
      <c r="F346" s="4">
        <v>2553953595.7276287</v>
      </c>
      <c r="G346">
        <f t="shared" si="5"/>
        <v>0</v>
      </c>
    </row>
    <row r="347" spans="5:7" x14ac:dyDescent="0.2">
      <c r="E347">
        <v>327</v>
      </c>
      <c r="F347" s="4">
        <v>3172223478.9780235</v>
      </c>
      <c r="G347">
        <f t="shared" si="5"/>
        <v>0</v>
      </c>
    </row>
    <row r="348" spans="5:7" x14ac:dyDescent="0.2">
      <c r="E348">
        <v>328</v>
      </c>
      <c r="F348" s="4">
        <v>2939015552.5287085</v>
      </c>
      <c r="G348">
        <f t="shared" si="5"/>
        <v>0</v>
      </c>
    </row>
    <row r="349" spans="5:7" x14ac:dyDescent="0.2">
      <c r="E349">
        <v>329</v>
      </c>
      <c r="F349" s="4">
        <v>3263700173.2401142</v>
      </c>
      <c r="G349">
        <f t="shared" si="5"/>
        <v>0</v>
      </c>
    </row>
    <row r="350" spans="5:7" x14ac:dyDescent="0.2">
      <c r="E350">
        <v>330</v>
      </c>
      <c r="F350" s="4">
        <v>3047335592.7241311</v>
      </c>
      <c r="G350">
        <f t="shared" si="5"/>
        <v>0</v>
      </c>
    </row>
    <row r="351" spans="5:7" x14ac:dyDescent="0.2">
      <c r="E351">
        <v>331</v>
      </c>
      <c r="F351" s="4">
        <v>2700565387.1170073</v>
      </c>
      <c r="G351">
        <f t="shared" si="5"/>
        <v>0</v>
      </c>
    </row>
    <row r="352" spans="5:7" x14ac:dyDescent="0.2">
      <c r="E352">
        <v>332</v>
      </c>
      <c r="F352" s="4">
        <v>2918742334.0247283</v>
      </c>
      <c r="G352">
        <f t="shared" si="5"/>
        <v>0</v>
      </c>
    </row>
    <row r="353" spans="5:7" x14ac:dyDescent="0.2">
      <c r="E353">
        <v>333</v>
      </c>
      <c r="F353" s="4">
        <v>2934965231.3247151</v>
      </c>
      <c r="G353">
        <f t="shared" si="5"/>
        <v>0</v>
      </c>
    </row>
    <row r="354" spans="5:7" x14ac:dyDescent="0.2">
      <c r="E354">
        <v>334</v>
      </c>
      <c r="F354" s="4">
        <v>3305455253.8267932</v>
      </c>
      <c r="G354">
        <f t="shared" si="5"/>
        <v>0</v>
      </c>
    </row>
    <row r="355" spans="5:7" x14ac:dyDescent="0.2">
      <c r="E355">
        <v>335</v>
      </c>
      <c r="F355" s="4">
        <v>3228779446.5871544</v>
      </c>
      <c r="G355">
        <f t="shared" si="5"/>
        <v>0</v>
      </c>
    </row>
    <row r="356" spans="5:7" x14ac:dyDescent="0.2">
      <c r="E356">
        <v>336</v>
      </c>
      <c r="F356" s="4">
        <v>3432214219.7872286</v>
      </c>
      <c r="G356">
        <f t="shared" si="5"/>
        <v>0</v>
      </c>
    </row>
    <row r="357" spans="5:7" x14ac:dyDescent="0.2">
      <c r="E357">
        <v>337</v>
      </c>
      <c r="F357" s="4">
        <v>3048249472.7335544</v>
      </c>
      <c r="G357">
        <f t="shared" si="5"/>
        <v>0</v>
      </c>
    </row>
    <row r="358" spans="5:7" x14ac:dyDescent="0.2">
      <c r="E358">
        <v>338</v>
      </c>
      <c r="F358" s="4">
        <v>3621084204.6712451</v>
      </c>
      <c r="G358">
        <f t="shared" si="5"/>
        <v>0</v>
      </c>
    </row>
    <row r="359" spans="5:7" x14ac:dyDescent="0.2">
      <c r="E359">
        <v>339</v>
      </c>
      <c r="F359" s="4">
        <v>2569529280.8887091</v>
      </c>
      <c r="G359">
        <f t="shared" si="5"/>
        <v>0</v>
      </c>
    </row>
    <row r="360" spans="5:7" x14ac:dyDescent="0.2">
      <c r="E360">
        <v>340</v>
      </c>
      <c r="F360" s="4">
        <v>2712024111.9134555</v>
      </c>
      <c r="G360">
        <f t="shared" si="5"/>
        <v>0</v>
      </c>
    </row>
    <row r="361" spans="5:7" x14ac:dyDescent="0.2">
      <c r="E361">
        <v>341</v>
      </c>
      <c r="F361" s="4">
        <v>2967565800.2298303</v>
      </c>
      <c r="G361">
        <f t="shared" si="5"/>
        <v>0</v>
      </c>
    </row>
    <row r="362" spans="5:7" x14ac:dyDescent="0.2">
      <c r="E362">
        <v>342</v>
      </c>
      <c r="F362" s="4">
        <v>3331119592.1798701</v>
      </c>
      <c r="G362">
        <f t="shared" si="5"/>
        <v>0</v>
      </c>
    </row>
    <row r="363" spans="5:7" x14ac:dyDescent="0.2">
      <c r="E363">
        <v>343</v>
      </c>
      <c r="F363" s="4">
        <v>2904285660.3717957</v>
      </c>
      <c r="G363">
        <f t="shared" si="5"/>
        <v>0</v>
      </c>
    </row>
    <row r="364" spans="5:7" x14ac:dyDescent="0.2">
      <c r="E364">
        <v>344</v>
      </c>
      <c r="F364" s="4">
        <v>3200718014.4204531</v>
      </c>
      <c r="G364">
        <f t="shared" si="5"/>
        <v>0</v>
      </c>
    </row>
    <row r="365" spans="5:7" x14ac:dyDescent="0.2">
      <c r="E365">
        <v>345</v>
      </c>
      <c r="F365" s="4">
        <v>3200286995.8942723</v>
      </c>
      <c r="G365">
        <f t="shared" si="5"/>
        <v>0</v>
      </c>
    </row>
    <row r="366" spans="5:7" x14ac:dyDescent="0.2">
      <c r="E366">
        <v>346</v>
      </c>
      <c r="F366" s="4">
        <v>3117133238.1925211</v>
      </c>
      <c r="G366">
        <f t="shared" si="5"/>
        <v>0</v>
      </c>
    </row>
    <row r="367" spans="5:7" x14ac:dyDescent="0.2">
      <c r="E367">
        <v>347</v>
      </c>
      <c r="F367" s="4">
        <v>2878107478.9781251</v>
      </c>
      <c r="G367">
        <f t="shared" si="5"/>
        <v>0</v>
      </c>
    </row>
    <row r="368" spans="5:7" x14ac:dyDescent="0.2">
      <c r="E368">
        <v>348</v>
      </c>
      <c r="F368" s="4">
        <v>3060509337.9299974</v>
      </c>
      <c r="G368">
        <f t="shared" si="5"/>
        <v>0</v>
      </c>
    </row>
    <row r="369" spans="5:7" x14ac:dyDescent="0.2">
      <c r="E369">
        <v>349</v>
      </c>
      <c r="F369" s="4">
        <v>3326673829.2227182</v>
      </c>
      <c r="G369">
        <f t="shared" si="5"/>
        <v>0</v>
      </c>
    </row>
    <row r="370" spans="5:7" x14ac:dyDescent="0.2">
      <c r="E370">
        <v>350</v>
      </c>
      <c r="F370" s="4">
        <v>2673731548.7188787</v>
      </c>
      <c r="G370">
        <f t="shared" si="5"/>
        <v>0</v>
      </c>
    </row>
    <row r="371" spans="5:7" x14ac:dyDescent="0.2">
      <c r="E371">
        <v>351</v>
      </c>
      <c r="F371" s="4">
        <v>2979738057.4474792</v>
      </c>
      <c r="G371">
        <f t="shared" si="5"/>
        <v>0</v>
      </c>
    </row>
    <row r="372" spans="5:7" x14ac:dyDescent="0.2">
      <c r="E372">
        <v>352</v>
      </c>
      <c r="F372" s="4">
        <v>2964031455.6695876</v>
      </c>
      <c r="G372">
        <f t="shared" si="5"/>
        <v>0</v>
      </c>
    </row>
    <row r="373" spans="5:7" x14ac:dyDescent="0.2">
      <c r="E373">
        <v>353</v>
      </c>
      <c r="F373" s="4">
        <v>3271723015.7930436</v>
      </c>
      <c r="G373">
        <f t="shared" si="5"/>
        <v>0</v>
      </c>
    </row>
    <row r="374" spans="5:7" x14ac:dyDescent="0.2">
      <c r="E374">
        <v>354</v>
      </c>
      <c r="F374" s="4">
        <v>2981783849.439044</v>
      </c>
      <c r="G374">
        <f t="shared" si="5"/>
        <v>0</v>
      </c>
    </row>
    <row r="375" spans="5:7" x14ac:dyDescent="0.2">
      <c r="E375">
        <v>355</v>
      </c>
      <c r="F375" s="4">
        <v>3428068366.571579</v>
      </c>
      <c r="G375">
        <f t="shared" si="5"/>
        <v>0</v>
      </c>
    </row>
    <row r="376" spans="5:7" x14ac:dyDescent="0.2">
      <c r="E376">
        <v>356</v>
      </c>
      <c r="F376" s="4">
        <v>2642964612.5331149</v>
      </c>
      <c r="G376">
        <f t="shared" si="5"/>
        <v>0</v>
      </c>
    </row>
    <row r="377" spans="5:7" x14ac:dyDescent="0.2">
      <c r="E377">
        <v>357</v>
      </c>
      <c r="F377" s="4">
        <v>2893690467.3602366</v>
      </c>
      <c r="G377">
        <f t="shared" si="5"/>
        <v>0</v>
      </c>
    </row>
    <row r="378" spans="5:7" x14ac:dyDescent="0.2">
      <c r="E378">
        <v>358</v>
      </c>
      <c r="F378" s="4">
        <v>2824957170.5436926</v>
      </c>
      <c r="G378">
        <f t="shared" si="5"/>
        <v>0</v>
      </c>
    </row>
    <row r="379" spans="5:7" x14ac:dyDescent="0.2">
      <c r="E379">
        <v>359</v>
      </c>
      <c r="F379" s="4">
        <v>3299640876.8628888</v>
      </c>
      <c r="G379">
        <f t="shared" si="5"/>
        <v>0</v>
      </c>
    </row>
    <row r="380" spans="5:7" x14ac:dyDescent="0.2">
      <c r="E380">
        <v>360</v>
      </c>
      <c r="F380" s="4">
        <v>2907544923.92308</v>
      </c>
      <c r="G380">
        <f t="shared" si="5"/>
        <v>0</v>
      </c>
    </row>
    <row r="381" spans="5:7" x14ac:dyDescent="0.2">
      <c r="E381">
        <v>361</v>
      </c>
      <c r="F381" s="4">
        <v>2949100288.7210588</v>
      </c>
      <c r="G381">
        <f t="shared" si="5"/>
        <v>0</v>
      </c>
    </row>
    <row r="382" spans="5:7" x14ac:dyDescent="0.2">
      <c r="E382">
        <v>362</v>
      </c>
      <c r="F382" s="4">
        <v>3468530490.1249452</v>
      </c>
      <c r="G382">
        <f t="shared" si="5"/>
        <v>0</v>
      </c>
    </row>
    <row r="383" spans="5:7" x14ac:dyDescent="0.2">
      <c r="E383">
        <v>363</v>
      </c>
      <c r="F383" s="4">
        <v>3135920475.2236962</v>
      </c>
      <c r="G383">
        <f t="shared" si="5"/>
        <v>0</v>
      </c>
    </row>
    <row r="384" spans="5:7" x14ac:dyDescent="0.2">
      <c r="E384">
        <v>364</v>
      </c>
      <c r="F384" s="4">
        <v>3289734965.7451081</v>
      </c>
      <c r="G384">
        <f t="shared" si="5"/>
        <v>0</v>
      </c>
    </row>
    <row r="385" spans="5:7" x14ac:dyDescent="0.2">
      <c r="E385">
        <v>365</v>
      </c>
      <c r="F385" s="4">
        <v>2754638925.7031016</v>
      </c>
      <c r="G385">
        <f t="shared" si="5"/>
        <v>0</v>
      </c>
    </row>
    <row r="386" spans="5:7" x14ac:dyDescent="0.2">
      <c r="E386">
        <v>366</v>
      </c>
      <c r="F386" s="4">
        <v>3532543655.6160908</v>
      </c>
      <c r="G386">
        <f t="shared" si="5"/>
        <v>0</v>
      </c>
    </row>
    <row r="387" spans="5:7" x14ac:dyDescent="0.2">
      <c r="E387">
        <v>367</v>
      </c>
      <c r="F387" s="4">
        <v>3288181231.5398297</v>
      </c>
      <c r="G387">
        <f t="shared" si="5"/>
        <v>0</v>
      </c>
    </row>
    <row r="388" spans="5:7" x14ac:dyDescent="0.2">
      <c r="E388">
        <v>368</v>
      </c>
      <c r="F388" s="4">
        <v>3430137517.0734549</v>
      </c>
      <c r="G388">
        <f t="shared" si="5"/>
        <v>0</v>
      </c>
    </row>
    <row r="389" spans="5:7" x14ac:dyDescent="0.2">
      <c r="E389">
        <v>369</v>
      </c>
      <c r="F389" s="4">
        <v>2652878329.0035501</v>
      </c>
      <c r="G389">
        <f t="shared" si="5"/>
        <v>0</v>
      </c>
    </row>
    <row r="390" spans="5:7" x14ac:dyDescent="0.2">
      <c r="E390">
        <v>370</v>
      </c>
      <c r="F390" s="4">
        <v>3012232395.1257515</v>
      </c>
      <c r="G390">
        <f t="shared" si="5"/>
        <v>0</v>
      </c>
    </row>
    <row r="391" spans="5:7" x14ac:dyDescent="0.2">
      <c r="E391">
        <v>371</v>
      </c>
      <c r="F391" s="4">
        <v>3020250327.8495207</v>
      </c>
      <c r="G391">
        <f t="shared" si="5"/>
        <v>0</v>
      </c>
    </row>
    <row r="392" spans="5:7" x14ac:dyDescent="0.2">
      <c r="E392">
        <v>372</v>
      </c>
      <c r="F392" s="4">
        <v>3333188138.927259</v>
      </c>
      <c r="G392">
        <f t="shared" si="5"/>
        <v>0</v>
      </c>
    </row>
    <row r="393" spans="5:7" x14ac:dyDescent="0.2">
      <c r="E393">
        <v>373</v>
      </c>
      <c r="F393" s="4">
        <v>2928960534.3086548</v>
      </c>
      <c r="G393">
        <f t="shared" si="5"/>
        <v>0</v>
      </c>
    </row>
    <row r="394" spans="5:7" x14ac:dyDescent="0.2">
      <c r="E394">
        <v>374</v>
      </c>
      <c r="F394" s="4">
        <v>3268196661.3662815</v>
      </c>
      <c r="G394">
        <f t="shared" si="5"/>
        <v>0</v>
      </c>
    </row>
    <row r="395" spans="5:7" x14ac:dyDescent="0.2">
      <c r="E395">
        <v>375</v>
      </c>
      <c r="F395" s="4">
        <v>3415220704.7895317</v>
      </c>
      <c r="G395">
        <f t="shared" si="5"/>
        <v>0</v>
      </c>
    </row>
    <row r="396" spans="5:7" x14ac:dyDescent="0.2">
      <c r="E396">
        <v>376</v>
      </c>
      <c r="F396" s="4">
        <v>3295358484.1238508</v>
      </c>
      <c r="G396">
        <f t="shared" si="5"/>
        <v>0</v>
      </c>
    </row>
    <row r="397" spans="5:7" x14ac:dyDescent="0.2">
      <c r="E397">
        <v>377</v>
      </c>
      <c r="F397" s="4">
        <v>3223737374.5417953</v>
      </c>
      <c r="G397">
        <f t="shared" si="5"/>
        <v>0</v>
      </c>
    </row>
    <row r="398" spans="5:7" x14ac:dyDescent="0.2">
      <c r="E398">
        <v>378</v>
      </c>
      <c r="F398" s="4">
        <v>2961804729.7600164</v>
      </c>
      <c r="G398">
        <f t="shared" si="5"/>
        <v>0</v>
      </c>
    </row>
    <row r="399" spans="5:7" x14ac:dyDescent="0.2">
      <c r="E399">
        <v>379</v>
      </c>
      <c r="F399" s="4">
        <v>3136771402.7386565</v>
      </c>
      <c r="G399">
        <f t="shared" si="5"/>
        <v>0</v>
      </c>
    </row>
    <row r="400" spans="5:7" x14ac:dyDescent="0.2">
      <c r="E400">
        <v>380</v>
      </c>
      <c r="F400" s="4">
        <v>2969069266.1135612</v>
      </c>
      <c r="G400">
        <f t="shared" si="5"/>
        <v>0</v>
      </c>
    </row>
    <row r="401" spans="5:7" x14ac:dyDescent="0.2">
      <c r="E401">
        <v>381</v>
      </c>
      <c r="F401" s="4">
        <v>2809403329.8320498</v>
      </c>
      <c r="G401">
        <f t="shared" si="5"/>
        <v>0</v>
      </c>
    </row>
    <row r="402" spans="5:7" x14ac:dyDescent="0.2">
      <c r="E402">
        <v>382</v>
      </c>
      <c r="F402" s="4">
        <v>2742864192.411376</v>
      </c>
      <c r="G402">
        <f t="shared" si="5"/>
        <v>0</v>
      </c>
    </row>
    <row r="403" spans="5:7" x14ac:dyDescent="0.2">
      <c r="E403">
        <v>383</v>
      </c>
      <c r="F403" s="4">
        <v>3051511559.7566118</v>
      </c>
      <c r="G403">
        <f t="shared" si="5"/>
        <v>0</v>
      </c>
    </row>
    <row r="404" spans="5:7" x14ac:dyDescent="0.2">
      <c r="E404">
        <v>384</v>
      </c>
      <c r="F404" s="4">
        <v>3086284617.1870241</v>
      </c>
      <c r="G404">
        <f t="shared" si="5"/>
        <v>0</v>
      </c>
    </row>
    <row r="405" spans="5:7" x14ac:dyDescent="0.2">
      <c r="E405">
        <v>385</v>
      </c>
      <c r="F405" s="4">
        <v>3204946873.3160157</v>
      </c>
      <c r="G405">
        <f t="shared" si="5"/>
        <v>0</v>
      </c>
    </row>
    <row r="406" spans="5:7" x14ac:dyDescent="0.2">
      <c r="E406">
        <v>386</v>
      </c>
      <c r="F406" s="4">
        <v>3087056388.9835358</v>
      </c>
      <c r="G406">
        <f t="shared" ref="G406:G469" si="6">IF(F406&lt;1700000000,1,0)</f>
        <v>0</v>
      </c>
    </row>
    <row r="407" spans="5:7" x14ac:dyDescent="0.2">
      <c r="E407">
        <v>387</v>
      </c>
      <c r="F407" s="4">
        <v>2761747522.747025</v>
      </c>
      <c r="G407">
        <f t="shared" si="6"/>
        <v>0</v>
      </c>
    </row>
    <row r="408" spans="5:7" x14ac:dyDescent="0.2">
      <c r="E408">
        <v>388</v>
      </c>
      <c r="F408" s="4">
        <v>3022287201.7425041</v>
      </c>
      <c r="G408">
        <f t="shared" si="6"/>
        <v>0</v>
      </c>
    </row>
    <row r="409" spans="5:7" x14ac:dyDescent="0.2">
      <c r="E409">
        <v>389</v>
      </c>
      <c r="F409" s="4">
        <v>3055986737.6717</v>
      </c>
      <c r="G409">
        <f t="shared" si="6"/>
        <v>0</v>
      </c>
    </row>
    <row r="410" spans="5:7" x14ac:dyDescent="0.2">
      <c r="E410">
        <v>390</v>
      </c>
      <c r="F410" s="4">
        <v>3180395486.2488446</v>
      </c>
      <c r="G410">
        <f t="shared" si="6"/>
        <v>0</v>
      </c>
    </row>
    <row r="411" spans="5:7" x14ac:dyDescent="0.2">
      <c r="E411">
        <v>391</v>
      </c>
      <c r="F411" s="4">
        <v>3185701159.1917286</v>
      </c>
      <c r="G411">
        <f t="shared" si="6"/>
        <v>0</v>
      </c>
    </row>
    <row r="412" spans="5:7" x14ac:dyDescent="0.2">
      <c r="E412">
        <v>392</v>
      </c>
      <c r="F412" s="4">
        <v>2953330032.7243662</v>
      </c>
      <c r="G412">
        <f t="shared" si="6"/>
        <v>0</v>
      </c>
    </row>
    <row r="413" spans="5:7" x14ac:dyDescent="0.2">
      <c r="E413">
        <v>393</v>
      </c>
      <c r="F413" s="4">
        <v>3228998339.6547489</v>
      </c>
      <c r="G413">
        <f t="shared" si="6"/>
        <v>0</v>
      </c>
    </row>
    <row r="414" spans="5:7" x14ac:dyDescent="0.2">
      <c r="E414">
        <v>394</v>
      </c>
      <c r="F414" s="4">
        <v>2955234356.9762797</v>
      </c>
      <c r="G414">
        <f t="shared" si="6"/>
        <v>0</v>
      </c>
    </row>
    <row r="415" spans="5:7" x14ac:dyDescent="0.2">
      <c r="E415">
        <v>395</v>
      </c>
      <c r="F415" s="4">
        <v>3106708782.5937181</v>
      </c>
      <c r="G415">
        <f t="shared" si="6"/>
        <v>0</v>
      </c>
    </row>
    <row r="416" spans="5:7" x14ac:dyDescent="0.2">
      <c r="E416">
        <v>396</v>
      </c>
      <c r="F416" s="4">
        <v>3350210645.1815033</v>
      </c>
      <c r="G416">
        <f t="shared" si="6"/>
        <v>0</v>
      </c>
    </row>
    <row r="417" spans="5:7" x14ac:dyDescent="0.2">
      <c r="E417">
        <v>397</v>
      </c>
      <c r="F417" s="4">
        <v>3254606538.3645658</v>
      </c>
      <c r="G417">
        <f t="shared" si="6"/>
        <v>0</v>
      </c>
    </row>
    <row r="418" spans="5:7" x14ac:dyDescent="0.2">
      <c r="E418">
        <v>398</v>
      </c>
      <c r="F418" s="4">
        <v>3214479091.4485302</v>
      </c>
      <c r="G418">
        <f t="shared" si="6"/>
        <v>0</v>
      </c>
    </row>
    <row r="419" spans="5:7" x14ac:dyDescent="0.2">
      <c r="E419">
        <v>399</v>
      </c>
      <c r="F419" s="4">
        <v>3353216230.235096</v>
      </c>
      <c r="G419">
        <f t="shared" si="6"/>
        <v>0</v>
      </c>
    </row>
    <row r="420" spans="5:7" x14ac:dyDescent="0.2">
      <c r="E420">
        <v>400</v>
      </c>
      <c r="F420" s="4">
        <v>2918791187.6055288</v>
      </c>
      <c r="G420">
        <f t="shared" si="6"/>
        <v>0</v>
      </c>
    </row>
    <row r="421" spans="5:7" x14ac:dyDescent="0.2">
      <c r="E421">
        <v>401</v>
      </c>
      <c r="F421" s="4">
        <v>2731052625.3497686</v>
      </c>
      <c r="G421">
        <f t="shared" si="6"/>
        <v>0</v>
      </c>
    </row>
    <row r="422" spans="5:7" x14ac:dyDescent="0.2">
      <c r="E422">
        <v>402</v>
      </c>
      <c r="F422" s="4">
        <v>2902282514.8774624</v>
      </c>
      <c r="G422">
        <f t="shared" si="6"/>
        <v>0</v>
      </c>
    </row>
    <row r="423" spans="5:7" x14ac:dyDescent="0.2">
      <c r="E423">
        <v>403</v>
      </c>
      <c r="F423" s="4">
        <v>2555383557.8189549</v>
      </c>
      <c r="G423">
        <f t="shared" si="6"/>
        <v>0</v>
      </c>
    </row>
    <row r="424" spans="5:7" x14ac:dyDescent="0.2">
      <c r="E424">
        <v>404</v>
      </c>
      <c r="F424" s="4">
        <v>3447434956.2343183</v>
      </c>
      <c r="G424">
        <f t="shared" si="6"/>
        <v>0</v>
      </c>
    </row>
    <row r="425" spans="5:7" x14ac:dyDescent="0.2">
      <c r="E425">
        <v>405</v>
      </c>
      <c r="F425" s="4">
        <v>2934687232.5953894</v>
      </c>
      <c r="G425">
        <f t="shared" si="6"/>
        <v>0</v>
      </c>
    </row>
    <row r="426" spans="5:7" x14ac:dyDescent="0.2">
      <c r="E426">
        <v>406</v>
      </c>
      <c r="F426" s="4">
        <v>2882055449.4820571</v>
      </c>
      <c r="G426">
        <f t="shared" si="6"/>
        <v>0</v>
      </c>
    </row>
    <row r="427" spans="5:7" x14ac:dyDescent="0.2">
      <c r="E427">
        <v>407</v>
      </c>
      <c r="F427" s="4">
        <v>3112738096.4596949</v>
      </c>
      <c r="G427">
        <f t="shared" si="6"/>
        <v>0</v>
      </c>
    </row>
    <row r="428" spans="5:7" x14ac:dyDescent="0.2">
      <c r="E428">
        <v>408</v>
      </c>
      <c r="F428" s="4">
        <v>3350369553.6064606</v>
      </c>
      <c r="G428">
        <f t="shared" si="6"/>
        <v>0</v>
      </c>
    </row>
    <row r="429" spans="5:7" x14ac:dyDescent="0.2">
      <c r="E429">
        <v>409</v>
      </c>
      <c r="F429" s="4">
        <v>3062450035.3124342</v>
      </c>
      <c r="G429">
        <f t="shared" si="6"/>
        <v>0</v>
      </c>
    </row>
    <row r="430" spans="5:7" x14ac:dyDescent="0.2">
      <c r="E430">
        <v>410</v>
      </c>
      <c r="F430" s="4">
        <v>3040686471.978024</v>
      </c>
      <c r="G430">
        <f t="shared" si="6"/>
        <v>0</v>
      </c>
    </row>
    <row r="431" spans="5:7" x14ac:dyDescent="0.2">
      <c r="E431">
        <v>411</v>
      </c>
      <c r="F431" s="4">
        <v>3349007154.991827</v>
      </c>
      <c r="G431">
        <f t="shared" si="6"/>
        <v>0</v>
      </c>
    </row>
    <row r="432" spans="5:7" x14ac:dyDescent="0.2">
      <c r="E432">
        <v>412</v>
      </c>
      <c r="F432" s="4">
        <v>3219378672.8680487</v>
      </c>
      <c r="G432">
        <f t="shared" si="6"/>
        <v>0</v>
      </c>
    </row>
    <row r="433" spans="5:7" x14ac:dyDescent="0.2">
      <c r="E433">
        <v>413</v>
      </c>
      <c r="F433" s="4">
        <v>3060759028.1788816</v>
      </c>
      <c r="G433">
        <f t="shared" si="6"/>
        <v>0</v>
      </c>
    </row>
    <row r="434" spans="5:7" x14ac:dyDescent="0.2">
      <c r="E434">
        <v>414</v>
      </c>
      <c r="F434" s="4">
        <v>3016878522.2842031</v>
      </c>
      <c r="G434">
        <f t="shared" si="6"/>
        <v>0</v>
      </c>
    </row>
    <row r="435" spans="5:7" x14ac:dyDescent="0.2">
      <c r="E435">
        <v>415</v>
      </c>
      <c r="F435" s="4">
        <v>3146269875.2667546</v>
      </c>
      <c r="G435">
        <f t="shared" si="6"/>
        <v>0</v>
      </c>
    </row>
    <row r="436" spans="5:7" x14ac:dyDescent="0.2">
      <c r="E436">
        <v>416</v>
      </c>
      <c r="F436" s="4">
        <v>3068125949.0094209</v>
      </c>
      <c r="G436">
        <f t="shared" si="6"/>
        <v>0</v>
      </c>
    </row>
    <row r="437" spans="5:7" x14ac:dyDescent="0.2">
      <c r="E437">
        <v>417</v>
      </c>
      <c r="F437" s="4">
        <v>2788222721.4550786</v>
      </c>
      <c r="G437">
        <f t="shared" si="6"/>
        <v>0</v>
      </c>
    </row>
    <row r="438" spans="5:7" x14ac:dyDescent="0.2">
      <c r="E438">
        <v>418</v>
      </c>
      <c r="F438" s="4">
        <v>3164124189.0385957</v>
      </c>
      <c r="G438">
        <f t="shared" si="6"/>
        <v>0</v>
      </c>
    </row>
    <row r="439" spans="5:7" x14ac:dyDescent="0.2">
      <c r="E439">
        <v>419</v>
      </c>
      <c r="F439" s="4">
        <v>2951224005.8103533</v>
      </c>
      <c r="G439">
        <f t="shared" si="6"/>
        <v>0</v>
      </c>
    </row>
    <row r="440" spans="5:7" x14ac:dyDescent="0.2">
      <c r="E440">
        <v>420</v>
      </c>
      <c r="F440" s="4">
        <v>3006484953.3132906</v>
      </c>
      <c r="G440">
        <f t="shared" si="6"/>
        <v>0</v>
      </c>
    </row>
    <row r="441" spans="5:7" x14ac:dyDescent="0.2">
      <c r="E441">
        <v>421</v>
      </c>
      <c r="F441" s="4">
        <v>2927416550.4664054</v>
      </c>
      <c r="G441">
        <f t="shared" si="6"/>
        <v>0</v>
      </c>
    </row>
    <row r="442" spans="5:7" x14ac:dyDescent="0.2">
      <c r="E442">
        <v>422</v>
      </c>
      <c r="F442" s="4">
        <v>3057721233.6730781</v>
      </c>
      <c r="G442">
        <f t="shared" si="6"/>
        <v>0</v>
      </c>
    </row>
    <row r="443" spans="5:7" x14ac:dyDescent="0.2">
      <c r="E443">
        <v>423</v>
      </c>
      <c r="F443" s="4">
        <v>3205629982.8844261</v>
      </c>
      <c r="G443">
        <f t="shared" si="6"/>
        <v>0</v>
      </c>
    </row>
    <row r="444" spans="5:7" x14ac:dyDescent="0.2">
      <c r="E444">
        <v>424</v>
      </c>
      <c r="F444" s="4">
        <v>3197188110.5619602</v>
      </c>
      <c r="G444">
        <f t="shared" si="6"/>
        <v>0</v>
      </c>
    </row>
    <row r="445" spans="5:7" x14ac:dyDescent="0.2">
      <c r="E445">
        <v>425</v>
      </c>
      <c r="F445" s="4">
        <v>3496919141.2197933</v>
      </c>
      <c r="G445">
        <f t="shared" si="6"/>
        <v>0</v>
      </c>
    </row>
    <row r="446" spans="5:7" x14ac:dyDescent="0.2">
      <c r="E446">
        <v>426</v>
      </c>
      <c r="F446" s="4">
        <v>3523621221.9000564</v>
      </c>
      <c r="G446">
        <f t="shared" si="6"/>
        <v>0</v>
      </c>
    </row>
    <row r="447" spans="5:7" x14ac:dyDescent="0.2">
      <c r="E447">
        <v>427</v>
      </c>
      <c r="F447" s="4">
        <v>3219823746.8662333</v>
      </c>
      <c r="G447">
        <f t="shared" si="6"/>
        <v>0</v>
      </c>
    </row>
    <row r="448" spans="5:7" x14ac:dyDescent="0.2">
      <c r="E448">
        <v>428</v>
      </c>
      <c r="F448" s="4">
        <v>2819451816.0552225</v>
      </c>
      <c r="G448">
        <f t="shared" si="6"/>
        <v>0</v>
      </c>
    </row>
    <row r="449" spans="5:7" x14ac:dyDescent="0.2">
      <c r="E449">
        <v>429</v>
      </c>
      <c r="F449" s="4">
        <v>2884517221.1104727</v>
      </c>
      <c r="G449">
        <f t="shared" si="6"/>
        <v>0</v>
      </c>
    </row>
    <row r="450" spans="5:7" x14ac:dyDescent="0.2">
      <c r="E450">
        <v>430</v>
      </c>
      <c r="F450" s="4">
        <v>3356414917.7159853</v>
      </c>
      <c r="G450">
        <f t="shared" si="6"/>
        <v>0</v>
      </c>
    </row>
    <row r="451" spans="5:7" x14ac:dyDescent="0.2">
      <c r="E451">
        <v>431</v>
      </c>
      <c r="F451" s="4">
        <v>3004755345.7628951</v>
      </c>
      <c r="G451">
        <f t="shared" si="6"/>
        <v>0</v>
      </c>
    </row>
    <row r="452" spans="5:7" x14ac:dyDescent="0.2">
      <c r="E452">
        <v>432</v>
      </c>
      <c r="F452" s="4">
        <v>2711656037.1688733</v>
      </c>
      <c r="G452">
        <f t="shared" si="6"/>
        <v>0</v>
      </c>
    </row>
    <row r="453" spans="5:7" x14ac:dyDescent="0.2">
      <c r="E453">
        <v>433</v>
      </c>
      <c r="F453" s="4">
        <v>3177011340.3701463</v>
      </c>
      <c r="G453">
        <f t="shared" si="6"/>
        <v>0</v>
      </c>
    </row>
    <row r="454" spans="5:7" x14ac:dyDescent="0.2">
      <c r="E454">
        <v>434</v>
      </c>
      <c r="F454" s="4">
        <v>3291081412.487514</v>
      </c>
      <c r="G454">
        <f t="shared" si="6"/>
        <v>0</v>
      </c>
    </row>
    <row r="455" spans="5:7" x14ac:dyDescent="0.2">
      <c r="E455">
        <v>435</v>
      </c>
      <c r="F455" s="4">
        <v>3377435173.6518583</v>
      </c>
      <c r="G455">
        <f t="shared" si="6"/>
        <v>0</v>
      </c>
    </row>
    <row r="456" spans="5:7" x14ac:dyDescent="0.2">
      <c r="E456">
        <v>436</v>
      </c>
      <c r="F456" s="4">
        <v>3318282201.2038093</v>
      </c>
      <c r="G456">
        <f t="shared" si="6"/>
        <v>0</v>
      </c>
    </row>
    <row r="457" spans="5:7" x14ac:dyDescent="0.2">
      <c r="E457">
        <v>437</v>
      </c>
      <c r="F457" s="4">
        <v>3044463710.7658267</v>
      </c>
      <c r="G457">
        <f t="shared" si="6"/>
        <v>0</v>
      </c>
    </row>
    <row r="458" spans="5:7" x14ac:dyDescent="0.2">
      <c r="E458">
        <v>438</v>
      </c>
      <c r="F458" s="4">
        <v>3143046534.7524142</v>
      </c>
      <c r="G458">
        <f t="shared" si="6"/>
        <v>0</v>
      </c>
    </row>
    <row r="459" spans="5:7" x14ac:dyDescent="0.2">
      <c r="E459">
        <v>439</v>
      </c>
      <c r="F459" s="4">
        <v>3061208203.7314577</v>
      </c>
      <c r="G459">
        <f t="shared" si="6"/>
        <v>0</v>
      </c>
    </row>
    <row r="460" spans="5:7" x14ac:dyDescent="0.2">
      <c r="E460">
        <v>440</v>
      </c>
      <c r="F460" s="4">
        <v>2883832748.7591038</v>
      </c>
      <c r="G460">
        <f t="shared" si="6"/>
        <v>0</v>
      </c>
    </row>
    <row r="461" spans="5:7" x14ac:dyDescent="0.2">
      <c r="E461">
        <v>441</v>
      </c>
      <c r="F461" s="4">
        <v>2714879577.3858113</v>
      </c>
      <c r="G461">
        <f t="shared" si="6"/>
        <v>0</v>
      </c>
    </row>
    <row r="462" spans="5:7" x14ac:dyDescent="0.2">
      <c r="E462">
        <v>442</v>
      </c>
      <c r="F462" s="4">
        <v>2896474308.9445872</v>
      </c>
      <c r="G462">
        <f t="shared" si="6"/>
        <v>0</v>
      </c>
    </row>
    <row r="463" spans="5:7" x14ac:dyDescent="0.2">
      <c r="E463">
        <v>443</v>
      </c>
      <c r="F463" s="4">
        <v>3034879249.5927896</v>
      </c>
      <c r="G463">
        <f t="shared" si="6"/>
        <v>0</v>
      </c>
    </row>
    <row r="464" spans="5:7" x14ac:dyDescent="0.2">
      <c r="E464">
        <v>444</v>
      </c>
      <c r="F464" s="4">
        <v>2997179953.257647</v>
      </c>
      <c r="G464">
        <f t="shared" si="6"/>
        <v>0</v>
      </c>
    </row>
    <row r="465" spans="5:7" x14ac:dyDescent="0.2">
      <c r="E465">
        <v>445</v>
      </c>
      <c r="F465" s="4">
        <v>3249860252.2043715</v>
      </c>
      <c r="G465">
        <f t="shared" si="6"/>
        <v>0</v>
      </c>
    </row>
    <row r="466" spans="5:7" x14ac:dyDescent="0.2">
      <c r="E466">
        <v>446</v>
      </c>
      <c r="F466" s="4">
        <v>2898123190.2720013</v>
      </c>
      <c r="G466">
        <f t="shared" si="6"/>
        <v>0</v>
      </c>
    </row>
    <row r="467" spans="5:7" x14ac:dyDescent="0.2">
      <c r="E467">
        <v>447</v>
      </c>
      <c r="F467" s="4">
        <v>3157834820.5776305</v>
      </c>
      <c r="G467">
        <f t="shared" si="6"/>
        <v>0</v>
      </c>
    </row>
    <row r="468" spans="5:7" x14ac:dyDescent="0.2">
      <c r="E468">
        <v>448</v>
      </c>
      <c r="F468" s="4">
        <v>3899955885.8297586</v>
      </c>
      <c r="G468">
        <f t="shared" si="6"/>
        <v>0</v>
      </c>
    </row>
    <row r="469" spans="5:7" x14ac:dyDescent="0.2">
      <c r="E469">
        <v>449</v>
      </c>
      <c r="F469" s="4">
        <v>3031196570.3364606</v>
      </c>
      <c r="G469">
        <f t="shared" si="6"/>
        <v>0</v>
      </c>
    </row>
    <row r="470" spans="5:7" x14ac:dyDescent="0.2">
      <c r="E470">
        <v>450</v>
      </c>
      <c r="F470" s="4">
        <v>2791921336.3841276</v>
      </c>
      <c r="G470">
        <f t="shared" ref="G470:G533" si="7">IF(F470&lt;1700000000,1,0)</f>
        <v>0</v>
      </c>
    </row>
    <row r="471" spans="5:7" x14ac:dyDescent="0.2">
      <c r="E471">
        <v>451</v>
      </c>
      <c r="F471" s="4">
        <v>3232449160.8152847</v>
      </c>
      <c r="G471">
        <f t="shared" si="7"/>
        <v>0</v>
      </c>
    </row>
    <row r="472" spans="5:7" x14ac:dyDescent="0.2">
      <c r="E472">
        <v>452</v>
      </c>
      <c r="F472" s="4">
        <v>3060837777.7453942</v>
      </c>
      <c r="G472">
        <f t="shared" si="7"/>
        <v>0</v>
      </c>
    </row>
    <row r="473" spans="5:7" x14ac:dyDescent="0.2">
      <c r="E473">
        <v>453</v>
      </c>
      <c r="F473" s="4">
        <v>2978255449.5298395</v>
      </c>
      <c r="G473">
        <f t="shared" si="7"/>
        <v>0</v>
      </c>
    </row>
    <row r="474" spans="5:7" x14ac:dyDescent="0.2">
      <c r="E474">
        <v>454</v>
      </c>
      <c r="F474" s="4">
        <v>2894852628.7654166</v>
      </c>
      <c r="G474">
        <f t="shared" si="7"/>
        <v>0</v>
      </c>
    </row>
    <row r="475" spans="5:7" x14ac:dyDescent="0.2">
      <c r="E475">
        <v>455</v>
      </c>
      <c r="F475" s="4">
        <v>3203781853.754169</v>
      </c>
      <c r="G475">
        <f t="shared" si="7"/>
        <v>0</v>
      </c>
    </row>
    <row r="476" spans="5:7" x14ac:dyDescent="0.2">
      <c r="E476">
        <v>456</v>
      </c>
      <c r="F476" s="4">
        <v>3027342519.4061985</v>
      </c>
      <c r="G476">
        <f t="shared" si="7"/>
        <v>0</v>
      </c>
    </row>
    <row r="477" spans="5:7" x14ac:dyDescent="0.2">
      <c r="E477">
        <v>457</v>
      </c>
      <c r="F477" s="4">
        <v>3114703555.4111719</v>
      </c>
      <c r="G477">
        <f t="shared" si="7"/>
        <v>0</v>
      </c>
    </row>
    <row r="478" spans="5:7" x14ac:dyDescent="0.2">
      <c r="E478">
        <v>458</v>
      </c>
      <c r="F478" s="4">
        <v>3328741498.7214317</v>
      </c>
      <c r="G478">
        <f t="shared" si="7"/>
        <v>0</v>
      </c>
    </row>
    <row r="479" spans="5:7" x14ac:dyDescent="0.2">
      <c r="E479">
        <v>459</v>
      </c>
      <c r="F479" s="4">
        <v>2818627539.3971248</v>
      </c>
      <c r="G479">
        <f t="shared" si="7"/>
        <v>0</v>
      </c>
    </row>
    <row r="480" spans="5:7" x14ac:dyDescent="0.2">
      <c r="E480">
        <v>460</v>
      </c>
      <c r="F480" s="4">
        <v>3095075530.5369163</v>
      </c>
      <c r="G480">
        <f t="shared" si="7"/>
        <v>0</v>
      </c>
    </row>
    <row r="481" spans="5:7" x14ac:dyDescent="0.2">
      <c r="E481">
        <v>461</v>
      </c>
      <c r="F481" s="4">
        <v>3271016013.9424171</v>
      </c>
      <c r="G481">
        <f t="shared" si="7"/>
        <v>0</v>
      </c>
    </row>
    <row r="482" spans="5:7" x14ac:dyDescent="0.2">
      <c r="E482">
        <v>462</v>
      </c>
      <c r="F482" s="4">
        <v>3017201825.5354185</v>
      </c>
      <c r="G482">
        <f t="shared" si="7"/>
        <v>0</v>
      </c>
    </row>
    <row r="483" spans="5:7" x14ac:dyDescent="0.2">
      <c r="E483">
        <v>463</v>
      </c>
      <c r="F483" s="4">
        <v>3462812852.0850401</v>
      </c>
      <c r="G483">
        <f t="shared" si="7"/>
        <v>0</v>
      </c>
    </row>
    <row r="484" spans="5:7" x14ac:dyDescent="0.2">
      <c r="E484">
        <v>464</v>
      </c>
      <c r="F484" s="4">
        <v>3290658940.2640758</v>
      </c>
      <c r="G484">
        <f t="shared" si="7"/>
        <v>0</v>
      </c>
    </row>
    <row r="485" spans="5:7" x14ac:dyDescent="0.2">
      <c r="E485">
        <v>465</v>
      </c>
      <c r="F485" s="4">
        <v>2927618216.368629</v>
      </c>
      <c r="G485">
        <f t="shared" si="7"/>
        <v>0</v>
      </c>
    </row>
    <row r="486" spans="5:7" x14ac:dyDescent="0.2">
      <c r="E486">
        <v>466</v>
      </c>
      <c r="F486" s="4">
        <v>3299618442.0385895</v>
      </c>
      <c r="G486">
        <f t="shared" si="7"/>
        <v>0</v>
      </c>
    </row>
    <row r="487" spans="5:7" x14ac:dyDescent="0.2">
      <c r="E487">
        <v>467</v>
      </c>
      <c r="F487" s="4">
        <v>3136530393.7654653</v>
      </c>
      <c r="G487">
        <f t="shared" si="7"/>
        <v>0</v>
      </c>
    </row>
    <row r="488" spans="5:7" x14ac:dyDescent="0.2">
      <c r="E488">
        <v>468</v>
      </c>
      <c r="F488" s="4">
        <v>3530887170.7021356</v>
      </c>
      <c r="G488">
        <f t="shared" si="7"/>
        <v>0</v>
      </c>
    </row>
    <row r="489" spans="5:7" x14ac:dyDescent="0.2">
      <c r="E489">
        <v>469</v>
      </c>
      <c r="F489" s="4">
        <v>3434711452.4193377</v>
      </c>
      <c r="G489">
        <f t="shared" si="7"/>
        <v>0</v>
      </c>
    </row>
    <row r="490" spans="5:7" x14ac:dyDescent="0.2">
      <c r="E490">
        <v>470</v>
      </c>
      <c r="F490" s="4">
        <v>2938005544.081284</v>
      </c>
      <c r="G490">
        <f t="shared" si="7"/>
        <v>0</v>
      </c>
    </row>
    <row r="491" spans="5:7" x14ac:dyDescent="0.2">
      <c r="E491">
        <v>471</v>
      </c>
      <c r="F491" s="4">
        <v>3089186336.8606944</v>
      </c>
      <c r="G491">
        <f t="shared" si="7"/>
        <v>0</v>
      </c>
    </row>
    <row r="492" spans="5:7" x14ac:dyDescent="0.2">
      <c r="E492">
        <v>472</v>
      </c>
      <c r="F492" s="4">
        <v>3022856604.3699317</v>
      </c>
      <c r="G492">
        <f t="shared" si="7"/>
        <v>0</v>
      </c>
    </row>
    <row r="493" spans="5:7" x14ac:dyDescent="0.2">
      <c r="E493">
        <v>473</v>
      </c>
      <c r="F493" s="4">
        <v>3361300671.8165231</v>
      </c>
      <c r="G493">
        <f t="shared" si="7"/>
        <v>0</v>
      </c>
    </row>
    <row r="494" spans="5:7" x14ac:dyDescent="0.2">
      <c r="E494">
        <v>474</v>
      </c>
      <c r="F494" s="4">
        <v>3225051565.0846105</v>
      </c>
      <c r="G494">
        <f t="shared" si="7"/>
        <v>0</v>
      </c>
    </row>
    <row r="495" spans="5:7" x14ac:dyDescent="0.2">
      <c r="E495">
        <v>475</v>
      </c>
      <c r="F495" s="4">
        <v>2822647226.0392823</v>
      </c>
      <c r="G495">
        <f t="shared" si="7"/>
        <v>0</v>
      </c>
    </row>
    <row r="496" spans="5:7" x14ac:dyDescent="0.2">
      <c r="E496">
        <v>476</v>
      </c>
      <c r="F496" s="4">
        <v>3439292462.7226195</v>
      </c>
      <c r="G496">
        <f t="shared" si="7"/>
        <v>0</v>
      </c>
    </row>
    <row r="497" spans="5:7" x14ac:dyDescent="0.2">
      <c r="E497">
        <v>477</v>
      </c>
      <c r="F497" s="4">
        <v>2673929848.6579623</v>
      </c>
      <c r="G497">
        <f t="shared" si="7"/>
        <v>0</v>
      </c>
    </row>
    <row r="498" spans="5:7" x14ac:dyDescent="0.2">
      <c r="E498">
        <v>478</v>
      </c>
      <c r="F498" s="4">
        <v>3346266061.0061946</v>
      </c>
      <c r="G498">
        <f t="shared" si="7"/>
        <v>0</v>
      </c>
    </row>
    <row r="499" spans="5:7" x14ac:dyDescent="0.2">
      <c r="E499">
        <v>479</v>
      </c>
      <c r="F499" s="4">
        <v>3208548451.8481998</v>
      </c>
      <c r="G499">
        <f t="shared" si="7"/>
        <v>0</v>
      </c>
    </row>
    <row r="500" spans="5:7" x14ac:dyDescent="0.2">
      <c r="E500">
        <v>480</v>
      </c>
      <c r="F500" s="4">
        <v>3150847668.0156598</v>
      </c>
      <c r="G500">
        <f t="shared" si="7"/>
        <v>0</v>
      </c>
    </row>
    <row r="501" spans="5:7" x14ac:dyDescent="0.2">
      <c r="E501">
        <v>481</v>
      </c>
      <c r="F501" s="4">
        <v>3007137468.6746931</v>
      </c>
      <c r="G501">
        <f t="shared" si="7"/>
        <v>0</v>
      </c>
    </row>
    <row r="502" spans="5:7" x14ac:dyDescent="0.2">
      <c r="E502">
        <v>482</v>
      </c>
      <c r="F502" s="4">
        <v>3094010161.8693638</v>
      </c>
      <c r="G502">
        <f t="shared" si="7"/>
        <v>0</v>
      </c>
    </row>
    <row r="503" spans="5:7" x14ac:dyDescent="0.2">
      <c r="E503">
        <v>483</v>
      </c>
      <c r="F503" s="4">
        <v>3602046217.2839293</v>
      </c>
      <c r="G503">
        <f t="shared" si="7"/>
        <v>0</v>
      </c>
    </row>
    <row r="504" spans="5:7" x14ac:dyDescent="0.2">
      <c r="E504">
        <v>484</v>
      </c>
      <c r="F504" s="4">
        <v>3091630302.9600573</v>
      </c>
      <c r="G504">
        <f t="shared" si="7"/>
        <v>0</v>
      </c>
    </row>
    <row r="505" spans="5:7" x14ac:dyDescent="0.2">
      <c r="E505">
        <v>485</v>
      </c>
      <c r="F505" s="4">
        <v>3132534916.6760521</v>
      </c>
      <c r="G505">
        <f t="shared" si="7"/>
        <v>0</v>
      </c>
    </row>
    <row r="506" spans="5:7" x14ac:dyDescent="0.2">
      <c r="E506">
        <v>486</v>
      </c>
      <c r="F506" s="4">
        <v>2959882919.4580441</v>
      </c>
      <c r="G506">
        <f t="shared" si="7"/>
        <v>0</v>
      </c>
    </row>
    <row r="507" spans="5:7" x14ac:dyDescent="0.2">
      <c r="E507">
        <v>487</v>
      </c>
      <c r="F507" s="4">
        <v>3176778958.9344978</v>
      </c>
      <c r="G507">
        <f t="shared" si="7"/>
        <v>0</v>
      </c>
    </row>
    <row r="508" spans="5:7" x14ac:dyDescent="0.2">
      <c r="E508">
        <v>488</v>
      </c>
      <c r="F508" s="4">
        <v>2996228182.3395257</v>
      </c>
      <c r="G508">
        <f t="shared" si="7"/>
        <v>0</v>
      </c>
    </row>
    <row r="509" spans="5:7" x14ac:dyDescent="0.2">
      <c r="E509">
        <v>489</v>
      </c>
      <c r="F509" s="4">
        <v>3059801868.6497507</v>
      </c>
      <c r="G509">
        <f t="shared" si="7"/>
        <v>0</v>
      </c>
    </row>
    <row r="510" spans="5:7" x14ac:dyDescent="0.2">
      <c r="E510">
        <v>490</v>
      </c>
      <c r="F510" s="4">
        <v>3215363575.1887751</v>
      </c>
      <c r="G510">
        <f t="shared" si="7"/>
        <v>0</v>
      </c>
    </row>
    <row r="511" spans="5:7" x14ac:dyDescent="0.2">
      <c r="E511">
        <v>491</v>
      </c>
      <c r="F511" s="4">
        <v>3004512821.1504498</v>
      </c>
      <c r="G511">
        <f t="shared" si="7"/>
        <v>0</v>
      </c>
    </row>
    <row r="512" spans="5:7" x14ac:dyDescent="0.2">
      <c r="E512">
        <v>492</v>
      </c>
      <c r="F512" s="4">
        <v>3191368140.279716</v>
      </c>
      <c r="G512">
        <f t="shared" si="7"/>
        <v>0</v>
      </c>
    </row>
    <row r="513" spans="5:7" x14ac:dyDescent="0.2">
      <c r="E513">
        <v>493</v>
      </c>
      <c r="F513" s="4">
        <v>3217882082.6393681</v>
      </c>
      <c r="G513">
        <f t="shared" si="7"/>
        <v>0</v>
      </c>
    </row>
    <row r="514" spans="5:7" x14ac:dyDescent="0.2">
      <c r="E514">
        <v>494</v>
      </c>
      <c r="F514" s="4">
        <v>3182695990.2682633</v>
      </c>
      <c r="G514">
        <f t="shared" si="7"/>
        <v>0</v>
      </c>
    </row>
    <row r="515" spans="5:7" x14ac:dyDescent="0.2">
      <c r="E515">
        <v>495</v>
      </c>
      <c r="F515" s="4">
        <v>3246267111.6772981</v>
      </c>
      <c r="G515">
        <f t="shared" si="7"/>
        <v>0</v>
      </c>
    </row>
    <row r="516" spans="5:7" x14ac:dyDescent="0.2">
      <c r="E516">
        <v>496</v>
      </c>
      <c r="F516" s="4">
        <v>3230947697.5011024</v>
      </c>
      <c r="G516">
        <f t="shared" si="7"/>
        <v>0</v>
      </c>
    </row>
    <row r="517" spans="5:7" x14ac:dyDescent="0.2">
      <c r="E517">
        <v>497</v>
      </c>
      <c r="F517" s="4">
        <v>3426983957.9724121</v>
      </c>
      <c r="G517">
        <f t="shared" si="7"/>
        <v>0</v>
      </c>
    </row>
    <row r="518" spans="5:7" x14ac:dyDescent="0.2">
      <c r="E518">
        <v>498</v>
      </c>
      <c r="F518" s="4">
        <v>3068477055.7822261</v>
      </c>
      <c r="G518">
        <f t="shared" si="7"/>
        <v>0</v>
      </c>
    </row>
    <row r="519" spans="5:7" x14ac:dyDescent="0.2">
      <c r="E519">
        <v>499</v>
      </c>
      <c r="F519" s="4">
        <v>3124348605.7753234</v>
      </c>
      <c r="G519">
        <f t="shared" si="7"/>
        <v>0</v>
      </c>
    </row>
    <row r="520" spans="5:7" x14ac:dyDescent="0.2">
      <c r="E520">
        <v>500</v>
      </c>
      <c r="F520" s="4">
        <v>2896733018.8434138</v>
      </c>
      <c r="G520">
        <f t="shared" si="7"/>
        <v>0</v>
      </c>
    </row>
    <row r="521" spans="5:7" x14ac:dyDescent="0.2">
      <c r="E521">
        <v>501</v>
      </c>
      <c r="F521" s="4">
        <v>2945795296.6122775</v>
      </c>
      <c r="G521">
        <f t="shared" si="7"/>
        <v>0</v>
      </c>
    </row>
    <row r="522" spans="5:7" x14ac:dyDescent="0.2">
      <c r="E522">
        <v>502</v>
      </c>
      <c r="F522" s="4">
        <v>2951822265.9298716</v>
      </c>
      <c r="G522">
        <f t="shared" si="7"/>
        <v>0</v>
      </c>
    </row>
    <row r="523" spans="5:7" x14ac:dyDescent="0.2">
      <c r="E523">
        <v>503</v>
      </c>
      <c r="F523" s="4">
        <v>3272766668.9117937</v>
      </c>
      <c r="G523">
        <f t="shared" si="7"/>
        <v>0</v>
      </c>
    </row>
    <row r="524" spans="5:7" x14ac:dyDescent="0.2">
      <c r="E524">
        <v>504</v>
      </c>
      <c r="F524" s="4">
        <v>3227700522.5918622</v>
      </c>
      <c r="G524">
        <f t="shared" si="7"/>
        <v>0</v>
      </c>
    </row>
    <row r="525" spans="5:7" x14ac:dyDescent="0.2">
      <c r="E525">
        <v>505</v>
      </c>
      <c r="F525" s="4">
        <v>2924064731.0354257</v>
      </c>
      <c r="G525">
        <f t="shared" si="7"/>
        <v>0</v>
      </c>
    </row>
    <row r="526" spans="5:7" x14ac:dyDescent="0.2">
      <c r="E526">
        <v>506</v>
      </c>
      <c r="F526" s="4">
        <v>2765140360.2069068</v>
      </c>
      <c r="G526">
        <f t="shared" si="7"/>
        <v>0</v>
      </c>
    </row>
    <row r="527" spans="5:7" x14ac:dyDescent="0.2">
      <c r="E527">
        <v>507</v>
      </c>
      <c r="F527" s="4">
        <v>3212864623.7059054</v>
      </c>
      <c r="G527">
        <f t="shared" si="7"/>
        <v>0</v>
      </c>
    </row>
    <row r="528" spans="5:7" x14ac:dyDescent="0.2">
      <c r="E528">
        <v>508</v>
      </c>
      <c r="F528" s="4">
        <v>3430033972.1146259</v>
      </c>
      <c r="G528">
        <f t="shared" si="7"/>
        <v>0</v>
      </c>
    </row>
    <row r="529" spans="5:7" x14ac:dyDescent="0.2">
      <c r="E529">
        <v>509</v>
      </c>
      <c r="F529" s="4">
        <v>3330398648.4701624</v>
      </c>
      <c r="G529">
        <f t="shared" si="7"/>
        <v>0</v>
      </c>
    </row>
    <row r="530" spans="5:7" x14ac:dyDescent="0.2">
      <c r="E530">
        <v>510</v>
      </c>
      <c r="F530" s="4">
        <v>3243261268.328506</v>
      </c>
      <c r="G530">
        <f t="shared" si="7"/>
        <v>0</v>
      </c>
    </row>
    <row r="531" spans="5:7" x14ac:dyDescent="0.2">
      <c r="E531">
        <v>511</v>
      </c>
      <c r="F531" s="4">
        <v>3100803323.8000941</v>
      </c>
      <c r="G531">
        <f t="shared" si="7"/>
        <v>0</v>
      </c>
    </row>
    <row r="532" spans="5:7" x14ac:dyDescent="0.2">
      <c r="E532">
        <v>512</v>
      </c>
      <c r="F532" s="4">
        <v>3284194410.8911405</v>
      </c>
      <c r="G532">
        <f t="shared" si="7"/>
        <v>0</v>
      </c>
    </row>
    <row r="533" spans="5:7" x14ac:dyDescent="0.2">
      <c r="E533">
        <v>513</v>
      </c>
      <c r="F533" s="4">
        <v>2853765069.6366019</v>
      </c>
      <c r="G533">
        <f t="shared" si="7"/>
        <v>0</v>
      </c>
    </row>
    <row r="534" spans="5:7" x14ac:dyDescent="0.2">
      <c r="E534">
        <v>514</v>
      </c>
      <c r="F534" s="4">
        <v>3041572632.6666632</v>
      </c>
      <c r="G534">
        <f t="shared" ref="G534:G597" si="8">IF(F534&lt;1700000000,1,0)</f>
        <v>0</v>
      </c>
    </row>
    <row r="535" spans="5:7" x14ac:dyDescent="0.2">
      <c r="E535">
        <v>515</v>
      </c>
      <c r="F535" s="4">
        <v>3070648017.7041531</v>
      </c>
      <c r="G535">
        <f t="shared" si="8"/>
        <v>0</v>
      </c>
    </row>
    <row r="536" spans="5:7" x14ac:dyDescent="0.2">
      <c r="E536">
        <v>516</v>
      </c>
      <c r="F536" s="4">
        <v>2963544690.6728592</v>
      </c>
      <c r="G536">
        <f t="shared" si="8"/>
        <v>0</v>
      </c>
    </row>
    <row r="537" spans="5:7" x14ac:dyDescent="0.2">
      <c r="E537">
        <v>517</v>
      </c>
      <c r="F537" s="4">
        <v>2997643107.2410402</v>
      </c>
      <c r="G537">
        <f t="shared" si="8"/>
        <v>0</v>
      </c>
    </row>
    <row r="538" spans="5:7" x14ac:dyDescent="0.2">
      <c r="E538">
        <v>518</v>
      </c>
      <c r="F538" s="4">
        <v>2975535271.6844654</v>
      </c>
      <c r="G538">
        <f t="shared" si="8"/>
        <v>0</v>
      </c>
    </row>
    <row r="539" spans="5:7" x14ac:dyDescent="0.2">
      <c r="E539">
        <v>519</v>
      </c>
      <c r="F539" s="4">
        <v>3327426888.0196185</v>
      </c>
      <c r="G539">
        <f t="shared" si="8"/>
        <v>0</v>
      </c>
    </row>
    <row r="540" spans="5:7" x14ac:dyDescent="0.2">
      <c r="E540">
        <v>520</v>
      </c>
      <c r="F540" s="4">
        <v>3201371651.8589272</v>
      </c>
      <c r="G540">
        <f t="shared" si="8"/>
        <v>0</v>
      </c>
    </row>
    <row r="541" spans="5:7" x14ac:dyDescent="0.2">
      <c r="E541">
        <v>521</v>
      </c>
      <c r="F541" s="4">
        <v>2943454965.2827153</v>
      </c>
      <c r="G541">
        <f t="shared" si="8"/>
        <v>0</v>
      </c>
    </row>
    <row r="542" spans="5:7" x14ac:dyDescent="0.2">
      <c r="E542">
        <v>522</v>
      </c>
      <c r="F542" s="4">
        <v>3019971232.2020488</v>
      </c>
      <c r="G542">
        <f t="shared" si="8"/>
        <v>0</v>
      </c>
    </row>
    <row r="543" spans="5:7" x14ac:dyDescent="0.2">
      <c r="E543">
        <v>523</v>
      </c>
      <c r="F543" s="4">
        <v>3355148544.5268259</v>
      </c>
      <c r="G543">
        <f t="shared" si="8"/>
        <v>0</v>
      </c>
    </row>
    <row r="544" spans="5:7" x14ac:dyDescent="0.2">
      <c r="E544">
        <v>524</v>
      </c>
      <c r="F544" s="4">
        <v>2921771370.3546267</v>
      </c>
      <c r="G544">
        <f t="shared" si="8"/>
        <v>0</v>
      </c>
    </row>
    <row r="545" spans="5:7" x14ac:dyDescent="0.2">
      <c r="E545">
        <v>525</v>
      </c>
      <c r="F545" s="4">
        <v>3103341501.5112023</v>
      </c>
      <c r="G545">
        <f t="shared" si="8"/>
        <v>0</v>
      </c>
    </row>
    <row r="546" spans="5:7" x14ac:dyDescent="0.2">
      <c r="E546">
        <v>526</v>
      </c>
      <c r="F546" s="4">
        <v>2955382021.049664</v>
      </c>
      <c r="G546">
        <f t="shared" si="8"/>
        <v>0</v>
      </c>
    </row>
    <row r="547" spans="5:7" x14ac:dyDescent="0.2">
      <c r="E547">
        <v>527</v>
      </c>
      <c r="F547" s="4">
        <v>2967384742.4554334</v>
      </c>
      <c r="G547">
        <f t="shared" si="8"/>
        <v>0</v>
      </c>
    </row>
    <row r="548" spans="5:7" x14ac:dyDescent="0.2">
      <c r="E548">
        <v>528</v>
      </c>
      <c r="F548" s="4">
        <v>3284915776.4278264</v>
      </c>
      <c r="G548">
        <f t="shared" si="8"/>
        <v>0</v>
      </c>
    </row>
    <row r="549" spans="5:7" x14ac:dyDescent="0.2">
      <c r="E549">
        <v>529</v>
      </c>
      <c r="F549" s="4">
        <v>3250055072.2261052</v>
      </c>
      <c r="G549">
        <f t="shared" si="8"/>
        <v>0</v>
      </c>
    </row>
    <row r="550" spans="5:7" x14ac:dyDescent="0.2">
      <c r="E550">
        <v>530</v>
      </c>
      <c r="F550" s="4">
        <v>2886934434.0620308</v>
      </c>
      <c r="G550">
        <f t="shared" si="8"/>
        <v>0</v>
      </c>
    </row>
    <row r="551" spans="5:7" x14ac:dyDescent="0.2">
      <c r="E551">
        <v>531</v>
      </c>
      <c r="F551" s="4">
        <v>3317316878.3634319</v>
      </c>
      <c r="G551">
        <f t="shared" si="8"/>
        <v>0</v>
      </c>
    </row>
    <row r="552" spans="5:7" x14ac:dyDescent="0.2">
      <c r="E552">
        <v>532</v>
      </c>
      <c r="F552" s="4">
        <v>3140998364.2640657</v>
      </c>
      <c r="G552">
        <f t="shared" si="8"/>
        <v>0</v>
      </c>
    </row>
    <row r="553" spans="5:7" x14ac:dyDescent="0.2">
      <c r="E553">
        <v>533</v>
      </c>
      <c r="F553" s="4">
        <v>3212027582.0104823</v>
      </c>
      <c r="G553">
        <f t="shared" si="8"/>
        <v>0</v>
      </c>
    </row>
    <row r="554" spans="5:7" x14ac:dyDescent="0.2">
      <c r="E554">
        <v>534</v>
      </c>
      <c r="F554" s="4">
        <v>2949173699.0252552</v>
      </c>
      <c r="G554">
        <f t="shared" si="8"/>
        <v>0</v>
      </c>
    </row>
    <row r="555" spans="5:7" x14ac:dyDescent="0.2">
      <c r="E555">
        <v>535</v>
      </c>
      <c r="F555" s="4">
        <v>3059078474.2285643</v>
      </c>
      <c r="G555">
        <f t="shared" si="8"/>
        <v>0</v>
      </c>
    </row>
    <row r="556" spans="5:7" x14ac:dyDescent="0.2">
      <c r="E556">
        <v>536</v>
      </c>
      <c r="F556" s="4">
        <v>2921494369.9949532</v>
      </c>
      <c r="G556">
        <f t="shared" si="8"/>
        <v>0</v>
      </c>
    </row>
    <row r="557" spans="5:7" x14ac:dyDescent="0.2">
      <c r="E557">
        <v>537</v>
      </c>
      <c r="F557" s="4">
        <v>3337779689.6400723</v>
      </c>
      <c r="G557">
        <f t="shared" si="8"/>
        <v>0</v>
      </c>
    </row>
    <row r="558" spans="5:7" x14ac:dyDescent="0.2">
      <c r="E558">
        <v>538</v>
      </c>
      <c r="F558" s="4">
        <v>2854254121.8933902</v>
      </c>
      <c r="G558">
        <f t="shared" si="8"/>
        <v>0</v>
      </c>
    </row>
    <row r="559" spans="5:7" x14ac:dyDescent="0.2">
      <c r="E559">
        <v>539</v>
      </c>
      <c r="F559" s="4">
        <v>3482391848.7128997</v>
      </c>
      <c r="G559">
        <f t="shared" si="8"/>
        <v>0</v>
      </c>
    </row>
    <row r="560" spans="5:7" x14ac:dyDescent="0.2">
      <c r="E560">
        <v>540</v>
      </c>
      <c r="F560" s="4">
        <v>3133180670.8392448</v>
      </c>
      <c r="G560">
        <f t="shared" si="8"/>
        <v>0</v>
      </c>
    </row>
    <row r="561" spans="5:7" x14ac:dyDescent="0.2">
      <c r="E561">
        <v>541</v>
      </c>
      <c r="F561" s="4">
        <v>3262473589.9058948</v>
      </c>
      <c r="G561">
        <f t="shared" si="8"/>
        <v>0</v>
      </c>
    </row>
    <row r="562" spans="5:7" x14ac:dyDescent="0.2">
      <c r="E562">
        <v>542</v>
      </c>
      <c r="F562" s="4">
        <v>3074947933.3960366</v>
      </c>
      <c r="G562">
        <f t="shared" si="8"/>
        <v>0</v>
      </c>
    </row>
    <row r="563" spans="5:7" x14ac:dyDescent="0.2">
      <c r="E563">
        <v>543</v>
      </c>
      <c r="F563" s="4">
        <v>2824941732.213613</v>
      </c>
      <c r="G563">
        <f t="shared" si="8"/>
        <v>0</v>
      </c>
    </row>
    <row r="564" spans="5:7" x14ac:dyDescent="0.2">
      <c r="E564">
        <v>544</v>
      </c>
      <c r="F564" s="4">
        <v>3150092414.1208382</v>
      </c>
      <c r="G564">
        <f t="shared" si="8"/>
        <v>0</v>
      </c>
    </row>
    <row r="565" spans="5:7" x14ac:dyDescent="0.2">
      <c r="E565">
        <v>545</v>
      </c>
      <c r="F565" s="4">
        <v>2798250749.419446</v>
      </c>
      <c r="G565">
        <f t="shared" si="8"/>
        <v>0</v>
      </c>
    </row>
    <row r="566" spans="5:7" x14ac:dyDescent="0.2">
      <c r="E566">
        <v>546</v>
      </c>
      <c r="F566" s="4">
        <v>2736775504.7407031</v>
      </c>
      <c r="G566">
        <f t="shared" si="8"/>
        <v>0</v>
      </c>
    </row>
    <row r="567" spans="5:7" x14ac:dyDescent="0.2">
      <c r="E567">
        <v>547</v>
      </c>
      <c r="F567" s="4">
        <v>3162517838.8160911</v>
      </c>
      <c r="G567">
        <f t="shared" si="8"/>
        <v>0</v>
      </c>
    </row>
    <row r="568" spans="5:7" x14ac:dyDescent="0.2">
      <c r="E568">
        <v>548</v>
      </c>
      <c r="F568" s="4">
        <v>2769499203.8638744</v>
      </c>
      <c r="G568">
        <f t="shared" si="8"/>
        <v>0</v>
      </c>
    </row>
    <row r="569" spans="5:7" x14ac:dyDescent="0.2">
      <c r="E569">
        <v>549</v>
      </c>
      <c r="F569" s="4">
        <v>2925225524.5374479</v>
      </c>
      <c r="G569">
        <f t="shared" si="8"/>
        <v>0</v>
      </c>
    </row>
    <row r="570" spans="5:7" x14ac:dyDescent="0.2">
      <c r="E570">
        <v>550</v>
      </c>
      <c r="F570" s="4">
        <v>2937986672.2104588</v>
      </c>
      <c r="G570">
        <f t="shared" si="8"/>
        <v>0</v>
      </c>
    </row>
    <row r="571" spans="5:7" x14ac:dyDescent="0.2">
      <c r="E571">
        <v>551</v>
      </c>
      <c r="F571" s="4">
        <v>3136813097.4586387</v>
      </c>
      <c r="G571">
        <f t="shared" si="8"/>
        <v>0</v>
      </c>
    </row>
    <row r="572" spans="5:7" x14ac:dyDescent="0.2">
      <c r="E572">
        <v>552</v>
      </c>
      <c r="F572" s="4">
        <v>2931841441.0065603</v>
      </c>
      <c r="G572">
        <f t="shared" si="8"/>
        <v>0</v>
      </c>
    </row>
    <row r="573" spans="5:7" x14ac:dyDescent="0.2">
      <c r="E573">
        <v>553</v>
      </c>
      <c r="F573" s="4">
        <v>3204365872.9599648</v>
      </c>
      <c r="G573">
        <f t="shared" si="8"/>
        <v>0</v>
      </c>
    </row>
    <row r="574" spans="5:7" x14ac:dyDescent="0.2">
      <c r="E574">
        <v>554</v>
      </c>
      <c r="F574" s="4">
        <v>3254546583.2093024</v>
      </c>
      <c r="G574">
        <f t="shared" si="8"/>
        <v>0</v>
      </c>
    </row>
    <row r="575" spans="5:7" x14ac:dyDescent="0.2">
      <c r="E575">
        <v>555</v>
      </c>
      <c r="F575" s="4">
        <v>3098612556.2376561</v>
      </c>
      <c r="G575">
        <f t="shared" si="8"/>
        <v>0</v>
      </c>
    </row>
    <row r="576" spans="5:7" x14ac:dyDescent="0.2">
      <c r="E576">
        <v>556</v>
      </c>
      <c r="F576" s="4">
        <v>3361220986.9968619</v>
      </c>
      <c r="G576">
        <f t="shared" si="8"/>
        <v>0</v>
      </c>
    </row>
    <row r="577" spans="5:7" x14ac:dyDescent="0.2">
      <c r="E577">
        <v>557</v>
      </c>
      <c r="F577" s="4">
        <v>3164447845.1319432</v>
      </c>
      <c r="G577">
        <f t="shared" si="8"/>
        <v>0</v>
      </c>
    </row>
    <row r="578" spans="5:7" x14ac:dyDescent="0.2">
      <c r="E578">
        <v>558</v>
      </c>
      <c r="F578" s="4">
        <v>2956467521.3978701</v>
      </c>
      <c r="G578">
        <f t="shared" si="8"/>
        <v>0</v>
      </c>
    </row>
    <row r="579" spans="5:7" x14ac:dyDescent="0.2">
      <c r="E579">
        <v>559</v>
      </c>
      <c r="F579" s="4">
        <v>2860478830.162158</v>
      </c>
      <c r="G579">
        <f t="shared" si="8"/>
        <v>0</v>
      </c>
    </row>
    <row r="580" spans="5:7" x14ac:dyDescent="0.2">
      <c r="E580">
        <v>560</v>
      </c>
      <c r="F580" s="4">
        <v>2820238698.6251945</v>
      </c>
      <c r="G580">
        <f t="shared" si="8"/>
        <v>0</v>
      </c>
    </row>
    <row r="581" spans="5:7" x14ac:dyDescent="0.2">
      <c r="E581">
        <v>561</v>
      </c>
      <c r="F581" s="4">
        <v>3118371698.4067216</v>
      </c>
      <c r="G581">
        <f t="shared" si="8"/>
        <v>0</v>
      </c>
    </row>
    <row r="582" spans="5:7" x14ac:dyDescent="0.2">
      <c r="E582">
        <v>562</v>
      </c>
      <c r="F582" s="4">
        <v>2930988835.5832372</v>
      </c>
      <c r="G582">
        <f t="shared" si="8"/>
        <v>0</v>
      </c>
    </row>
    <row r="583" spans="5:7" x14ac:dyDescent="0.2">
      <c r="E583">
        <v>563</v>
      </c>
      <c r="F583" s="4">
        <v>3213073739.5691071</v>
      </c>
      <c r="G583">
        <f t="shared" si="8"/>
        <v>0</v>
      </c>
    </row>
    <row r="584" spans="5:7" x14ac:dyDescent="0.2">
      <c r="E584">
        <v>564</v>
      </c>
      <c r="F584" s="4">
        <v>3165885471.9596314</v>
      </c>
      <c r="G584">
        <f t="shared" si="8"/>
        <v>0</v>
      </c>
    </row>
    <row r="585" spans="5:7" x14ac:dyDescent="0.2">
      <c r="E585">
        <v>565</v>
      </c>
      <c r="F585" s="4">
        <v>3026089498.1177268</v>
      </c>
      <c r="G585">
        <f t="shared" si="8"/>
        <v>0</v>
      </c>
    </row>
    <row r="586" spans="5:7" x14ac:dyDescent="0.2">
      <c r="E586">
        <v>566</v>
      </c>
      <c r="F586" s="4">
        <v>3009091233.6741247</v>
      </c>
      <c r="G586">
        <f t="shared" si="8"/>
        <v>0</v>
      </c>
    </row>
    <row r="587" spans="5:7" x14ac:dyDescent="0.2">
      <c r="E587">
        <v>567</v>
      </c>
      <c r="F587" s="4">
        <v>3235737465.8258643</v>
      </c>
      <c r="G587">
        <f t="shared" si="8"/>
        <v>0</v>
      </c>
    </row>
    <row r="588" spans="5:7" x14ac:dyDescent="0.2">
      <c r="E588">
        <v>568</v>
      </c>
      <c r="F588" s="4">
        <v>3178079533.6341729</v>
      </c>
      <c r="G588">
        <f t="shared" si="8"/>
        <v>0</v>
      </c>
    </row>
    <row r="589" spans="5:7" x14ac:dyDescent="0.2">
      <c r="E589">
        <v>569</v>
      </c>
      <c r="F589" s="4">
        <v>2582382617.0488577</v>
      </c>
      <c r="G589">
        <f t="shared" si="8"/>
        <v>0</v>
      </c>
    </row>
    <row r="590" spans="5:7" x14ac:dyDescent="0.2">
      <c r="E590">
        <v>570</v>
      </c>
      <c r="F590" s="4">
        <v>3365895840.1317568</v>
      </c>
      <c r="G590">
        <f t="shared" si="8"/>
        <v>0</v>
      </c>
    </row>
    <row r="591" spans="5:7" x14ac:dyDescent="0.2">
      <c r="E591">
        <v>571</v>
      </c>
      <c r="F591" s="4">
        <v>3123951294.1807399</v>
      </c>
      <c r="G591">
        <f t="shared" si="8"/>
        <v>0</v>
      </c>
    </row>
    <row r="592" spans="5:7" x14ac:dyDescent="0.2">
      <c r="E592">
        <v>572</v>
      </c>
      <c r="F592" s="4">
        <v>3512116710.9335136</v>
      </c>
      <c r="G592">
        <f t="shared" si="8"/>
        <v>0</v>
      </c>
    </row>
    <row r="593" spans="5:7" x14ac:dyDescent="0.2">
      <c r="E593">
        <v>573</v>
      </c>
      <c r="F593" s="4">
        <v>3166201077.8591399</v>
      </c>
      <c r="G593">
        <f t="shared" si="8"/>
        <v>0</v>
      </c>
    </row>
    <row r="594" spans="5:7" x14ac:dyDescent="0.2">
      <c r="E594">
        <v>574</v>
      </c>
      <c r="F594" s="4">
        <v>3228907700.3699818</v>
      </c>
      <c r="G594">
        <f t="shared" si="8"/>
        <v>0</v>
      </c>
    </row>
    <row r="595" spans="5:7" x14ac:dyDescent="0.2">
      <c r="E595">
        <v>575</v>
      </c>
      <c r="F595" s="4">
        <v>3139280907.371285</v>
      </c>
      <c r="G595">
        <f t="shared" si="8"/>
        <v>0</v>
      </c>
    </row>
    <row r="596" spans="5:7" x14ac:dyDescent="0.2">
      <c r="E596">
        <v>576</v>
      </c>
      <c r="F596" s="4">
        <v>3131435204.8506289</v>
      </c>
      <c r="G596">
        <f t="shared" si="8"/>
        <v>0</v>
      </c>
    </row>
    <row r="597" spans="5:7" x14ac:dyDescent="0.2">
      <c r="E597">
        <v>577</v>
      </c>
      <c r="F597" s="4">
        <v>3435559223.7786098</v>
      </c>
      <c r="G597">
        <f t="shared" si="8"/>
        <v>0</v>
      </c>
    </row>
    <row r="598" spans="5:7" x14ac:dyDescent="0.2">
      <c r="E598">
        <v>578</v>
      </c>
      <c r="F598" s="4">
        <v>3185261256.1585975</v>
      </c>
      <c r="G598">
        <f t="shared" ref="G598:G661" si="9">IF(F598&lt;1700000000,1,0)</f>
        <v>0</v>
      </c>
    </row>
    <row r="599" spans="5:7" x14ac:dyDescent="0.2">
      <c r="E599">
        <v>579</v>
      </c>
      <c r="F599" s="4">
        <v>2739733787.8419785</v>
      </c>
      <c r="G599">
        <f t="shared" si="9"/>
        <v>0</v>
      </c>
    </row>
    <row r="600" spans="5:7" x14ac:dyDescent="0.2">
      <c r="E600">
        <v>580</v>
      </c>
      <c r="F600" s="4">
        <v>2864206297.6533332</v>
      </c>
      <c r="G600">
        <f t="shared" si="9"/>
        <v>0</v>
      </c>
    </row>
    <row r="601" spans="5:7" x14ac:dyDescent="0.2">
      <c r="E601">
        <v>581</v>
      </c>
      <c r="F601" s="4">
        <v>3067458682.5951791</v>
      </c>
      <c r="G601">
        <f t="shared" si="9"/>
        <v>0</v>
      </c>
    </row>
    <row r="602" spans="5:7" x14ac:dyDescent="0.2">
      <c r="E602">
        <v>582</v>
      </c>
      <c r="F602" s="4">
        <v>3014379192.9789844</v>
      </c>
      <c r="G602">
        <f t="shared" si="9"/>
        <v>0</v>
      </c>
    </row>
    <row r="603" spans="5:7" x14ac:dyDescent="0.2">
      <c r="E603">
        <v>583</v>
      </c>
      <c r="F603" s="4">
        <v>3412537074.4332519</v>
      </c>
      <c r="G603">
        <f t="shared" si="9"/>
        <v>0</v>
      </c>
    </row>
    <row r="604" spans="5:7" x14ac:dyDescent="0.2">
      <c r="E604">
        <v>584</v>
      </c>
      <c r="F604" s="4">
        <v>3340114577.6816907</v>
      </c>
      <c r="G604">
        <f t="shared" si="9"/>
        <v>0</v>
      </c>
    </row>
    <row r="605" spans="5:7" x14ac:dyDescent="0.2">
      <c r="E605">
        <v>585</v>
      </c>
      <c r="F605" s="4">
        <v>3046854605.5866838</v>
      </c>
      <c r="G605">
        <f t="shared" si="9"/>
        <v>0</v>
      </c>
    </row>
    <row r="606" spans="5:7" x14ac:dyDescent="0.2">
      <c r="E606">
        <v>586</v>
      </c>
      <c r="F606" s="4">
        <v>2994215772.7649708</v>
      </c>
      <c r="G606">
        <f t="shared" si="9"/>
        <v>0</v>
      </c>
    </row>
    <row r="607" spans="5:7" x14ac:dyDescent="0.2">
      <c r="E607">
        <v>587</v>
      </c>
      <c r="F607" s="4">
        <v>2906777097.6940546</v>
      </c>
      <c r="G607">
        <f t="shared" si="9"/>
        <v>0</v>
      </c>
    </row>
    <row r="608" spans="5:7" x14ac:dyDescent="0.2">
      <c r="E608">
        <v>588</v>
      </c>
      <c r="F608" s="4">
        <v>2831333242.0664401</v>
      </c>
      <c r="G608">
        <f t="shared" si="9"/>
        <v>0</v>
      </c>
    </row>
    <row r="609" spans="5:7" x14ac:dyDescent="0.2">
      <c r="E609">
        <v>589</v>
      </c>
      <c r="F609" s="4">
        <v>3020089160.0496883</v>
      </c>
      <c r="G609">
        <f t="shared" si="9"/>
        <v>0</v>
      </c>
    </row>
    <row r="610" spans="5:7" x14ac:dyDescent="0.2">
      <c r="E610">
        <v>590</v>
      </c>
      <c r="F610" s="4">
        <v>3361781509.3579645</v>
      </c>
      <c r="G610">
        <f t="shared" si="9"/>
        <v>0</v>
      </c>
    </row>
    <row r="611" spans="5:7" x14ac:dyDescent="0.2">
      <c r="E611">
        <v>591</v>
      </c>
      <c r="F611" s="4">
        <v>3372343970.4862747</v>
      </c>
      <c r="G611">
        <f t="shared" si="9"/>
        <v>0</v>
      </c>
    </row>
    <row r="612" spans="5:7" x14ac:dyDescent="0.2">
      <c r="E612">
        <v>592</v>
      </c>
      <c r="F612" s="4">
        <v>2942350864.4816556</v>
      </c>
      <c r="G612">
        <f t="shared" si="9"/>
        <v>0</v>
      </c>
    </row>
    <row r="613" spans="5:7" x14ac:dyDescent="0.2">
      <c r="E613">
        <v>593</v>
      </c>
      <c r="F613" s="4">
        <v>3254045094.9153295</v>
      </c>
      <c r="G613">
        <f t="shared" si="9"/>
        <v>0</v>
      </c>
    </row>
    <row r="614" spans="5:7" x14ac:dyDescent="0.2">
      <c r="E614">
        <v>594</v>
      </c>
      <c r="F614" s="4">
        <v>3491499047.9520488</v>
      </c>
      <c r="G614">
        <f t="shared" si="9"/>
        <v>0</v>
      </c>
    </row>
    <row r="615" spans="5:7" x14ac:dyDescent="0.2">
      <c r="E615">
        <v>595</v>
      </c>
      <c r="F615" s="4">
        <v>3044486294.0426216</v>
      </c>
      <c r="G615">
        <f t="shared" si="9"/>
        <v>0</v>
      </c>
    </row>
    <row r="616" spans="5:7" x14ac:dyDescent="0.2">
      <c r="E616">
        <v>596</v>
      </c>
      <c r="F616" s="4">
        <v>3134587150.6833415</v>
      </c>
      <c r="G616">
        <f t="shared" si="9"/>
        <v>0</v>
      </c>
    </row>
    <row r="617" spans="5:7" x14ac:dyDescent="0.2">
      <c r="E617">
        <v>597</v>
      </c>
      <c r="F617" s="4">
        <v>3286995174.8952055</v>
      </c>
      <c r="G617">
        <f t="shared" si="9"/>
        <v>0</v>
      </c>
    </row>
    <row r="618" spans="5:7" x14ac:dyDescent="0.2">
      <c r="E618">
        <v>598</v>
      </c>
      <c r="F618" s="4">
        <v>3061433207.0445151</v>
      </c>
      <c r="G618">
        <f t="shared" si="9"/>
        <v>0</v>
      </c>
    </row>
    <row r="619" spans="5:7" x14ac:dyDescent="0.2">
      <c r="E619">
        <v>599</v>
      </c>
      <c r="F619" s="4">
        <v>3157385408.7923331</v>
      </c>
      <c r="G619">
        <f t="shared" si="9"/>
        <v>0</v>
      </c>
    </row>
    <row r="620" spans="5:7" x14ac:dyDescent="0.2">
      <c r="E620">
        <v>600</v>
      </c>
      <c r="F620" s="4">
        <v>3239606299.863009</v>
      </c>
      <c r="G620">
        <f t="shared" si="9"/>
        <v>0</v>
      </c>
    </row>
    <row r="621" spans="5:7" x14ac:dyDescent="0.2">
      <c r="E621">
        <v>601</v>
      </c>
      <c r="F621" s="4">
        <v>3122169920.0536995</v>
      </c>
      <c r="G621">
        <f t="shared" si="9"/>
        <v>0</v>
      </c>
    </row>
    <row r="622" spans="5:7" x14ac:dyDescent="0.2">
      <c r="E622">
        <v>602</v>
      </c>
      <c r="F622" s="4">
        <v>3235960069.8865395</v>
      </c>
      <c r="G622">
        <f t="shared" si="9"/>
        <v>0</v>
      </c>
    </row>
    <row r="623" spans="5:7" x14ac:dyDescent="0.2">
      <c r="E623">
        <v>603</v>
      </c>
      <c r="F623" s="4">
        <v>3475859644.9263721</v>
      </c>
      <c r="G623">
        <f t="shared" si="9"/>
        <v>0</v>
      </c>
    </row>
    <row r="624" spans="5:7" x14ac:dyDescent="0.2">
      <c r="E624">
        <v>604</v>
      </c>
      <c r="F624" s="4">
        <v>2986033035.9522457</v>
      </c>
      <c r="G624">
        <f t="shared" si="9"/>
        <v>0</v>
      </c>
    </row>
    <row r="625" spans="5:7" x14ac:dyDescent="0.2">
      <c r="E625">
        <v>605</v>
      </c>
      <c r="F625" s="4">
        <v>2957998353.1996403</v>
      </c>
      <c r="G625">
        <f t="shared" si="9"/>
        <v>0</v>
      </c>
    </row>
    <row r="626" spans="5:7" x14ac:dyDescent="0.2">
      <c r="E626">
        <v>606</v>
      </c>
      <c r="F626" s="4">
        <v>3184038605.1850219</v>
      </c>
      <c r="G626">
        <f t="shared" si="9"/>
        <v>0</v>
      </c>
    </row>
    <row r="627" spans="5:7" x14ac:dyDescent="0.2">
      <c r="E627">
        <v>607</v>
      </c>
      <c r="F627" s="4">
        <v>3047258202.0106173</v>
      </c>
      <c r="G627">
        <f t="shared" si="9"/>
        <v>0</v>
      </c>
    </row>
    <row r="628" spans="5:7" x14ac:dyDescent="0.2">
      <c r="E628">
        <v>608</v>
      </c>
      <c r="F628" s="4">
        <v>2848946777.8499012</v>
      </c>
      <c r="G628">
        <f t="shared" si="9"/>
        <v>0</v>
      </c>
    </row>
    <row r="629" spans="5:7" x14ac:dyDescent="0.2">
      <c r="E629">
        <v>609</v>
      </c>
      <c r="F629" s="4">
        <v>3176937558.6615119</v>
      </c>
      <c r="G629">
        <f t="shared" si="9"/>
        <v>0</v>
      </c>
    </row>
    <row r="630" spans="5:7" x14ac:dyDescent="0.2">
      <c r="E630">
        <v>610</v>
      </c>
      <c r="F630" s="4">
        <v>3276816446.3210225</v>
      </c>
      <c r="G630">
        <f t="shared" si="9"/>
        <v>0</v>
      </c>
    </row>
    <row r="631" spans="5:7" x14ac:dyDescent="0.2">
      <c r="E631">
        <v>611</v>
      </c>
      <c r="F631" s="4">
        <v>2695812398.0090923</v>
      </c>
      <c r="G631">
        <f t="shared" si="9"/>
        <v>0</v>
      </c>
    </row>
    <row r="632" spans="5:7" x14ac:dyDescent="0.2">
      <c r="E632">
        <v>612</v>
      </c>
      <c r="F632" s="4">
        <v>3195299141.6489611</v>
      </c>
      <c r="G632">
        <f t="shared" si="9"/>
        <v>0</v>
      </c>
    </row>
    <row r="633" spans="5:7" x14ac:dyDescent="0.2">
      <c r="E633">
        <v>613</v>
      </c>
      <c r="F633" s="4">
        <v>3157298282.4853568</v>
      </c>
      <c r="G633">
        <f t="shared" si="9"/>
        <v>0</v>
      </c>
    </row>
    <row r="634" spans="5:7" x14ac:dyDescent="0.2">
      <c r="E634">
        <v>614</v>
      </c>
      <c r="F634" s="4">
        <v>2991084323.2209516</v>
      </c>
      <c r="G634">
        <f t="shared" si="9"/>
        <v>0</v>
      </c>
    </row>
    <row r="635" spans="5:7" x14ac:dyDescent="0.2">
      <c r="E635">
        <v>615</v>
      </c>
      <c r="F635" s="4">
        <v>2950410728.8116484</v>
      </c>
      <c r="G635">
        <f t="shared" si="9"/>
        <v>0</v>
      </c>
    </row>
    <row r="636" spans="5:7" x14ac:dyDescent="0.2">
      <c r="E636">
        <v>616</v>
      </c>
      <c r="F636" s="4">
        <v>2890282935.3023376</v>
      </c>
      <c r="G636">
        <f t="shared" si="9"/>
        <v>0</v>
      </c>
    </row>
    <row r="637" spans="5:7" x14ac:dyDescent="0.2">
      <c r="E637">
        <v>617</v>
      </c>
      <c r="F637" s="4">
        <v>2556717628.6812968</v>
      </c>
      <c r="G637">
        <f t="shared" si="9"/>
        <v>0</v>
      </c>
    </row>
    <row r="638" spans="5:7" x14ac:dyDescent="0.2">
      <c r="E638">
        <v>618</v>
      </c>
      <c r="F638" s="4">
        <v>3172859219.0977745</v>
      </c>
      <c r="G638">
        <f t="shared" si="9"/>
        <v>0</v>
      </c>
    </row>
    <row r="639" spans="5:7" x14ac:dyDescent="0.2">
      <c r="E639">
        <v>619</v>
      </c>
      <c r="F639" s="4">
        <v>3245060839.1181302</v>
      </c>
      <c r="G639">
        <f t="shared" si="9"/>
        <v>0</v>
      </c>
    </row>
    <row r="640" spans="5:7" x14ac:dyDescent="0.2">
      <c r="E640">
        <v>620</v>
      </c>
      <c r="F640" s="4">
        <v>3103988932.2294726</v>
      </c>
      <c r="G640">
        <f t="shared" si="9"/>
        <v>0</v>
      </c>
    </row>
    <row r="641" spans="5:7" x14ac:dyDescent="0.2">
      <c r="E641">
        <v>621</v>
      </c>
      <c r="F641" s="4">
        <v>3477444286.9898615</v>
      </c>
      <c r="G641">
        <f t="shared" si="9"/>
        <v>0</v>
      </c>
    </row>
    <row r="642" spans="5:7" x14ac:dyDescent="0.2">
      <c r="E642">
        <v>622</v>
      </c>
      <c r="F642" s="4">
        <v>2791230968.1583791</v>
      </c>
      <c r="G642">
        <f t="shared" si="9"/>
        <v>0</v>
      </c>
    </row>
    <row r="643" spans="5:7" x14ac:dyDescent="0.2">
      <c r="E643">
        <v>623</v>
      </c>
      <c r="F643" s="4">
        <v>3285766774.2877913</v>
      </c>
      <c r="G643">
        <f t="shared" si="9"/>
        <v>0</v>
      </c>
    </row>
    <row r="644" spans="5:7" x14ac:dyDescent="0.2">
      <c r="E644">
        <v>624</v>
      </c>
      <c r="F644" s="4">
        <v>3480750080.0265007</v>
      </c>
      <c r="G644">
        <f t="shared" si="9"/>
        <v>0</v>
      </c>
    </row>
    <row r="645" spans="5:7" x14ac:dyDescent="0.2">
      <c r="E645">
        <v>625</v>
      </c>
      <c r="F645" s="4">
        <v>3126352058.2488399</v>
      </c>
      <c r="G645">
        <f t="shared" si="9"/>
        <v>0</v>
      </c>
    </row>
    <row r="646" spans="5:7" x14ac:dyDescent="0.2">
      <c r="E646">
        <v>626</v>
      </c>
      <c r="F646" s="4">
        <v>3067853374.8967328</v>
      </c>
      <c r="G646">
        <f t="shared" si="9"/>
        <v>0</v>
      </c>
    </row>
    <row r="647" spans="5:7" x14ac:dyDescent="0.2">
      <c r="E647">
        <v>627</v>
      </c>
      <c r="F647" s="4">
        <v>3148732851.446589</v>
      </c>
      <c r="G647">
        <f t="shared" si="9"/>
        <v>0</v>
      </c>
    </row>
    <row r="648" spans="5:7" x14ac:dyDescent="0.2">
      <c r="E648">
        <v>628</v>
      </c>
      <c r="F648" s="4">
        <v>3100656661.9846964</v>
      </c>
      <c r="G648">
        <f t="shared" si="9"/>
        <v>0</v>
      </c>
    </row>
    <row r="649" spans="5:7" x14ac:dyDescent="0.2">
      <c r="E649">
        <v>629</v>
      </c>
      <c r="F649" s="4">
        <v>3141867840.5656786</v>
      </c>
      <c r="G649">
        <f t="shared" si="9"/>
        <v>0</v>
      </c>
    </row>
    <row r="650" spans="5:7" x14ac:dyDescent="0.2">
      <c r="E650">
        <v>630</v>
      </c>
      <c r="F650" s="4">
        <v>2946106629.8972273</v>
      </c>
      <c r="G650">
        <f t="shared" si="9"/>
        <v>0</v>
      </c>
    </row>
    <row r="651" spans="5:7" x14ac:dyDescent="0.2">
      <c r="E651">
        <v>631</v>
      </c>
      <c r="F651" s="4">
        <v>2568148961.6376777</v>
      </c>
      <c r="G651">
        <f t="shared" si="9"/>
        <v>0</v>
      </c>
    </row>
    <row r="652" spans="5:7" x14ac:dyDescent="0.2">
      <c r="E652">
        <v>632</v>
      </c>
      <c r="F652" s="4">
        <v>3538709234.1611319</v>
      </c>
      <c r="G652">
        <f t="shared" si="9"/>
        <v>0</v>
      </c>
    </row>
    <row r="653" spans="5:7" x14ac:dyDescent="0.2">
      <c r="E653">
        <v>633</v>
      </c>
      <c r="F653" s="4">
        <v>2546814857.4974689</v>
      </c>
      <c r="G653">
        <f t="shared" si="9"/>
        <v>0</v>
      </c>
    </row>
    <row r="654" spans="5:7" x14ac:dyDescent="0.2">
      <c r="E654">
        <v>634</v>
      </c>
      <c r="F654" s="4">
        <v>3104741301.5514464</v>
      </c>
      <c r="G654">
        <f t="shared" si="9"/>
        <v>0</v>
      </c>
    </row>
    <row r="655" spans="5:7" x14ac:dyDescent="0.2">
      <c r="E655">
        <v>635</v>
      </c>
      <c r="F655" s="4">
        <v>2995360851.2150626</v>
      </c>
      <c r="G655">
        <f t="shared" si="9"/>
        <v>0</v>
      </c>
    </row>
    <row r="656" spans="5:7" x14ac:dyDescent="0.2">
      <c r="E656">
        <v>636</v>
      </c>
      <c r="F656" s="4">
        <v>2954137859.8591194</v>
      </c>
      <c r="G656">
        <f t="shared" si="9"/>
        <v>0</v>
      </c>
    </row>
    <row r="657" spans="5:7" x14ac:dyDescent="0.2">
      <c r="E657">
        <v>637</v>
      </c>
      <c r="F657" s="4">
        <v>3099702202.5694542</v>
      </c>
      <c r="G657">
        <f t="shared" si="9"/>
        <v>0</v>
      </c>
    </row>
    <row r="658" spans="5:7" x14ac:dyDescent="0.2">
      <c r="E658">
        <v>638</v>
      </c>
      <c r="F658" s="4">
        <v>2861219081.2271581</v>
      </c>
      <c r="G658">
        <f t="shared" si="9"/>
        <v>0</v>
      </c>
    </row>
    <row r="659" spans="5:7" x14ac:dyDescent="0.2">
      <c r="E659">
        <v>639</v>
      </c>
      <c r="F659" s="4">
        <v>3213968184.3387637</v>
      </c>
      <c r="G659">
        <f t="shared" si="9"/>
        <v>0</v>
      </c>
    </row>
    <row r="660" spans="5:7" x14ac:dyDescent="0.2">
      <c r="E660">
        <v>640</v>
      </c>
      <c r="F660" s="4">
        <v>2709953865.8062034</v>
      </c>
      <c r="G660">
        <f t="shared" si="9"/>
        <v>0</v>
      </c>
    </row>
    <row r="661" spans="5:7" x14ac:dyDescent="0.2">
      <c r="E661">
        <v>641</v>
      </c>
      <c r="F661" s="4">
        <v>2931692339.0101199</v>
      </c>
      <c r="G661">
        <f t="shared" si="9"/>
        <v>0</v>
      </c>
    </row>
    <row r="662" spans="5:7" x14ac:dyDescent="0.2">
      <c r="E662">
        <v>642</v>
      </c>
      <c r="F662" s="4">
        <v>3417699479.8837829</v>
      </c>
      <c r="G662">
        <f t="shared" ref="G662:G725" si="10">IF(F662&lt;1700000000,1,0)</f>
        <v>0</v>
      </c>
    </row>
    <row r="663" spans="5:7" x14ac:dyDescent="0.2">
      <c r="E663">
        <v>643</v>
      </c>
      <c r="F663" s="4">
        <v>3182627321.2555718</v>
      </c>
      <c r="G663">
        <f t="shared" si="10"/>
        <v>0</v>
      </c>
    </row>
    <row r="664" spans="5:7" x14ac:dyDescent="0.2">
      <c r="E664">
        <v>644</v>
      </c>
      <c r="F664" s="4">
        <v>3169145703.2545328</v>
      </c>
      <c r="G664">
        <f t="shared" si="10"/>
        <v>0</v>
      </c>
    </row>
    <row r="665" spans="5:7" x14ac:dyDescent="0.2">
      <c r="E665">
        <v>645</v>
      </c>
      <c r="F665" s="4">
        <v>3455338429.3933163</v>
      </c>
      <c r="G665">
        <f t="shared" si="10"/>
        <v>0</v>
      </c>
    </row>
    <row r="666" spans="5:7" x14ac:dyDescent="0.2">
      <c r="E666">
        <v>646</v>
      </c>
      <c r="F666" s="4">
        <v>2978766163.1077542</v>
      </c>
      <c r="G666">
        <f t="shared" si="10"/>
        <v>0</v>
      </c>
    </row>
    <row r="667" spans="5:7" x14ac:dyDescent="0.2">
      <c r="E667">
        <v>647</v>
      </c>
      <c r="F667" s="4">
        <v>3207952671.3201599</v>
      </c>
      <c r="G667">
        <f t="shared" si="10"/>
        <v>0</v>
      </c>
    </row>
    <row r="668" spans="5:7" x14ac:dyDescent="0.2">
      <c r="E668">
        <v>648</v>
      </c>
      <c r="F668" s="4">
        <v>3155254151.8637733</v>
      </c>
      <c r="G668">
        <f t="shared" si="10"/>
        <v>0</v>
      </c>
    </row>
    <row r="669" spans="5:7" x14ac:dyDescent="0.2">
      <c r="E669">
        <v>649</v>
      </c>
      <c r="F669" s="4">
        <v>2848203579.024168</v>
      </c>
      <c r="G669">
        <f t="shared" si="10"/>
        <v>0</v>
      </c>
    </row>
    <row r="670" spans="5:7" x14ac:dyDescent="0.2">
      <c r="E670">
        <v>650</v>
      </c>
      <c r="F670" s="4">
        <v>3060503178.7655945</v>
      </c>
      <c r="G670">
        <f t="shared" si="10"/>
        <v>0</v>
      </c>
    </row>
    <row r="671" spans="5:7" x14ac:dyDescent="0.2">
      <c r="E671">
        <v>651</v>
      </c>
      <c r="F671" s="4">
        <v>2723021367.8849792</v>
      </c>
      <c r="G671">
        <f t="shared" si="10"/>
        <v>0</v>
      </c>
    </row>
    <row r="672" spans="5:7" x14ac:dyDescent="0.2">
      <c r="E672">
        <v>652</v>
      </c>
      <c r="F672" s="4">
        <v>2906716245.7900052</v>
      </c>
      <c r="G672">
        <f t="shared" si="10"/>
        <v>0</v>
      </c>
    </row>
    <row r="673" spans="5:7" x14ac:dyDescent="0.2">
      <c r="E673">
        <v>653</v>
      </c>
      <c r="F673" s="4">
        <v>3341194586.77075</v>
      </c>
      <c r="G673">
        <f t="shared" si="10"/>
        <v>0</v>
      </c>
    </row>
    <row r="674" spans="5:7" x14ac:dyDescent="0.2">
      <c r="E674">
        <v>654</v>
      </c>
      <c r="F674" s="4">
        <v>3003850977.0219083</v>
      </c>
      <c r="G674">
        <f t="shared" si="10"/>
        <v>0</v>
      </c>
    </row>
    <row r="675" spans="5:7" x14ac:dyDescent="0.2">
      <c r="E675">
        <v>655</v>
      </c>
      <c r="F675" s="4">
        <v>3130960488.9104776</v>
      </c>
      <c r="G675">
        <f t="shared" si="10"/>
        <v>0</v>
      </c>
    </row>
    <row r="676" spans="5:7" x14ac:dyDescent="0.2">
      <c r="E676">
        <v>656</v>
      </c>
      <c r="F676" s="4">
        <v>2798817140.741827</v>
      </c>
      <c r="G676">
        <f t="shared" si="10"/>
        <v>0</v>
      </c>
    </row>
    <row r="677" spans="5:7" x14ac:dyDescent="0.2">
      <c r="E677">
        <v>657</v>
      </c>
      <c r="F677" s="4">
        <v>3407649184.1397953</v>
      </c>
      <c r="G677">
        <f t="shared" si="10"/>
        <v>0</v>
      </c>
    </row>
    <row r="678" spans="5:7" x14ac:dyDescent="0.2">
      <c r="E678">
        <v>658</v>
      </c>
      <c r="F678" s="4">
        <v>3047107520.8656988</v>
      </c>
      <c r="G678">
        <f t="shared" si="10"/>
        <v>0</v>
      </c>
    </row>
    <row r="679" spans="5:7" x14ac:dyDescent="0.2">
      <c r="E679">
        <v>659</v>
      </c>
      <c r="F679" s="4">
        <v>2548986383.2342467</v>
      </c>
      <c r="G679">
        <f t="shared" si="10"/>
        <v>0</v>
      </c>
    </row>
    <row r="680" spans="5:7" x14ac:dyDescent="0.2">
      <c r="E680">
        <v>660</v>
      </c>
      <c r="F680" s="4">
        <v>3459131697.9052114</v>
      </c>
      <c r="G680">
        <f t="shared" si="10"/>
        <v>0</v>
      </c>
    </row>
    <row r="681" spans="5:7" x14ac:dyDescent="0.2">
      <c r="E681">
        <v>661</v>
      </c>
      <c r="F681" s="4">
        <v>3260331018.8582687</v>
      </c>
      <c r="G681">
        <f t="shared" si="10"/>
        <v>0</v>
      </c>
    </row>
    <row r="682" spans="5:7" x14ac:dyDescent="0.2">
      <c r="E682">
        <v>662</v>
      </c>
      <c r="F682" s="4">
        <v>3241788207.8873143</v>
      </c>
      <c r="G682">
        <f t="shared" si="10"/>
        <v>0</v>
      </c>
    </row>
    <row r="683" spans="5:7" x14ac:dyDescent="0.2">
      <c r="E683">
        <v>663</v>
      </c>
      <c r="F683" s="4">
        <v>3367458069.9294624</v>
      </c>
      <c r="G683">
        <f t="shared" si="10"/>
        <v>0</v>
      </c>
    </row>
    <row r="684" spans="5:7" x14ac:dyDescent="0.2">
      <c r="E684">
        <v>664</v>
      </c>
      <c r="F684" s="4">
        <v>3075271800.9776702</v>
      </c>
      <c r="G684">
        <f t="shared" si="10"/>
        <v>0</v>
      </c>
    </row>
    <row r="685" spans="5:7" x14ac:dyDescent="0.2">
      <c r="E685">
        <v>665</v>
      </c>
      <c r="F685" s="4">
        <v>2901246501.8078818</v>
      </c>
      <c r="G685">
        <f t="shared" si="10"/>
        <v>0</v>
      </c>
    </row>
    <row r="686" spans="5:7" x14ac:dyDescent="0.2">
      <c r="E686">
        <v>666</v>
      </c>
      <c r="F686" s="4">
        <v>2882468872.3786101</v>
      </c>
      <c r="G686">
        <f t="shared" si="10"/>
        <v>0</v>
      </c>
    </row>
    <row r="687" spans="5:7" x14ac:dyDescent="0.2">
      <c r="E687">
        <v>667</v>
      </c>
      <c r="F687" s="4">
        <v>3272767155.5550609</v>
      </c>
      <c r="G687">
        <f t="shared" si="10"/>
        <v>0</v>
      </c>
    </row>
    <row r="688" spans="5:7" x14ac:dyDescent="0.2">
      <c r="E688">
        <v>668</v>
      </c>
      <c r="F688" s="4">
        <v>2672295882.065619</v>
      </c>
      <c r="G688">
        <f t="shared" si="10"/>
        <v>0</v>
      </c>
    </row>
    <row r="689" spans="5:7" x14ac:dyDescent="0.2">
      <c r="E689">
        <v>669</v>
      </c>
      <c r="F689" s="4">
        <v>3081290753.9288535</v>
      </c>
      <c r="G689">
        <f t="shared" si="10"/>
        <v>0</v>
      </c>
    </row>
    <row r="690" spans="5:7" x14ac:dyDescent="0.2">
      <c r="E690">
        <v>670</v>
      </c>
      <c r="F690" s="4">
        <v>2768203247.5188112</v>
      </c>
      <c r="G690">
        <f t="shared" si="10"/>
        <v>0</v>
      </c>
    </row>
    <row r="691" spans="5:7" x14ac:dyDescent="0.2">
      <c r="E691">
        <v>671</v>
      </c>
      <c r="F691" s="4">
        <v>2990893672.744894</v>
      </c>
      <c r="G691">
        <f t="shared" si="10"/>
        <v>0</v>
      </c>
    </row>
    <row r="692" spans="5:7" x14ac:dyDescent="0.2">
      <c r="E692">
        <v>672</v>
      </c>
      <c r="F692" s="4">
        <v>3036806005.920516</v>
      </c>
      <c r="G692">
        <f t="shared" si="10"/>
        <v>0</v>
      </c>
    </row>
    <row r="693" spans="5:7" x14ac:dyDescent="0.2">
      <c r="E693">
        <v>673</v>
      </c>
      <c r="F693" s="4">
        <v>3212020443.3436327</v>
      </c>
      <c r="G693">
        <f t="shared" si="10"/>
        <v>0</v>
      </c>
    </row>
    <row r="694" spans="5:7" x14ac:dyDescent="0.2">
      <c r="E694">
        <v>674</v>
      </c>
      <c r="F694" s="4">
        <v>3174960096.4746132</v>
      </c>
      <c r="G694">
        <f t="shared" si="10"/>
        <v>0</v>
      </c>
    </row>
    <row r="695" spans="5:7" x14ac:dyDescent="0.2">
      <c r="E695">
        <v>675</v>
      </c>
      <c r="F695" s="4">
        <v>3250776844.2971277</v>
      </c>
      <c r="G695">
        <f t="shared" si="10"/>
        <v>0</v>
      </c>
    </row>
    <row r="696" spans="5:7" x14ac:dyDescent="0.2">
      <c r="E696">
        <v>676</v>
      </c>
      <c r="F696" s="4">
        <v>3195756409.1597943</v>
      </c>
      <c r="G696">
        <f t="shared" si="10"/>
        <v>0</v>
      </c>
    </row>
    <row r="697" spans="5:7" x14ac:dyDescent="0.2">
      <c r="E697">
        <v>677</v>
      </c>
      <c r="F697" s="4">
        <v>2850193632.7754579</v>
      </c>
      <c r="G697">
        <f t="shared" si="10"/>
        <v>0</v>
      </c>
    </row>
    <row r="698" spans="5:7" x14ac:dyDescent="0.2">
      <c r="E698">
        <v>678</v>
      </c>
      <c r="F698" s="4">
        <v>2619968442.2466912</v>
      </c>
      <c r="G698">
        <f t="shared" si="10"/>
        <v>0</v>
      </c>
    </row>
    <row r="699" spans="5:7" x14ac:dyDescent="0.2">
      <c r="E699">
        <v>679</v>
      </c>
      <c r="F699" s="4">
        <v>3515711115.9708505</v>
      </c>
      <c r="G699">
        <f t="shared" si="10"/>
        <v>0</v>
      </c>
    </row>
    <row r="700" spans="5:7" x14ac:dyDescent="0.2">
      <c r="E700">
        <v>680</v>
      </c>
      <c r="F700" s="4">
        <v>3250534757.2440476</v>
      </c>
      <c r="G700">
        <f t="shared" si="10"/>
        <v>0</v>
      </c>
    </row>
    <row r="701" spans="5:7" x14ac:dyDescent="0.2">
      <c r="E701">
        <v>681</v>
      </c>
      <c r="F701" s="4">
        <v>3063521209.9203639</v>
      </c>
      <c r="G701">
        <f t="shared" si="10"/>
        <v>0</v>
      </c>
    </row>
    <row r="702" spans="5:7" x14ac:dyDescent="0.2">
      <c r="E702">
        <v>682</v>
      </c>
      <c r="F702" s="4">
        <v>3067672478.9730978</v>
      </c>
      <c r="G702">
        <f t="shared" si="10"/>
        <v>0</v>
      </c>
    </row>
    <row r="703" spans="5:7" x14ac:dyDescent="0.2">
      <c r="E703">
        <v>683</v>
      </c>
      <c r="F703" s="4">
        <v>2929720454.2088084</v>
      </c>
      <c r="G703">
        <f t="shared" si="10"/>
        <v>0</v>
      </c>
    </row>
    <row r="704" spans="5:7" x14ac:dyDescent="0.2">
      <c r="E704">
        <v>684</v>
      </c>
      <c r="F704" s="4">
        <v>2952867363.5084562</v>
      </c>
      <c r="G704">
        <f t="shared" si="10"/>
        <v>0</v>
      </c>
    </row>
    <row r="705" spans="5:7" x14ac:dyDescent="0.2">
      <c r="E705">
        <v>685</v>
      </c>
      <c r="F705" s="4">
        <v>3473240364.8942027</v>
      </c>
      <c r="G705">
        <f t="shared" si="10"/>
        <v>0</v>
      </c>
    </row>
    <row r="706" spans="5:7" x14ac:dyDescent="0.2">
      <c r="E706">
        <v>686</v>
      </c>
      <c r="F706" s="4">
        <v>2894937988.6087399</v>
      </c>
      <c r="G706">
        <f t="shared" si="10"/>
        <v>0</v>
      </c>
    </row>
    <row r="707" spans="5:7" x14ac:dyDescent="0.2">
      <c r="E707">
        <v>687</v>
      </c>
      <c r="F707" s="4">
        <v>3212301820.0170064</v>
      </c>
      <c r="G707">
        <f t="shared" si="10"/>
        <v>0</v>
      </c>
    </row>
    <row r="708" spans="5:7" x14ac:dyDescent="0.2">
      <c r="E708">
        <v>688</v>
      </c>
      <c r="F708" s="4">
        <v>3250317437.9341431</v>
      </c>
      <c r="G708">
        <f t="shared" si="10"/>
        <v>0</v>
      </c>
    </row>
    <row r="709" spans="5:7" x14ac:dyDescent="0.2">
      <c r="E709">
        <v>689</v>
      </c>
      <c r="F709" s="4">
        <v>3130822953.1359143</v>
      </c>
      <c r="G709">
        <f t="shared" si="10"/>
        <v>0</v>
      </c>
    </row>
    <row r="710" spans="5:7" x14ac:dyDescent="0.2">
      <c r="E710">
        <v>690</v>
      </c>
      <c r="F710" s="4">
        <v>2870049827.2910132</v>
      </c>
      <c r="G710">
        <f t="shared" si="10"/>
        <v>0</v>
      </c>
    </row>
    <row r="711" spans="5:7" x14ac:dyDescent="0.2">
      <c r="E711">
        <v>691</v>
      </c>
      <c r="F711" s="4">
        <v>3172032846.7045059</v>
      </c>
      <c r="G711">
        <f t="shared" si="10"/>
        <v>0</v>
      </c>
    </row>
    <row r="712" spans="5:7" x14ac:dyDescent="0.2">
      <c r="E712">
        <v>692</v>
      </c>
      <c r="F712" s="4">
        <v>3067704502.312243</v>
      </c>
      <c r="G712">
        <f t="shared" si="10"/>
        <v>0</v>
      </c>
    </row>
    <row r="713" spans="5:7" x14ac:dyDescent="0.2">
      <c r="E713">
        <v>693</v>
      </c>
      <c r="F713" s="4">
        <v>2966656276.0426211</v>
      </c>
      <c r="G713">
        <f t="shared" si="10"/>
        <v>0</v>
      </c>
    </row>
    <row r="714" spans="5:7" x14ac:dyDescent="0.2">
      <c r="E714">
        <v>694</v>
      </c>
      <c r="F714" s="4">
        <v>3230207618.9010315</v>
      </c>
      <c r="G714">
        <f t="shared" si="10"/>
        <v>0</v>
      </c>
    </row>
    <row r="715" spans="5:7" x14ac:dyDescent="0.2">
      <c r="E715">
        <v>695</v>
      </c>
      <c r="F715" s="4">
        <v>3477240494.2995758</v>
      </c>
      <c r="G715">
        <f t="shared" si="10"/>
        <v>0</v>
      </c>
    </row>
    <row r="716" spans="5:7" x14ac:dyDescent="0.2">
      <c r="E716">
        <v>696</v>
      </c>
      <c r="F716" s="4">
        <v>3317097718.672009</v>
      </c>
      <c r="G716">
        <f t="shared" si="10"/>
        <v>0</v>
      </c>
    </row>
    <row r="717" spans="5:7" x14ac:dyDescent="0.2">
      <c r="E717">
        <v>697</v>
      </c>
      <c r="F717" s="4">
        <v>3089456433.0212049</v>
      </c>
      <c r="G717">
        <f t="shared" si="10"/>
        <v>0</v>
      </c>
    </row>
    <row r="718" spans="5:7" x14ac:dyDescent="0.2">
      <c r="E718">
        <v>698</v>
      </c>
      <c r="F718" s="4">
        <v>2796778231.1744199</v>
      </c>
      <c r="G718">
        <f t="shared" si="10"/>
        <v>0</v>
      </c>
    </row>
    <row r="719" spans="5:7" x14ac:dyDescent="0.2">
      <c r="E719">
        <v>699</v>
      </c>
      <c r="F719" s="4">
        <v>3095432448.9570837</v>
      </c>
      <c r="G719">
        <f t="shared" si="10"/>
        <v>0</v>
      </c>
    </row>
    <row r="720" spans="5:7" x14ac:dyDescent="0.2">
      <c r="E720">
        <v>700</v>
      </c>
      <c r="F720" s="4">
        <v>2909048614.131505</v>
      </c>
      <c r="G720">
        <f t="shared" si="10"/>
        <v>0</v>
      </c>
    </row>
    <row r="721" spans="5:7" x14ac:dyDescent="0.2">
      <c r="E721">
        <v>701</v>
      </c>
      <c r="F721" s="4">
        <v>2768343488.3167906</v>
      </c>
      <c r="G721">
        <f t="shared" si="10"/>
        <v>0</v>
      </c>
    </row>
    <row r="722" spans="5:7" x14ac:dyDescent="0.2">
      <c r="E722">
        <v>702</v>
      </c>
      <c r="F722" s="4">
        <v>3613698975.4171724</v>
      </c>
      <c r="G722">
        <f t="shared" si="10"/>
        <v>0</v>
      </c>
    </row>
    <row r="723" spans="5:7" x14ac:dyDescent="0.2">
      <c r="E723">
        <v>703</v>
      </c>
      <c r="F723" s="4">
        <v>3092038124.9045553</v>
      </c>
      <c r="G723">
        <f t="shared" si="10"/>
        <v>0</v>
      </c>
    </row>
    <row r="724" spans="5:7" x14ac:dyDescent="0.2">
      <c r="E724">
        <v>704</v>
      </c>
      <c r="F724" s="4">
        <v>3188326039.8762622</v>
      </c>
      <c r="G724">
        <f t="shared" si="10"/>
        <v>0</v>
      </c>
    </row>
    <row r="725" spans="5:7" x14ac:dyDescent="0.2">
      <c r="E725">
        <v>705</v>
      </c>
      <c r="F725" s="4">
        <v>3244433398.8239055</v>
      </c>
      <c r="G725">
        <f t="shared" si="10"/>
        <v>0</v>
      </c>
    </row>
    <row r="726" spans="5:7" x14ac:dyDescent="0.2">
      <c r="E726">
        <v>706</v>
      </c>
      <c r="F726" s="4">
        <v>3031809666.5633249</v>
      </c>
      <c r="G726">
        <f t="shared" ref="G726:G789" si="11">IF(F726&lt;1700000000,1,0)</f>
        <v>0</v>
      </c>
    </row>
    <row r="727" spans="5:7" x14ac:dyDescent="0.2">
      <c r="E727">
        <v>707</v>
      </c>
      <c r="F727" s="4">
        <v>3544599674.9181514</v>
      </c>
      <c r="G727">
        <f t="shared" si="11"/>
        <v>0</v>
      </c>
    </row>
    <row r="728" spans="5:7" x14ac:dyDescent="0.2">
      <c r="E728">
        <v>708</v>
      </c>
      <c r="F728" s="4">
        <v>2918303501.4055715</v>
      </c>
      <c r="G728">
        <f t="shared" si="11"/>
        <v>0</v>
      </c>
    </row>
    <row r="729" spans="5:7" x14ac:dyDescent="0.2">
      <c r="E729">
        <v>709</v>
      </c>
      <c r="F729" s="4">
        <v>3217934404.6107464</v>
      </c>
      <c r="G729">
        <f t="shared" si="11"/>
        <v>0</v>
      </c>
    </row>
    <row r="730" spans="5:7" x14ac:dyDescent="0.2">
      <c r="E730">
        <v>710</v>
      </c>
      <c r="F730" s="4">
        <v>3683343854.2503004</v>
      </c>
      <c r="G730">
        <f t="shared" si="11"/>
        <v>0</v>
      </c>
    </row>
    <row r="731" spans="5:7" x14ac:dyDescent="0.2">
      <c r="E731">
        <v>711</v>
      </c>
      <c r="F731" s="4">
        <v>3097176058.1549373</v>
      </c>
      <c r="G731">
        <f t="shared" si="11"/>
        <v>0</v>
      </c>
    </row>
    <row r="732" spans="5:7" x14ac:dyDescent="0.2">
      <c r="E732">
        <v>712</v>
      </c>
      <c r="F732" s="4">
        <v>3016964692.5356417</v>
      </c>
      <c r="G732">
        <f t="shared" si="11"/>
        <v>0</v>
      </c>
    </row>
    <row r="733" spans="5:7" x14ac:dyDescent="0.2">
      <c r="E733">
        <v>713</v>
      </c>
      <c r="F733" s="4">
        <v>3680245366.7264509</v>
      </c>
      <c r="G733">
        <f t="shared" si="11"/>
        <v>0</v>
      </c>
    </row>
    <row r="734" spans="5:7" x14ac:dyDescent="0.2">
      <c r="E734">
        <v>714</v>
      </c>
      <c r="F734" s="4">
        <v>3252093246.1591182</v>
      </c>
      <c r="G734">
        <f t="shared" si="11"/>
        <v>0</v>
      </c>
    </row>
    <row r="735" spans="5:7" x14ac:dyDescent="0.2">
      <c r="E735">
        <v>715</v>
      </c>
      <c r="F735" s="4">
        <v>3306124336.769063</v>
      </c>
      <c r="G735">
        <f t="shared" si="11"/>
        <v>0</v>
      </c>
    </row>
    <row r="736" spans="5:7" x14ac:dyDescent="0.2">
      <c r="E736">
        <v>716</v>
      </c>
      <c r="F736" s="4">
        <v>3093761171.6179094</v>
      </c>
      <c r="G736">
        <f t="shared" si="11"/>
        <v>0</v>
      </c>
    </row>
    <row r="737" spans="5:7" x14ac:dyDescent="0.2">
      <c r="E737">
        <v>717</v>
      </c>
      <c r="F737" s="4">
        <v>3073979505.759481</v>
      </c>
      <c r="G737">
        <f t="shared" si="11"/>
        <v>0</v>
      </c>
    </row>
    <row r="738" spans="5:7" x14ac:dyDescent="0.2">
      <c r="E738">
        <v>718</v>
      </c>
      <c r="F738" s="4">
        <v>3067947449.210093</v>
      </c>
      <c r="G738">
        <f t="shared" si="11"/>
        <v>0</v>
      </c>
    </row>
    <row r="739" spans="5:7" x14ac:dyDescent="0.2">
      <c r="E739">
        <v>719</v>
      </c>
      <c r="F739" s="4">
        <v>2825976711.6041751</v>
      </c>
      <c r="G739">
        <f t="shared" si="11"/>
        <v>0</v>
      </c>
    </row>
    <row r="740" spans="5:7" x14ac:dyDescent="0.2">
      <c r="E740">
        <v>720</v>
      </c>
      <c r="F740" s="4">
        <v>3339082901.3735332</v>
      </c>
      <c r="G740">
        <f t="shared" si="11"/>
        <v>0</v>
      </c>
    </row>
    <row r="741" spans="5:7" x14ac:dyDescent="0.2">
      <c r="E741">
        <v>721</v>
      </c>
      <c r="F741" s="4">
        <v>3297853349.4165559</v>
      </c>
      <c r="G741">
        <f t="shared" si="11"/>
        <v>0</v>
      </c>
    </row>
    <row r="742" spans="5:7" x14ac:dyDescent="0.2">
      <c r="E742">
        <v>722</v>
      </c>
      <c r="F742" s="4">
        <v>3387356538.4428225</v>
      </c>
      <c r="G742">
        <f t="shared" si="11"/>
        <v>0</v>
      </c>
    </row>
    <row r="743" spans="5:7" x14ac:dyDescent="0.2">
      <c r="E743">
        <v>723</v>
      </c>
      <c r="F743" s="4">
        <v>3069923023.2880092</v>
      </c>
      <c r="G743">
        <f t="shared" si="11"/>
        <v>0</v>
      </c>
    </row>
    <row r="744" spans="5:7" x14ac:dyDescent="0.2">
      <c r="E744">
        <v>724</v>
      </c>
      <c r="F744" s="4">
        <v>3118510570.7149086</v>
      </c>
      <c r="G744">
        <f t="shared" si="11"/>
        <v>0</v>
      </c>
    </row>
    <row r="745" spans="5:7" x14ac:dyDescent="0.2">
      <c r="E745">
        <v>725</v>
      </c>
      <c r="F745" s="4">
        <v>3170355823.0654039</v>
      </c>
      <c r="G745">
        <f t="shared" si="11"/>
        <v>0</v>
      </c>
    </row>
    <row r="746" spans="5:7" x14ac:dyDescent="0.2">
      <c r="E746">
        <v>726</v>
      </c>
      <c r="F746" s="4">
        <v>3520427380.6976657</v>
      </c>
      <c r="G746">
        <f t="shared" si="11"/>
        <v>0</v>
      </c>
    </row>
    <row r="747" spans="5:7" x14ac:dyDescent="0.2">
      <c r="E747">
        <v>727</v>
      </c>
      <c r="F747" s="4">
        <v>3366607810.4823079</v>
      </c>
      <c r="G747">
        <f t="shared" si="11"/>
        <v>0</v>
      </c>
    </row>
    <row r="748" spans="5:7" x14ac:dyDescent="0.2">
      <c r="E748">
        <v>728</v>
      </c>
      <c r="F748" s="4">
        <v>3105009555.6278191</v>
      </c>
      <c r="G748">
        <f t="shared" si="11"/>
        <v>0</v>
      </c>
    </row>
    <row r="749" spans="5:7" x14ac:dyDescent="0.2">
      <c r="E749">
        <v>729</v>
      </c>
      <c r="F749" s="4">
        <v>3157290983.9297385</v>
      </c>
      <c r="G749">
        <f t="shared" si="11"/>
        <v>0</v>
      </c>
    </row>
    <row r="750" spans="5:7" x14ac:dyDescent="0.2">
      <c r="E750">
        <v>730</v>
      </c>
      <c r="F750" s="4">
        <v>3009744561.1366467</v>
      </c>
      <c r="G750">
        <f t="shared" si="11"/>
        <v>0</v>
      </c>
    </row>
    <row r="751" spans="5:7" x14ac:dyDescent="0.2">
      <c r="E751">
        <v>731</v>
      </c>
      <c r="F751" s="4">
        <v>3058461590.6586771</v>
      </c>
      <c r="G751">
        <f t="shared" si="11"/>
        <v>0</v>
      </c>
    </row>
    <row r="752" spans="5:7" x14ac:dyDescent="0.2">
      <c r="E752">
        <v>732</v>
      </c>
      <c r="F752" s="4">
        <v>3065056035.9552565</v>
      </c>
      <c r="G752">
        <f t="shared" si="11"/>
        <v>0</v>
      </c>
    </row>
    <row r="753" spans="5:7" x14ac:dyDescent="0.2">
      <c r="E753">
        <v>733</v>
      </c>
      <c r="F753" s="4">
        <v>3013758952.6021271</v>
      </c>
      <c r="G753">
        <f t="shared" si="11"/>
        <v>0</v>
      </c>
    </row>
    <row r="754" spans="5:7" x14ac:dyDescent="0.2">
      <c r="E754">
        <v>734</v>
      </c>
      <c r="F754" s="4">
        <v>2924120354.6908245</v>
      </c>
      <c r="G754">
        <f t="shared" si="11"/>
        <v>0</v>
      </c>
    </row>
    <row r="755" spans="5:7" x14ac:dyDescent="0.2">
      <c r="E755">
        <v>735</v>
      </c>
      <c r="F755" s="4">
        <v>3196532408.3846898</v>
      </c>
      <c r="G755">
        <f t="shared" si="11"/>
        <v>0</v>
      </c>
    </row>
    <row r="756" spans="5:7" x14ac:dyDescent="0.2">
      <c r="E756">
        <v>736</v>
      </c>
      <c r="F756" s="4">
        <v>2795748498.3952951</v>
      </c>
      <c r="G756">
        <f t="shared" si="11"/>
        <v>0</v>
      </c>
    </row>
    <row r="757" spans="5:7" x14ac:dyDescent="0.2">
      <c r="E757">
        <v>737</v>
      </c>
      <c r="F757" s="4">
        <v>3181819980.29281</v>
      </c>
      <c r="G757">
        <f t="shared" si="11"/>
        <v>0</v>
      </c>
    </row>
    <row r="758" spans="5:7" x14ac:dyDescent="0.2">
      <c r="E758">
        <v>738</v>
      </c>
      <c r="F758" s="4">
        <v>3108549130.2210331</v>
      </c>
      <c r="G758">
        <f t="shared" si="11"/>
        <v>0</v>
      </c>
    </row>
    <row r="759" spans="5:7" x14ac:dyDescent="0.2">
      <c r="E759">
        <v>739</v>
      </c>
      <c r="F759" s="4">
        <v>3387378801.7480779</v>
      </c>
      <c r="G759">
        <f t="shared" si="11"/>
        <v>0</v>
      </c>
    </row>
    <row r="760" spans="5:7" x14ac:dyDescent="0.2">
      <c r="E760">
        <v>740</v>
      </c>
      <c r="F760" s="4">
        <v>3102509896.0830936</v>
      </c>
      <c r="G760">
        <f t="shared" si="11"/>
        <v>0</v>
      </c>
    </row>
    <row r="761" spans="5:7" x14ac:dyDescent="0.2">
      <c r="E761">
        <v>741</v>
      </c>
      <c r="F761" s="4">
        <v>3280483030.3984179</v>
      </c>
      <c r="G761">
        <f t="shared" si="11"/>
        <v>0</v>
      </c>
    </row>
    <row r="762" spans="5:7" x14ac:dyDescent="0.2">
      <c r="E762">
        <v>742</v>
      </c>
      <c r="F762" s="4">
        <v>3001191916.2997313</v>
      </c>
      <c r="G762">
        <f t="shared" si="11"/>
        <v>0</v>
      </c>
    </row>
    <row r="763" spans="5:7" x14ac:dyDescent="0.2">
      <c r="E763">
        <v>743</v>
      </c>
      <c r="F763" s="4">
        <v>2899970733.6019378</v>
      </c>
      <c r="G763">
        <f t="shared" si="11"/>
        <v>0</v>
      </c>
    </row>
    <row r="764" spans="5:7" x14ac:dyDescent="0.2">
      <c r="E764">
        <v>744</v>
      </c>
      <c r="F764" s="4">
        <v>3469341959.8416128</v>
      </c>
      <c r="G764">
        <f t="shared" si="11"/>
        <v>0</v>
      </c>
    </row>
    <row r="765" spans="5:7" x14ac:dyDescent="0.2">
      <c r="E765">
        <v>745</v>
      </c>
      <c r="F765" s="4">
        <v>3181656920.7938776</v>
      </c>
      <c r="G765">
        <f t="shared" si="11"/>
        <v>0</v>
      </c>
    </row>
    <row r="766" spans="5:7" x14ac:dyDescent="0.2">
      <c r="E766">
        <v>746</v>
      </c>
      <c r="F766" s="4">
        <v>2785254340.657486</v>
      </c>
      <c r="G766">
        <f t="shared" si="11"/>
        <v>0</v>
      </c>
    </row>
    <row r="767" spans="5:7" x14ac:dyDescent="0.2">
      <c r="E767">
        <v>747</v>
      </c>
      <c r="F767" s="4">
        <v>2993840005.1716781</v>
      </c>
      <c r="G767">
        <f t="shared" si="11"/>
        <v>0</v>
      </c>
    </row>
    <row r="768" spans="5:7" x14ac:dyDescent="0.2">
      <c r="E768">
        <v>748</v>
      </c>
      <c r="F768" s="4">
        <v>3197480594.3556957</v>
      </c>
      <c r="G768">
        <f t="shared" si="11"/>
        <v>0</v>
      </c>
    </row>
    <row r="769" spans="5:7" x14ac:dyDescent="0.2">
      <c r="E769">
        <v>749</v>
      </c>
      <c r="F769" s="4">
        <v>3107653534.050982</v>
      </c>
      <c r="G769">
        <f t="shared" si="11"/>
        <v>0</v>
      </c>
    </row>
    <row r="770" spans="5:7" x14ac:dyDescent="0.2">
      <c r="E770">
        <v>750</v>
      </c>
      <c r="F770" s="4">
        <v>3300452521.1333456</v>
      </c>
      <c r="G770">
        <f t="shared" si="11"/>
        <v>0</v>
      </c>
    </row>
    <row r="771" spans="5:7" x14ac:dyDescent="0.2">
      <c r="E771">
        <v>751</v>
      </c>
      <c r="F771" s="4">
        <v>3086594684.6770091</v>
      </c>
      <c r="G771">
        <f t="shared" si="11"/>
        <v>0</v>
      </c>
    </row>
    <row r="772" spans="5:7" x14ac:dyDescent="0.2">
      <c r="E772">
        <v>752</v>
      </c>
      <c r="F772" s="4">
        <v>3475807206.7534661</v>
      </c>
      <c r="G772">
        <f t="shared" si="11"/>
        <v>0</v>
      </c>
    </row>
    <row r="773" spans="5:7" x14ac:dyDescent="0.2">
      <c r="E773">
        <v>753</v>
      </c>
      <c r="F773" s="4">
        <v>3446374780.7882318</v>
      </c>
      <c r="G773">
        <f t="shared" si="11"/>
        <v>0</v>
      </c>
    </row>
    <row r="774" spans="5:7" x14ac:dyDescent="0.2">
      <c r="E774">
        <v>754</v>
      </c>
      <c r="F774" s="4">
        <v>3128549205.7585597</v>
      </c>
      <c r="G774">
        <f t="shared" si="11"/>
        <v>0</v>
      </c>
    </row>
    <row r="775" spans="5:7" x14ac:dyDescent="0.2">
      <c r="E775">
        <v>755</v>
      </c>
      <c r="F775" s="4">
        <v>2905165255.4158773</v>
      </c>
      <c r="G775">
        <f t="shared" si="11"/>
        <v>0</v>
      </c>
    </row>
    <row r="776" spans="5:7" x14ac:dyDescent="0.2">
      <c r="E776">
        <v>756</v>
      </c>
      <c r="F776" s="4">
        <v>3078524663.9418855</v>
      </c>
      <c r="G776">
        <f t="shared" si="11"/>
        <v>0</v>
      </c>
    </row>
    <row r="777" spans="5:7" x14ac:dyDescent="0.2">
      <c r="E777">
        <v>757</v>
      </c>
      <c r="F777" s="4">
        <v>2694122916.8359542</v>
      </c>
      <c r="G777">
        <f t="shared" si="11"/>
        <v>0</v>
      </c>
    </row>
    <row r="778" spans="5:7" x14ac:dyDescent="0.2">
      <c r="E778">
        <v>758</v>
      </c>
      <c r="F778" s="4">
        <v>3186537434.1163092</v>
      </c>
      <c r="G778">
        <f t="shared" si="11"/>
        <v>0</v>
      </c>
    </row>
    <row r="779" spans="5:7" x14ac:dyDescent="0.2">
      <c r="E779">
        <v>759</v>
      </c>
      <c r="F779" s="4">
        <v>3335487264.4411983</v>
      </c>
      <c r="G779">
        <f t="shared" si="11"/>
        <v>0</v>
      </c>
    </row>
    <row r="780" spans="5:7" x14ac:dyDescent="0.2">
      <c r="E780">
        <v>760</v>
      </c>
      <c r="F780" s="4">
        <v>3501796773.2309184</v>
      </c>
      <c r="G780">
        <f t="shared" si="11"/>
        <v>0</v>
      </c>
    </row>
    <row r="781" spans="5:7" x14ac:dyDescent="0.2">
      <c r="E781">
        <v>761</v>
      </c>
      <c r="F781" s="4">
        <v>3037598267.3552766</v>
      </c>
      <c r="G781">
        <f t="shared" si="11"/>
        <v>0</v>
      </c>
    </row>
    <row r="782" spans="5:7" x14ac:dyDescent="0.2">
      <c r="E782">
        <v>762</v>
      </c>
      <c r="F782" s="4">
        <v>2939464670.9242554</v>
      </c>
      <c r="G782">
        <f t="shared" si="11"/>
        <v>0</v>
      </c>
    </row>
    <row r="783" spans="5:7" x14ac:dyDescent="0.2">
      <c r="E783">
        <v>763</v>
      </c>
      <c r="F783" s="4">
        <v>2858159661.8037086</v>
      </c>
      <c r="G783">
        <f t="shared" si="11"/>
        <v>0</v>
      </c>
    </row>
    <row r="784" spans="5:7" x14ac:dyDescent="0.2">
      <c r="E784">
        <v>764</v>
      </c>
      <c r="F784" s="4">
        <v>3135476113.0630631</v>
      </c>
      <c r="G784">
        <f t="shared" si="11"/>
        <v>0</v>
      </c>
    </row>
    <row r="785" spans="5:7" x14ac:dyDescent="0.2">
      <c r="E785">
        <v>765</v>
      </c>
      <c r="F785" s="4">
        <v>2985749477.6870866</v>
      </c>
      <c r="G785">
        <f t="shared" si="11"/>
        <v>0</v>
      </c>
    </row>
    <row r="786" spans="5:7" x14ac:dyDescent="0.2">
      <c r="E786">
        <v>766</v>
      </c>
      <c r="F786" s="4">
        <v>2642391460.9406199</v>
      </c>
      <c r="G786">
        <f t="shared" si="11"/>
        <v>0</v>
      </c>
    </row>
    <row r="787" spans="5:7" x14ac:dyDescent="0.2">
      <c r="E787">
        <v>767</v>
      </c>
      <c r="F787" s="4">
        <v>3336717449.7726841</v>
      </c>
      <c r="G787">
        <f t="shared" si="11"/>
        <v>0</v>
      </c>
    </row>
    <row r="788" spans="5:7" x14ac:dyDescent="0.2">
      <c r="E788">
        <v>768</v>
      </c>
      <c r="F788" s="4">
        <v>3230547438.3467965</v>
      </c>
      <c r="G788">
        <f t="shared" si="11"/>
        <v>0</v>
      </c>
    </row>
    <row r="789" spans="5:7" x14ac:dyDescent="0.2">
      <c r="E789">
        <v>769</v>
      </c>
      <c r="F789" s="4">
        <v>2894354517.6479893</v>
      </c>
      <c r="G789">
        <f t="shared" si="11"/>
        <v>0</v>
      </c>
    </row>
    <row r="790" spans="5:7" x14ac:dyDescent="0.2">
      <c r="E790">
        <v>770</v>
      </c>
      <c r="F790" s="4">
        <v>2971260410.012259</v>
      </c>
      <c r="G790">
        <f t="shared" ref="G790:G853" si="12">IF(F790&lt;1700000000,1,0)</f>
        <v>0</v>
      </c>
    </row>
    <row r="791" spans="5:7" x14ac:dyDescent="0.2">
      <c r="E791">
        <v>771</v>
      </c>
      <c r="F791" s="4">
        <v>2974905234.5558391</v>
      </c>
      <c r="G791">
        <f t="shared" si="12"/>
        <v>0</v>
      </c>
    </row>
    <row r="792" spans="5:7" x14ac:dyDescent="0.2">
      <c r="E792">
        <v>772</v>
      </c>
      <c r="F792" s="4">
        <v>2773453563.6592226</v>
      </c>
      <c r="G792">
        <f t="shared" si="12"/>
        <v>0</v>
      </c>
    </row>
    <row r="793" spans="5:7" x14ac:dyDescent="0.2">
      <c r="E793">
        <v>773</v>
      </c>
      <c r="F793" s="4">
        <v>3238200207.0699568</v>
      </c>
      <c r="G793">
        <f t="shared" si="12"/>
        <v>0</v>
      </c>
    </row>
    <row r="794" spans="5:7" x14ac:dyDescent="0.2">
      <c r="E794">
        <v>774</v>
      </c>
      <c r="F794" s="4">
        <v>3240883863.760118</v>
      </c>
      <c r="G794">
        <f t="shared" si="12"/>
        <v>0</v>
      </c>
    </row>
    <row r="795" spans="5:7" x14ac:dyDescent="0.2">
      <c r="E795">
        <v>775</v>
      </c>
      <c r="F795" s="4">
        <v>3245227698.4113588</v>
      </c>
      <c r="G795">
        <f t="shared" si="12"/>
        <v>0</v>
      </c>
    </row>
    <row r="796" spans="5:7" x14ac:dyDescent="0.2">
      <c r="E796">
        <v>776</v>
      </c>
      <c r="F796" s="4">
        <v>2978084428.9245267</v>
      </c>
      <c r="G796">
        <f t="shared" si="12"/>
        <v>0</v>
      </c>
    </row>
    <row r="797" spans="5:7" x14ac:dyDescent="0.2">
      <c r="E797">
        <v>777</v>
      </c>
      <c r="F797" s="4">
        <v>3002681167.803843</v>
      </c>
      <c r="G797">
        <f t="shared" si="12"/>
        <v>0</v>
      </c>
    </row>
    <row r="798" spans="5:7" x14ac:dyDescent="0.2">
      <c r="E798">
        <v>778</v>
      </c>
      <c r="F798" s="4">
        <v>2962996003.0807638</v>
      </c>
      <c r="G798">
        <f t="shared" si="12"/>
        <v>0</v>
      </c>
    </row>
    <row r="799" spans="5:7" x14ac:dyDescent="0.2">
      <c r="E799">
        <v>779</v>
      </c>
      <c r="F799" s="4">
        <v>2983559029.2034445</v>
      </c>
      <c r="G799">
        <f t="shared" si="12"/>
        <v>0</v>
      </c>
    </row>
    <row r="800" spans="5:7" x14ac:dyDescent="0.2">
      <c r="E800">
        <v>780</v>
      </c>
      <c r="F800" s="4">
        <v>2985301016.2802663</v>
      </c>
      <c r="G800">
        <f t="shared" si="12"/>
        <v>0</v>
      </c>
    </row>
    <row r="801" spans="5:7" x14ac:dyDescent="0.2">
      <c r="E801">
        <v>781</v>
      </c>
      <c r="F801" s="4">
        <v>2798968842.3870268</v>
      </c>
      <c r="G801">
        <f t="shared" si="12"/>
        <v>0</v>
      </c>
    </row>
    <row r="802" spans="5:7" x14ac:dyDescent="0.2">
      <c r="E802">
        <v>782</v>
      </c>
      <c r="F802" s="4">
        <v>3174110750.998467</v>
      </c>
      <c r="G802">
        <f t="shared" si="12"/>
        <v>0</v>
      </c>
    </row>
    <row r="803" spans="5:7" x14ac:dyDescent="0.2">
      <c r="E803">
        <v>783</v>
      </c>
      <c r="F803" s="4">
        <v>3556681006.2134829</v>
      </c>
      <c r="G803">
        <f t="shared" si="12"/>
        <v>0</v>
      </c>
    </row>
    <row r="804" spans="5:7" x14ac:dyDescent="0.2">
      <c r="E804">
        <v>784</v>
      </c>
      <c r="F804" s="4">
        <v>3233526572.3750405</v>
      </c>
      <c r="G804">
        <f t="shared" si="12"/>
        <v>0</v>
      </c>
    </row>
    <row r="805" spans="5:7" x14ac:dyDescent="0.2">
      <c r="E805">
        <v>785</v>
      </c>
      <c r="F805" s="4">
        <v>2948388181.6690478</v>
      </c>
      <c r="G805">
        <f t="shared" si="12"/>
        <v>0</v>
      </c>
    </row>
    <row r="806" spans="5:7" x14ac:dyDescent="0.2">
      <c r="E806">
        <v>786</v>
      </c>
      <c r="F806" s="4">
        <v>2956316610.5927863</v>
      </c>
      <c r="G806">
        <f t="shared" si="12"/>
        <v>0</v>
      </c>
    </row>
    <row r="807" spans="5:7" x14ac:dyDescent="0.2">
      <c r="E807">
        <v>787</v>
      </c>
      <c r="F807" s="4">
        <v>3079095237.4874883</v>
      </c>
      <c r="G807">
        <f t="shared" si="12"/>
        <v>0</v>
      </c>
    </row>
    <row r="808" spans="5:7" x14ac:dyDescent="0.2">
      <c r="E808">
        <v>788</v>
      </c>
      <c r="F808" s="4">
        <v>3180647981.7262521</v>
      </c>
      <c r="G808">
        <f t="shared" si="12"/>
        <v>0</v>
      </c>
    </row>
    <row r="809" spans="5:7" x14ac:dyDescent="0.2">
      <c r="E809">
        <v>789</v>
      </c>
      <c r="F809" s="4">
        <v>3179409055.6008744</v>
      </c>
      <c r="G809">
        <f t="shared" si="12"/>
        <v>0</v>
      </c>
    </row>
    <row r="810" spans="5:7" x14ac:dyDescent="0.2">
      <c r="E810">
        <v>790</v>
      </c>
      <c r="F810" s="4">
        <v>3081103376.6520844</v>
      </c>
      <c r="G810">
        <f t="shared" si="12"/>
        <v>0</v>
      </c>
    </row>
    <row r="811" spans="5:7" x14ac:dyDescent="0.2">
      <c r="E811">
        <v>791</v>
      </c>
      <c r="F811" s="4">
        <v>2935929933.1634326</v>
      </c>
      <c r="G811">
        <f t="shared" si="12"/>
        <v>0</v>
      </c>
    </row>
    <row r="812" spans="5:7" x14ac:dyDescent="0.2">
      <c r="E812">
        <v>792</v>
      </c>
      <c r="F812" s="4">
        <v>3503740693.7390332</v>
      </c>
      <c r="G812">
        <f t="shared" si="12"/>
        <v>0</v>
      </c>
    </row>
    <row r="813" spans="5:7" x14ac:dyDescent="0.2">
      <c r="E813">
        <v>793</v>
      </c>
      <c r="F813" s="4">
        <v>2971015570.9580512</v>
      </c>
      <c r="G813">
        <f t="shared" si="12"/>
        <v>0</v>
      </c>
    </row>
    <row r="814" spans="5:7" x14ac:dyDescent="0.2">
      <c r="E814">
        <v>794</v>
      </c>
      <c r="F814" s="4">
        <v>3141185962.6909752</v>
      </c>
      <c r="G814">
        <f t="shared" si="12"/>
        <v>0</v>
      </c>
    </row>
    <row r="815" spans="5:7" x14ac:dyDescent="0.2">
      <c r="E815">
        <v>795</v>
      </c>
      <c r="F815" s="4">
        <v>3464072493.2952967</v>
      </c>
      <c r="G815">
        <f t="shared" si="12"/>
        <v>0</v>
      </c>
    </row>
    <row r="816" spans="5:7" x14ac:dyDescent="0.2">
      <c r="E816">
        <v>796</v>
      </c>
      <c r="F816" s="4">
        <v>3178227429.5323749</v>
      </c>
      <c r="G816">
        <f t="shared" si="12"/>
        <v>0</v>
      </c>
    </row>
    <row r="817" spans="5:7" x14ac:dyDescent="0.2">
      <c r="E817">
        <v>797</v>
      </c>
      <c r="F817" s="4">
        <v>3002891955.9791603</v>
      </c>
      <c r="G817">
        <f t="shared" si="12"/>
        <v>0</v>
      </c>
    </row>
    <row r="818" spans="5:7" x14ac:dyDescent="0.2">
      <c r="E818">
        <v>798</v>
      </c>
      <c r="F818" s="4">
        <v>3091547817.9639449</v>
      </c>
      <c r="G818">
        <f t="shared" si="12"/>
        <v>0</v>
      </c>
    </row>
    <row r="819" spans="5:7" x14ac:dyDescent="0.2">
      <c r="E819">
        <v>799</v>
      </c>
      <c r="F819" s="4">
        <v>3307989120.5902019</v>
      </c>
      <c r="G819">
        <f t="shared" si="12"/>
        <v>0</v>
      </c>
    </row>
    <row r="820" spans="5:7" x14ac:dyDescent="0.2">
      <c r="E820">
        <v>800</v>
      </c>
      <c r="F820" s="4">
        <v>2980607135.5816922</v>
      </c>
      <c r="G820">
        <f t="shared" si="12"/>
        <v>0</v>
      </c>
    </row>
    <row r="821" spans="5:7" x14ac:dyDescent="0.2">
      <c r="E821">
        <v>801</v>
      </c>
      <c r="F821" s="4">
        <v>3234345266.7954297</v>
      </c>
      <c r="G821">
        <f t="shared" si="12"/>
        <v>0</v>
      </c>
    </row>
    <row r="822" spans="5:7" x14ac:dyDescent="0.2">
      <c r="E822">
        <v>802</v>
      </c>
      <c r="F822" s="4">
        <v>3402706824.8578463</v>
      </c>
      <c r="G822">
        <f t="shared" si="12"/>
        <v>0</v>
      </c>
    </row>
    <row r="823" spans="5:7" x14ac:dyDescent="0.2">
      <c r="E823">
        <v>803</v>
      </c>
      <c r="F823" s="4">
        <v>3731014762.960546</v>
      </c>
      <c r="G823">
        <f t="shared" si="12"/>
        <v>0</v>
      </c>
    </row>
    <row r="824" spans="5:7" x14ac:dyDescent="0.2">
      <c r="E824">
        <v>804</v>
      </c>
      <c r="F824" s="4">
        <v>2985959291.7836018</v>
      </c>
      <c r="G824">
        <f t="shared" si="12"/>
        <v>0</v>
      </c>
    </row>
    <row r="825" spans="5:7" x14ac:dyDescent="0.2">
      <c r="E825">
        <v>805</v>
      </c>
      <c r="F825" s="4">
        <v>2840685999.9498138</v>
      </c>
      <c r="G825">
        <f t="shared" si="12"/>
        <v>0</v>
      </c>
    </row>
    <row r="826" spans="5:7" x14ac:dyDescent="0.2">
      <c r="E826">
        <v>806</v>
      </c>
      <c r="F826" s="4">
        <v>2793338278.6369457</v>
      </c>
      <c r="G826">
        <f t="shared" si="12"/>
        <v>0</v>
      </c>
    </row>
    <row r="827" spans="5:7" x14ac:dyDescent="0.2">
      <c r="E827">
        <v>807</v>
      </c>
      <c r="F827" s="4">
        <v>3001566519.3969235</v>
      </c>
      <c r="G827">
        <f t="shared" si="12"/>
        <v>0</v>
      </c>
    </row>
    <row r="828" spans="5:7" x14ac:dyDescent="0.2">
      <c r="E828">
        <v>808</v>
      </c>
      <c r="F828" s="4">
        <v>2897001533.4151306</v>
      </c>
      <c r="G828">
        <f t="shared" si="12"/>
        <v>0</v>
      </c>
    </row>
    <row r="829" spans="5:7" x14ac:dyDescent="0.2">
      <c r="E829">
        <v>809</v>
      </c>
      <c r="F829" s="4">
        <v>2888361128.9307861</v>
      </c>
      <c r="G829">
        <f t="shared" si="12"/>
        <v>0</v>
      </c>
    </row>
    <row r="830" spans="5:7" x14ac:dyDescent="0.2">
      <c r="E830">
        <v>810</v>
      </c>
      <c r="F830" s="4">
        <v>3152080915.9634442</v>
      </c>
      <c r="G830">
        <f t="shared" si="12"/>
        <v>0</v>
      </c>
    </row>
    <row r="831" spans="5:7" x14ac:dyDescent="0.2">
      <c r="E831">
        <v>811</v>
      </c>
      <c r="F831" s="4">
        <v>3275580726.970046</v>
      </c>
      <c r="G831">
        <f t="shared" si="12"/>
        <v>0</v>
      </c>
    </row>
    <row r="832" spans="5:7" x14ac:dyDescent="0.2">
      <c r="E832">
        <v>812</v>
      </c>
      <c r="F832" s="4">
        <v>2775139402.372046</v>
      </c>
      <c r="G832">
        <f t="shared" si="12"/>
        <v>0</v>
      </c>
    </row>
    <row r="833" spans="5:7" x14ac:dyDescent="0.2">
      <c r="E833">
        <v>813</v>
      </c>
      <c r="F833" s="4">
        <v>3154849888.7742453</v>
      </c>
      <c r="G833">
        <f t="shared" si="12"/>
        <v>0</v>
      </c>
    </row>
    <row r="834" spans="5:7" x14ac:dyDescent="0.2">
      <c r="E834">
        <v>814</v>
      </c>
      <c r="F834" s="4">
        <v>2963912097.2218194</v>
      </c>
      <c r="G834">
        <f t="shared" si="12"/>
        <v>0</v>
      </c>
    </row>
    <row r="835" spans="5:7" x14ac:dyDescent="0.2">
      <c r="E835">
        <v>815</v>
      </c>
      <c r="F835" s="4">
        <v>3096374724.9586434</v>
      </c>
      <c r="G835">
        <f t="shared" si="12"/>
        <v>0</v>
      </c>
    </row>
    <row r="836" spans="5:7" x14ac:dyDescent="0.2">
      <c r="E836">
        <v>816</v>
      </c>
      <c r="F836" s="4">
        <v>3261165713.2000413</v>
      </c>
      <c r="G836">
        <f t="shared" si="12"/>
        <v>0</v>
      </c>
    </row>
    <row r="837" spans="5:7" x14ac:dyDescent="0.2">
      <c r="E837">
        <v>817</v>
      </c>
      <c r="F837" s="4">
        <v>3140696933.8458271</v>
      </c>
      <c r="G837">
        <f t="shared" si="12"/>
        <v>0</v>
      </c>
    </row>
    <row r="838" spans="5:7" x14ac:dyDescent="0.2">
      <c r="E838">
        <v>818</v>
      </c>
      <c r="F838" s="4">
        <v>2639746614.987464</v>
      </c>
      <c r="G838">
        <f t="shared" si="12"/>
        <v>0</v>
      </c>
    </row>
    <row r="839" spans="5:7" x14ac:dyDescent="0.2">
      <c r="E839">
        <v>819</v>
      </c>
      <c r="F839" s="4">
        <v>3159098693.3670087</v>
      </c>
      <c r="G839">
        <f t="shared" si="12"/>
        <v>0</v>
      </c>
    </row>
    <row r="840" spans="5:7" x14ac:dyDescent="0.2">
      <c r="E840">
        <v>820</v>
      </c>
      <c r="F840" s="4">
        <v>3018919857.5211773</v>
      </c>
      <c r="G840">
        <f t="shared" si="12"/>
        <v>0</v>
      </c>
    </row>
    <row r="841" spans="5:7" x14ac:dyDescent="0.2">
      <c r="E841">
        <v>821</v>
      </c>
      <c r="F841" s="4">
        <v>2928265863.6214485</v>
      </c>
      <c r="G841">
        <f t="shared" si="12"/>
        <v>0</v>
      </c>
    </row>
    <row r="842" spans="5:7" x14ac:dyDescent="0.2">
      <c r="E842">
        <v>822</v>
      </c>
      <c r="F842" s="4">
        <v>3530167596.4545116</v>
      </c>
      <c r="G842">
        <f t="shared" si="12"/>
        <v>0</v>
      </c>
    </row>
    <row r="843" spans="5:7" x14ac:dyDescent="0.2">
      <c r="E843">
        <v>823</v>
      </c>
      <c r="F843" s="4">
        <v>3193095721.3437567</v>
      </c>
      <c r="G843">
        <f t="shared" si="12"/>
        <v>0</v>
      </c>
    </row>
    <row r="844" spans="5:7" x14ac:dyDescent="0.2">
      <c r="E844">
        <v>824</v>
      </c>
      <c r="F844" s="4">
        <v>2960409961.0626249</v>
      </c>
      <c r="G844">
        <f t="shared" si="12"/>
        <v>0</v>
      </c>
    </row>
    <row r="845" spans="5:7" x14ac:dyDescent="0.2">
      <c r="E845">
        <v>825</v>
      </c>
      <c r="F845" s="4">
        <v>3140190741.5678797</v>
      </c>
      <c r="G845">
        <f t="shared" si="12"/>
        <v>0</v>
      </c>
    </row>
    <row r="846" spans="5:7" x14ac:dyDescent="0.2">
      <c r="E846">
        <v>826</v>
      </c>
      <c r="F846" s="4">
        <v>3054138295.6074004</v>
      </c>
      <c r="G846">
        <f t="shared" si="12"/>
        <v>0</v>
      </c>
    </row>
    <row r="847" spans="5:7" x14ac:dyDescent="0.2">
      <c r="E847">
        <v>827</v>
      </c>
      <c r="F847" s="4">
        <v>3232952995.3927159</v>
      </c>
      <c r="G847">
        <f t="shared" si="12"/>
        <v>0</v>
      </c>
    </row>
    <row r="848" spans="5:7" x14ac:dyDescent="0.2">
      <c r="E848">
        <v>828</v>
      </c>
      <c r="F848" s="4">
        <v>3020853786.0537181</v>
      </c>
      <c r="G848">
        <f t="shared" si="12"/>
        <v>0</v>
      </c>
    </row>
    <row r="849" spans="5:7" x14ac:dyDescent="0.2">
      <c r="E849">
        <v>829</v>
      </c>
      <c r="F849" s="4">
        <v>3251204827.6943121</v>
      </c>
      <c r="G849">
        <f t="shared" si="12"/>
        <v>0</v>
      </c>
    </row>
    <row r="850" spans="5:7" x14ac:dyDescent="0.2">
      <c r="E850">
        <v>830</v>
      </c>
      <c r="F850" s="4">
        <v>2976831992.2993097</v>
      </c>
      <c r="G850">
        <f t="shared" si="12"/>
        <v>0</v>
      </c>
    </row>
    <row r="851" spans="5:7" x14ac:dyDescent="0.2">
      <c r="E851">
        <v>831</v>
      </c>
      <c r="F851" s="4">
        <v>3336757905.025948</v>
      </c>
      <c r="G851">
        <f t="shared" si="12"/>
        <v>0</v>
      </c>
    </row>
    <row r="852" spans="5:7" x14ac:dyDescent="0.2">
      <c r="E852">
        <v>832</v>
      </c>
      <c r="F852" s="4">
        <v>2871779638.147141</v>
      </c>
      <c r="G852">
        <f t="shared" si="12"/>
        <v>0</v>
      </c>
    </row>
    <row r="853" spans="5:7" x14ac:dyDescent="0.2">
      <c r="E853">
        <v>833</v>
      </c>
      <c r="F853" s="4">
        <v>2951625349.1600246</v>
      </c>
      <c r="G853">
        <f t="shared" si="12"/>
        <v>0</v>
      </c>
    </row>
    <row r="854" spans="5:7" x14ac:dyDescent="0.2">
      <c r="E854">
        <v>834</v>
      </c>
      <c r="F854" s="4">
        <v>3199953043.9975734</v>
      </c>
      <c r="G854">
        <f t="shared" ref="G854:G917" si="13">IF(F854&lt;1700000000,1,0)</f>
        <v>0</v>
      </c>
    </row>
    <row r="855" spans="5:7" x14ac:dyDescent="0.2">
      <c r="E855">
        <v>835</v>
      </c>
      <c r="F855" s="4">
        <v>3380956150.5657845</v>
      </c>
      <c r="G855">
        <f t="shared" si="13"/>
        <v>0</v>
      </c>
    </row>
    <row r="856" spans="5:7" x14ac:dyDescent="0.2">
      <c r="E856">
        <v>836</v>
      </c>
      <c r="F856" s="4">
        <v>3099651956.7241631</v>
      </c>
      <c r="G856">
        <f t="shared" si="13"/>
        <v>0</v>
      </c>
    </row>
    <row r="857" spans="5:7" x14ac:dyDescent="0.2">
      <c r="E857">
        <v>837</v>
      </c>
      <c r="F857" s="4">
        <v>2993576012.2659345</v>
      </c>
      <c r="G857">
        <f t="shared" si="13"/>
        <v>0</v>
      </c>
    </row>
    <row r="858" spans="5:7" x14ac:dyDescent="0.2">
      <c r="E858">
        <v>838</v>
      </c>
      <c r="F858" s="4">
        <v>3459408141.1388655</v>
      </c>
      <c r="G858">
        <f t="shared" si="13"/>
        <v>0</v>
      </c>
    </row>
    <row r="859" spans="5:7" x14ac:dyDescent="0.2">
      <c r="E859">
        <v>839</v>
      </c>
      <c r="F859" s="4">
        <v>2807738380.1735325</v>
      </c>
      <c r="G859">
        <f t="shared" si="13"/>
        <v>0</v>
      </c>
    </row>
    <row r="860" spans="5:7" x14ac:dyDescent="0.2">
      <c r="E860">
        <v>840</v>
      </c>
      <c r="F860" s="4">
        <v>3433242787.5093164</v>
      </c>
      <c r="G860">
        <f t="shared" si="13"/>
        <v>0</v>
      </c>
    </row>
    <row r="861" spans="5:7" x14ac:dyDescent="0.2">
      <c r="E861">
        <v>841</v>
      </c>
      <c r="F861" s="4">
        <v>2959603537.4084134</v>
      </c>
      <c r="G861">
        <f t="shared" si="13"/>
        <v>0</v>
      </c>
    </row>
    <row r="862" spans="5:7" x14ac:dyDescent="0.2">
      <c r="E862">
        <v>842</v>
      </c>
      <c r="F862" s="4">
        <v>3226784542.9506564</v>
      </c>
      <c r="G862">
        <f t="shared" si="13"/>
        <v>0</v>
      </c>
    </row>
    <row r="863" spans="5:7" x14ac:dyDescent="0.2">
      <c r="E863">
        <v>843</v>
      </c>
      <c r="F863" s="4">
        <v>3001379723.6252761</v>
      </c>
      <c r="G863">
        <f t="shared" si="13"/>
        <v>0</v>
      </c>
    </row>
    <row r="864" spans="5:7" x14ac:dyDescent="0.2">
      <c r="E864">
        <v>844</v>
      </c>
      <c r="F864" s="4">
        <v>3323512541.4812217</v>
      </c>
      <c r="G864">
        <f t="shared" si="13"/>
        <v>0</v>
      </c>
    </row>
    <row r="865" spans="5:7" x14ac:dyDescent="0.2">
      <c r="E865">
        <v>845</v>
      </c>
      <c r="F865" s="4">
        <v>3079136814.4442677</v>
      </c>
      <c r="G865">
        <f t="shared" si="13"/>
        <v>0</v>
      </c>
    </row>
    <row r="866" spans="5:7" x14ac:dyDescent="0.2">
      <c r="E866">
        <v>846</v>
      </c>
      <c r="F866" s="4">
        <v>3219731302.3146324</v>
      </c>
      <c r="G866">
        <f t="shared" si="13"/>
        <v>0</v>
      </c>
    </row>
    <row r="867" spans="5:7" x14ac:dyDescent="0.2">
      <c r="E867">
        <v>847</v>
      </c>
      <c r="F867" s="4">
        <v>3083654479.0738211</v>
      </c>
      <c r="G867">
        <f t="shared" si="13"/>
        <v>0</v>
      </c>
    </row>
    <row r="868" spans="5:7" x14ac:dyDescent="0.2">
      <c r="E868">
        <v>848</v>
      </c>
      <c r="F868" s="4">
        <v>3709105521.3037868</v>
      </c>
      <c r="G868">
        <f t="shared" si="13"/>
        <v>0</v>
      </c>
    </row>
    <row r="869" spans="5:7" x14ac:dyDescent="0.2">
      <c r="E869">
        <v>849</v>
      </c>
      <c r="F869" s="4">
        <v>3122267419.7498198</v>
      </c>
      <c r="G869">
        <f t="shared" si="13"/>
        <v>0</v>
      </c>
    </row>
    <row r="870" spans="5:7" x14ac:dyDescent="0.2">
      <c r="E870">
        <v>850</v>
      </c>
      <c r="F870" s="4">
        <v>2895531490.6594491</v>
      </c>
      <c r="G870">
        <f t="shared" si="13"/>
        <v>0</v>
      </c>
    </row>
    <row r="871" spans="5:7" x14ac:dyDescent="0.2">
      <c r="E871">
        <v>851</v>
      </c>
      <c r="F871" s="4">
        <v>3510090976.2711926</v>
      </c>
      <c r="G871">
        <f t="shared" si="13"/>
        <v>0</v>
      </c>
    </row>
    <row r="872" spans="5:7" x14ac:dyDescent="0.2">
      <c r="E872">
        <v>852</v>
      </c>
      <c r="F872" s="4">
        <v>3207783155.3219666</v>
      </c>
      <c r="G872">
        <f t="shared" si="13"/>
        <v>0</v>
      </c>
    </row>
    <row r="873" spans="5:7" x14ac:dyDescent="0.2">
      <c r="E873">
        <v>853</v>
      </c>
      <c r="F873" s="4">
        <v>3373074079.2718887</v>
      </c>
      <c r="G873">
        <f t="shared" si="13"/>
        <v>0</v>
      </c>
    </row>
    <row r="874" spans="5:7" x14ac:dyDescent="0.2">
      <c r="E874">
        <v>854</v>
      </c>
      <c r="F874" s="4">
        <v>3220940449.6902232</v>
      </c>
      <c r="G874">
        <f t="shared" si="13"/>
        <v>0</v>
      </c>
    </row>
    <row r="875" spans="5:7" x14ac:dyDescent="0.2">
      <c r="E875">
        <v>855</v>
      </c>
      <c r="F875" s="4">
        <v>2908347770.6094041</v>
      </c>
      <c r="G875">
        <f t="shared" si="13"/>
        <v>0</v>
      </c>
    </row>
    <row r="876" spans="5:7" x14ac:dyDescent="0.2">
      <c r="E876">
        <v>856</v>
      </c>
      <c r="F876" s="4">
        <v>3323013381.7309046</v>
      </c>
      <c r="G876">
        <f t="shared" si="13"/>
        <v>0</v>
      </c>
    </row>
    <row r="877" spans="5:7" x14ac:dyDescent="0.2">
      <c r="E877">
        <v>857</v>
      </c>
      <c r="F877" s="4">
        <v>2849508314.0672054</v>
      </c>
      <c r="G877">
        <f t="shared" si="13"/>
        <v>0</v>
      </c>
    </row>
    <row r="878" spans="5:7" x14ac:dyDescent="0.2">
      <c r="E878">
        <v>858</v>
      </c>
      <c r="F878" s="4">
        <v>2785393494.6888666</v>
      </c>
      <c r="G878">
        <f t="shared" si="13"/>
        <v>0</v>
      </c>
    </row>
    <row r="879" spans="5:7" x14ac:dyDescent="0.2">
      <c r="E879">
        <v>859</v>
      </c>
      <c r="F879" s="4">
        <v>3156544618.0536547</v>
      </c>
      <c r="G879">
        <f t="shared" si="13"/>
        <v>0</v>
      </c>
    </row>
    <row r="880" spans="5:7" x14ac:dyDescent="0.2">
      <c r="E880">
        <v>860</v>
      </c>
      <c r="F880" s="4">
        <v>2796141367.7196207</v>
      </c>
      <c r="G880">
        <f t="shared" si="13"/>
        <v>0</v>
      </c>
    </row>
    <row r="881" spans="5:7" x14ac:dyDescent="0.2">
      <c r="E881">
        <v>861</v>
      </c>
      <c r="F881" s="4">
        <v>2811788704.4834199</v>
      </c>
      <c r="G881">
        <f t="shared" si="13"/>
        <v>0</v>
      </c>
    </row>
    <row r="882" spans="5:7" x14ac:dyDescent="0.2">
      <c r="E882">
        <v>862</v>
      </c>
      <c r="F882" s="4">
        <v>3036364392.3133121</v>
      </c>
      <c r="G882">
        <f t="shared" si="13"/>
        <v>0</v>
      </c>
    </row>
    <row r="883" spans="5:7" x14ac:dyDescent="0.2">
      <c r="E883">
        <v>863</v>
      </c>
      <c r="F883" s="4">
        <v>2913127723.6159492</v>
      </c>
      <c r="G883">
        <f t="shared" si="13"/>
        <v>0</v>
      </c>
    </row>
    <row r="884" spans="5:7" x14ac:dyDescent="0.2">
      <c r="E884">
        <v>864</v>
      </c>
      <c r="F884" s="4">
        <v>3501968153.5359497</v>
      </c>
      <c r="G884">
        <f t="shared" si="13"/>
        <v>0</v>
      </c>
    </row>
    <row r="885" spans="5:7" x14ac:dyDescent="0.2">
      <c r="E885">
        <v>865</v>
      </c>
      <c r="F885" s="4">
        <v>3187240650.9379497</v>
      </c>
      <c r="G885">
        <f t="shared" si="13"/>
        <v>0</v>
      </c>
    </row>
    <row r="886" spans="5:7" x14ac:dyDescent="0.2">
      <c r="E886">
        <v>866</v>
      </c>
      <c r="F886" s="4">
        <v>3428099398.6734157</v>
      </c>
      <c r="G886">
        <f t="shared" si="13"/>
        <v>0</v>
      </c>
    </row>
    <row r="887" spans="5:7" x14ac:dyDescent="0.2">
      <c r="E887">
        <v>867</v>
      </c>
      <c r="F887" s="4">
        <v>3101734684.6170516</v>
      </c>
      <c r="G887">
        <f t="shared" si="13"/>
        <v>0</v>
      </c>
    </row>
    <row r="888" spans="5:7" x14ac:dyDescent="0.2">
      <c r="E888">
        <v>868</v>
      </c>
      <c r="F888" s="4">
        <v>3234752264.5633564</v>
      </c>
      <c r="G888">
        <f t="shared" si="13"/>
        <v>0</v>
      </c>
    </row>
    <row r="889" spans="5:7" x14ac:dyDescent="0.2">
      <c r="E889">
        <v>869</v>
      </c>
      <c r="F889" s="4">
        <v>3217932826.2762623</v>
      </c>
      <c r="G889">
        <f t="shared" si="13"/>
        <v>0</v>
      </c>
    </row>
    <row r="890" spans="5:7" x14ac:dyDescent="0.2">
      <c r="E890">
        <v>870</v>
      </c>
      <c r="F890" s="4">
        <v>3329898915.405766</v>
      </c>
      <c r="G890">
        <f t="shared" si="13"/>
        <v>0</v>
      </c>
    </row>
    <row r="891" spans="5:7" x14ac:dyDescent="0.2">
      <c r="E891">
        <v>871</v>
      </c>
      <c r="F891" s="4">
        <v>3346408351.1833043</v>
      </c>
      <c r="G891">
        <f t="shared" si="13"/>
        <v>0</v>
      </c>
    </row>
    <row r="892" spans="5:7" x14ac:dyDescent="0.2">
      <c r="E892">
        <v>872</v>
      </c>
      <c r="F892" s="4">
        <v>3573997684.1367917</v>
      </c>
      <c r="G892">
        <f t="shared" si="13"/>
        <v>0</v>
      </c>
    </row>
    <row r="893" spans="5:7" x14ac:dyDescent="0.2">
      <c r="E893">
        <v>873</v>
      </c>
      <c r="F893" s="4">
        <v>2803202352.5496192</v>
      </c>
      <c r="G893">
        <f t="shared" si="13"/>
        <v>0</v>
      </c>
    </row>
    <row r="894" spans="5:7" x14ac:dyDescent="0.2">
      <c r="E894">
        <v>874</v>
      </c>
      <c r="F894" s="4">
        <v>3056427038.8290949</v>
      </c>
      <c r="G894">
        <f t="shared" si="13"/>
        <v>0</v>
      </c>
    </row>
    <row r="895" spans="5:7" x14ac:dyDescent="0.2">
      <c r="E895">
        <v>875</v>
      </c>
      <c r="F895" s="4">
        <v>3001173763.3892746</v>
      </c>
      <c r="G895">
        <f t="shared" si="13"/>
        <v>0</v>
      </c>
    </row>
    <row r="896" spans="5:7" x14ac:dyDescent="0.2">
      <c r="E896">
        <v>876</v>
      </c>
      <c r="F896" s="4">
        <v>2901940465.6613412</v>
      </c>
      <c r="G896">
        <f t="shared" si="13"/>
        <v>0</v>
      </c>
    </row>
    <row r="897" spans="5:7" x14ac:dyDescent="0.2">
      <c r="E897">
        <v>877</v>
      </c>
      <c r="F897" s="4">
        <v>2955001017.2642622</v>
      </c>
      <c r="G897">
        <f t="shared" si="13"/>
        <v>0</v>
      </c>
    </row>
    <row r="898" spans="5:7" x14ac:dyDescent="0.2">
      <c r="E898">
        <v>878</v>
      </c>
      <c r="F898" s="4">
        <v>3211022880.5086279</v>
      </c>
      <c r="G898">
        <f t="shared" si="13"/>
        <v>0</v>
      </c>
    </row>
    <row r="899" spans="5:7" x14ac:dyDescent="0.2">
      <c r="E899">
        <v>879</v>
      </c>
      <c r="F899" s="4">
        <v>3197045470.0801334</v>
      </c>
      <c r="G899">
        <f t="shared" si="13"/>
        <v>0</v>
      </c>
    </row>
    <row r="900" spans="5:7" x14ac:dyDescent="0.2">
      <c r="E900">
        <v>880</v>
      </c>
      <c r="F900" s="4">
        <v>3227657837.7195301</v>
      </c>
      <c r="G900">
        <f t="shared" si="13"/>
        <v>0</v>
      </c>
    </row>
    <row r="901" spans="5:7" x14ac:dyDescent="0.2">
      <c r="E901">
        <v>881</v>
      </c>
      <c r="F901" s="4">
        <v>3071973086.8395586</v>
      </c>
      <c r="G901">
        <f t="shared" si="13"/>
        <v>0</v>
      </c>
    </row>
    <row r="902" spans="5:7" x14ac:dyDescent="0.2">
      <c r="E902">
        <v>882</v>
      </c>
      <c r="F902" s="4">
        <v>3110224707.937634</v>
      </c>
      <c r="G902">
        <f t="shared" si="13"/>
        <v>0</v>
      </c>
    </row>
    <row r="903" spans="5:7" x14ac:dyDescent="0.2">
      <c r="E903">
        <v>883</v>
      </c>
      <c r="F903" s="4">
        <v>3121510733.8475904</v>
      </c>
      <c r="G903">
        <f t="shared" si="13"/>
        <v>0</v>
      </c>
    </row>
    <row r="904" spans="5:7" x14ac:dyDescent="0.2">
      <c r="E904">
        <v>884</v>
      </c>
      <c r="F904" s="4">
        <v>3242431904.094111</v>
      </c>
      <c r="G904">
        <f t="shared" si="13"/>
        <v>0</v>
      </c>
    </row>
    <row r="905" spans="5:7" x14ac:dyDescent="0.2">
      <c r="E905">
        <v>885</v>
      </c>
      <c r="F905" s="4">
        <v>2990381501.8436508</v>
      </c>
      <c r="G905">
        <f t="shared" si="13"/>
        <v>0</v>
      </c>
    </row>
    <row r="906" spans="5:7" x14ac:dyDescent="0.2">
      <c r="E906">
        <v>886</v>
      </c>
      <c r="F906" s="4">
        <v>3208952659.4952111</v>
      </c>
      <c r="G906">
        <f t="shared" si="13"/>
        <v>0</v>
      </c>
    </row>
    <row r="907" spans="5:7" x14ac:dyDescent="0.2">
      <c r="E907">
        <v>887</v>
      </c>
      <c r="F907" s="4">
        <v>2832602782.8630915</v>
      </c>
      <c r="G907">
        <f t="shared" si="13"/>
        <v>0</v>
      </c>
    </row>
    <row r="908" spans="5:7" x14ac:dyDescent="0.2">
      <c r="E908">
        <v>888</v>
      </c>
      <c r="F908" s="4">
        <v>3028827723.2116256</v>
      </c>
      <c r="G908">
        <f t="shared" si="13"/>
        <v>0</v>
      </c>
    </row>
    <row r="909" spans="5:7" x14ac:dyDescent="0.2">
      <c r="E909">
        <v>889</v>
      </c>
      <c r="F909" s="4">
        <v>2834803100.9269147</v>
      </c>
      <c r="G909">
        <f t="shared" si="13"/>
        <v>0</v>
      </c>
    </row>
    <row r="910" spans="5:7" x14ac:dyDescent="0.2">
      <c r="E910">
        <v>890</v>
      </c>
      <c r="F910" s="4">
        <v>2863458619.6760244</v>
      </c>
      <c r="G910">
        <f t="shared" si="13"/>
        <v>0</v>
      </c>
    </row>
    <row r="911" spans="5:7" x14ac:dyDescent="0.2">
      <c r="E911">
        <v>891</v>
      </c>
      <c r="F911" s="4">
        <v>2808913455.0975089</v>
      </c>
      <c r="G911">
        <f t="shared" si="13"/>
        <v>0</v>
      </c>
    </row>
    <row r="912" spans="5:7" x14ac:dyDescent="0.2">
      <c r="E912">
        <v>892</v>
      </c>
      <c r="F912" s="4">
        <v>3144371757.5988002</v>
      </c>
      <c r="G912">
        <f t="shared" si="13"/>
        <v>0</v>
      </c>
    </row>
    <row r="913" spans="5:7" x14ac:dyDescent="0.2">
      <c r="E913">
        <v>893</v>
      </c>
      <c r="F913" s="4">
        <v>3794375129.5982304</v>
      </c>
      <c r="G913">
        <f t="shared" si="13"/>
        <v>0</v>
      </c>
    </row>
    <row r="914" spans="5:7" x14ac:dyDescent="0.2">
      <c r="E914">
        <v>894</v>
      </c>
      <c r="F914" s="4">
        <v>3284037436.4659128</v>
      </c>
      <c r="G914">
        <f t="shared" si="13"/>
        <v>0</v>
      </c>
    </row>
    <row r="915" spans="5:7" x14ac:dyDescent="0.2">
      <c r="E915">
        <v>895</v>
      </c>
      <c r="F915" s="4">
        <v>3050025960.5965652</v>
      </c>
      <c r="G915">
        <f t="shared" si="13"/>
        <v>0</v>
      </c>
    </row>
    <row r="916" spans="5:7" x14ac:dyDescent="0.2">
      <c r="E916">
        <v>896</v>
      </c>
      <c r="F916" s="4">
        <v>3133069233.0346122</v>
      </c>
      <c r="G916">
        <f t="shared" si="13"/>
        <v>0</v>
      </c>
    </row>
    <row r="917" spans="5:7" x14ac:dyDescent="0.2">
      <c r="E917">
        <v>897</v>
      </c>
      <c r="F917" s="4">
        <v>3493184604.6096826</v>
      </c>
      <c r="G917">
        <f t="shared" si="13"/>
        <v>0</v>
      </c>
    </row>
    <row r="918" spans="5:7" x14ac:dyDescent="0.2">
      <c r="E918">
        <v>898</v>
      </c>
      <c r="F918" s="4">
        <v>3070933007.5709291</v>
      </c>
      <c r="G918">
        <f t="shared" ref="G918:G981" si="14">IF(F918&lt;1700000000,1,0)</f>
        <v>0</v>
      </c>
    </row>
    <row r="919" spans="5:7" x14ac:dyDescent="0.2">
      <c r="E919">
        <v>899</v>
      </c>
      <c r="F919" s="4">
        <v>3201418619.6714621</v>
      </c>
      <c r="G919">
        <f t="shared" si="14"/>
        <v>0</v>
      </c>
    </row>
    <row r="920" spans="5:7" x14ac:dyDescent="0.2">
      <c r="E920">
        <v>900</v>
      </c>
      <c r="F920" s="4">
        <v>2740634869.2853403</v>
      </c>
      <c r="G920">
        <f t="shared" si="14"/>
        <v>0</v>
      </c>
    </row>
    <row r="921" spans="5:7" x14ac:dyDescent="0.2">
      <c r="E921">
        <v>901</v>
      </c>
      <c r="F921" s="4">
        <v>3251299938.190958</v>
      </c>
      <c r="G921">
        <f t="shared" si="14"/>
        <v>0</v>
      </c>
    </row>
    <row r="922" spans="5:7" x14ac:dyDescent="0.2">
      <c r="E922">
        <v>902</v>
      </c>
      <c r="F922" s="4">
        <v>2858251760.6891427</v>
      </c>
      <c r="G922">
        <f t="shared" si="14"/>
        <v>0</v>
      </c>
    </row>
    <row r="923" spans="5:7" x14ac:dyDescent="0.2">
      <c r="E923">
        <v>903</v>
      </c>
      <c r="F923" s="4">
        <v>3098513376.7650781</v>
      </c>
      <c r="G923">
        <f t="shared" si="14"/>
        <v>0</v>
      </c>
    </row>
    <row r="924" spans="5:7" x14ac:dyDescent="0.2">
      <c r="E924">
        <v>904</v>
      </c>
      <c r="F924" s="4">
        <v>3139541147.5572953</v>
      </c>
      <c r="G924">
        <f t="shared" si="14"/>
        <v>0</v>
      </c>
    </row>
    <row r="925" spans="5:7" x14ac:dyDescent="0.2">
      <c r="E925">
        <v>905</v>
      </c>
      <c r="F925" s="4">
        <v>3121443041.1887527</v>
      </c>
      <c r="G925">
        <f t="shared" si="14"/>
        <v>0</v>
      </c>
    </row>
    <row r="926" spans="5:7" x14ac:dyDescent="0.2">
      <c r="E926">
        <v>906</v>
      </c>
      <c r="F926" s="4">
        <v>3011980872.6882806</v>
      </c>
      <c r="G926">
        <f t="shared" si="14"/>
        <v>0</v>
      </c>
    </row>
    <row r="927" spans="5:7" x14ac:dyDescent="0.2">
      <c r="E927">
        <v>907</v>
      </c>
      <c r="F927" s="4">
        <v>2953134363.7111092</v>
      </c>
      <c r="G927">
        <f t="shared" si="14"/>
        <v>0</v>
      </c>
    </row>
    <row r="928" spans="5:7" x14ac:dyDescent="0.2">
      <c r="E928">
        <v>908</v>
      </c>
      <c r="F928" s="4">
        <v>3137005077.4091773</v>
      </c>
      <c r="G928">
        <f t="shared" si="14"/>
        <v>0</v>
      </c>
    </row>
    <row r="929" spans="5:7" x14ac:dyDescent="0.2">
      <c r="E929">
        <v>909</v>
      </c>
      <c r="F929" s="4">
        <v>2968460133.4757695</v>
      </c>
      <c r="G929">
        <f t="shared" si="14"/>
        <v>0</v>
      </c>
    </row>
    <row r="930" spans="5:7" x14ac:dyDescent="0.2">
      <c r="E930">
        <v>910</v>
      </c>
      <c r="F930" s="4">
        <v>3026701911.3916903</v>
      </c>
      <c r="G930">
        <f t="shared" si="14"/>
        <v>0</v>
      </c>
    </row>
    <row r="931" spans="5:7" x14ac:dyDescent="0.2">
      <c r="E931">
        <v>911</v>
      </c>
      <c r="F931" s="4">
        <v>2999955119.9611249</v>
      </c>
      <c r="G931">
        <f t="shared" si="14"/>
        <v>0</v>
      </c>
    </row>
    <row r="932" spans="5:7" x14ac:dyDescent="0.2">
      <c r="E932">
        <v>912</v>
      </c>
      <c r="F932" s="4">
        <v>2696383807.7462654</v>
      </c>
      <c r="G932">
        <f t="shared" si="14"/>
        <v>0</v>
      </c>
    </row>
    <row r="933" spans="5:7" x14ac:dyDescent="0.2">
      <c r="E933">
        <v>913</v>
      </c>
      <c r="F933" s="4">
        <v>2740783171.3603845</v>
      </c>
      <c r="G933">
        <f t="shared" si="14"/>
        <v>0</v>
      </c>
    </row>
    <row r="934" spans="5:7" x14ac:dyDescent="0.2">
      <c r="E934">
        <v>914</v>
      </c>
      <c r="F934" s="4">
        <v>3145442757.0076814</v>
      </c>
      <c r="G934">
        <f t="shared" si="14"/>
        <v>0</v>
      </c>
    </row>
    <row r="935" spans="5:7" x14ac:dyDescent="0.2">
      <c r="E935">
        <v>915</v>
      </c>
      <c r="F935" s="4">
        <v>2956268485.2305288</v>
      </c>
      <c r="G935">
        <f t="shared" si="14"/>
        <v>0</v>
      </c>
    </row>
    <row r="936" spans="5:7" x14ac:dyDescent="0.2">
      <c r="E936">
        <v>916</v>
      </c>
      <c r="F936" s="4">
        <v>3080888867.3670554</v>
      </c>
      <c r="G936">
        <f t="shared" si="14"/>
        <v>0</v>
      </c>
    </row>
    <row r="937" spans="5:7" x14ac:dyDescent="0.2">
      <c r="E937">
        <v>917</v>
      </c>
      <c r="F937" s="4">
        <v>3272221800.8519883</v>
      </c>
      <c r="G937">
        <f t="shared" si="14"/>
        <v>0</v>
      </c>
    </row>
    <row r="938" spans="5:7" x14ac:dyDescent="0.2">
      <c r="E938">
        <v>918</v>
      </c>
      <c r="F938" s="4">
        <v>3000948651.7266922</v>
      </c>
      <c r="G938">
        <f t="shared" si="14"/>
        <v>0</v>
      </c>
    </row>
    <row r="939" spans="5:7" x14ac:dyDescent="0.2">
      <c r="E939">
        <v>919</v>
      </c>
      <c r="F939" s="4">
        <v>2653039367.1611795</v>
      </c>
      <c r="G939">
        <f t="shared" si="14"/>
        <v>0</v>
      </c>
    </row>
    <row r="940" spans="5:7" x14ac:dyDescent="0.2">
      <c r="E940">
        <v>920</v>
      </c>
      <c r="F940" s="4">
        <v>3501222051.0637064</v>
      </c>
      <c r="G940">
        <f t="shared" si="14"/>
        <v>0</v>
      </c>
    </row>
    <row r="941" spans="5:7" x14ac:dyDescent="0.2">
      <c r="E941">
        <v>921</v>
      </c>
      <c r="F941" s="4">
        <v>3248900653.9247451</v>
      </c>
      <c r="G941">
        <f t="shared" si="14"/>
        <v>0</v>
      </c>
    </row>
    <row r="942" spans="5:7" x14ac:dyDescent="0.2">
      <c r="E942">
        <v>922</v>
      </c>
      <c r="F942" s="4">
        <v>3484772972.1762114</v>
      </c>
      <c r="G942">
        <f t="shared" si="14"/>
        <v>0</v>
      </c>
    </row>
    <row r="943" spans="5:7" x14ac:dyDescent="0.2">
      <c r="E943">
        <v>923</v>
      </c>
      <c r="F943" s="4">
        <v>2706325704.8030472</v>
      </c>
      <c r="G943">
        <f t="shared" si="14"/>
        <v>0</v>
      </c>
    </row>
    <row r="944" spans="5:7" x14ac:dyDescent="0.2">
      <c r="E944">
        <v>924</v>
      </c>
      <c r="F944" s="4">
        <v>3104138322.1426849</v>
      </c>
      <c r="G944">
        <f t="shared" si="14"/>
        <v>0</v>
      </c>
    </row>
    <row r="945" spans="5:7" x14ac:dyDescent="0.2">
      <c r="E945">
        <v>925</v>
      </c>
      <c r="F945" s="4">
        <v>3379390892.9496541</v>
      </c>
      <c r="G945">
        <f t="shared" si="14"/>
        <v>0</v>
      </c>
    </row>
    <row r="946" spans="5:7" x14ac:dyDescent="0.2">
      <c r="E946">
        <v>926</v>
      </c>
      <c r="F946" s="4">
        <v>3151485170.9145956</v>
      </c>
      <c r="G946">
        <f t="shared" si="14"/>
        <v>0</v>
      </c>
    </row>
    <row r="947" spans="5:7" x14ac:dyDescent="0.2">
      <c r="E947">
        <v>927</v>
      </c>
      <c r="F947" s="4">
        <v>2964883221.2806077</v>
      </c>
      <c r="G947">
        <f t="shared" si="14"/>
        <v>0</v>
      </c>
    </row>
    <row r="948" spans="5:7" x14ac:dyDescent="0.2">
      <c r="E948">
        <v>928</v>
      </c>
      <c r="F948" s="4">
        <v>3275546342.2881374</v>
      </c>
      <c r="G948">
        <f t="shared" si="14"/>
        <v>0</v>
      </c>
    </row>
    <row r="949" spans="5:7" x14ac:dyDescent="0.2">
      <c r="E949">
        <v>929</v>
      </c>
      <c r="F949" s="4">
        <v>3241153912.4237404</v>
      </c>
      <c r="G949">
        <f t="shared" si="14"/>
        <v>0</v>
      </c>
    </row>
    <row r="950" spans="5:7" x14ac:dyDescent="0.2">
      <c r="E950">
        <v>930</v>
      </c>
      <c r="F950" s="4">
        <v>3142831661.3045826</v>
      </c>
      <c r="G950">
        <f t="shared" si="14"/>
        <v>0</v>
      </c>
    </row>
    <row r="951" spans="5:7" x14ac:dyDescent="0.2">
      <c r="E951">
        <v>931</v>
      </c>
      <c r="F951" s="4">
        <v>3191857030.6094232</v>
      </c>
      <c r="G951">
        <f t="shared" si="14"/>
        <v>0</v>
      </c>
    </row>
    <row r="952" spans="5:7" x14ac:dyDescent="0.2">
      <c r="E952">
        <v>932</v>
      </c>
      <c r="F952" s="4">
        <v>3340065386.5740247</v>
      </c>
      <c r="G952">
        <f t="shared" si="14"/>
        <v>0</v>
      </c>
    </row>
    <row r="953" spans="5:7" x14ac:dyDescent="0.2">
      <c r="E953">
        <v>933</v>
      </c>
      <c r="F953" s="4">
        <v>3082500873.8070569</v>
      </c>
      <c r="G953">
        <f t="shared" si="14"/>
        <v>0</v>
      </c>
    </row>
    <row r="954" spans="5:7" x14ac:dyDescent="0.2">
      <c r="E954">
        <v>934</v>
      </c>
      <c r="F954" s="4">
        <v>3188498444.2108941</v>
      </c>
      <c r="G954">
        <f t="shared" si="14"/>
        <v>0</v>
      </c>
    </row>
    <row r="955" spans="5:7" x14ac:dyDescent="0.2">
      <c r="E955">
        <v>935</v>
      </c>
      <c r="F955" s="4">
        <v>2815913660.9107676</v>
      </c>
      <c r="G955">
        <f t="shared" si="14"/>
        <v>0</v>
      </c>
    </row>
    <row r="956" spans="5:7" x14ac:dyDescent="0.2">
      <c r="E956">
        <v>936</v>
      </c>
      <c r="F956" s="4">
        <v>2534164070.7431011</v>
      </c>
      <c r="G956">
        <f t="shared" si="14"/>
        <v>0</v>
      </c>
    </row>
    <row r="957" spans="5:7" x14ac:dyDescent="0.2">
      <c r="E957">
        <v>937</v>
      </c>
      <c r="F957" s="4">
        <v>2480187721.0009456</v>
      </c>
      <c r="G957">
        <f t="shared" si="14"/>
        <v>0</v>
      </c>
    </row>
    <row r="958" spans="5:7" x14ac:dyDescent="0.2">
      <c r="E958">
        <v>938</v>
      </c>
      <c r="F958" s="4">
        <v>2954046244.7209611</v>
      </c>
      <c r="G958">
        <f t="shared" si="14"/>
        <v>0</v>
      </c>
    </row>
    <row r="959" spans="5:7" x14ac:dyDescent="0.2">
      <c r="E959">
        <v>939</v>
      </c>
      <c r="F959" s="4">
        <v>2898224119.7813168</v>
      </c>
      <c r="G959">
        <f t="shared" si="14"/>
        <v>0</v>
      </c>
    </row>
    <row r="960" spans="5:7" x14ac:dyDescent="0.2">
      <c r="E960">
        <v>940</v>
      </c>
      <c r="F960" s="4">
        <v>2987268753.1527119</v>
      </c>
      <c r="G960">
        <f t="shared" si="14"/>
        <v>0</v>
      </c>
    </row>
    <row r="961" spans="5:7" x14ac:dyDescent="0.2">
      <c r="E961">
        <v>941</v>
      </c>
      <c r="F961" s="4">
        <v>2850641590.4535284</v>
      </c>
      <c r="G961">
        <f t="shared" si="14"/>
        <v>0</v>
      </c>
    </row>
    <row r="962" spans="5:7" x14ac:dyDescent="0.2">
      <c r="E962">
        <v>942</v>
      </c>
      <c r="F962" s="4">
        <v>2994940235.5619602</v>
      </c>
      <c r="G962">
        <f t="shared" si="14"/>
        <v>0</v>
      </c>
    </row>
    <row r="963" spans="5:7" x14ac:dyDescent="0.2">
      <c r="E963">
        <v>943</v>
      </c>
      <c r="F963" s="4">
        <v>3069038514.1664619</v>
      </c>
      <c r="G963">
        <f t="shared" si="14"/>
        <v>0</v>
      </c>
    </row>
    <row r="964" spans="5:7" x14ac:dyDescent="0.2">
      <c r="E964">
        <v>944</v>
      </c>
      <c r="F964" s="4">
        <v>3283795881.4358163</v>
      </c>
      <c r="G964">
        <f t="shared" si="14"/>
        <v>0</v>
      </c>
    </row>
    <row r="965" spans="5:7" x14ac:dyDescent="0.2">
      <c r="E965">
        <v>945</v>
      </c>
      <c r="F965" s="4">
        <v>3381616589.3429508</v>
      </c>
      <c r="G965">
        <f t="shared" si="14"/>
        <v>0</v>
      </c>
    </row>
    <row r="966" spans="5:7" x14ac:dyDescent="0.2">
      <c r="E966">
        <v>946</v>
      </c>
      <c r="F966" s="4">
        <v>3081786320.8122039</v>
      </c>
      <c r="G966">
        <f t="shared" si="14"/>
        <v>0</v>
      </c>
    </row>
    <row r="967" spans="5:7" x14ac:dyDescent="0.2">
      <c r="E967">
        <v>947</v>
      </c>
      <c r="F967" s="4">
        <v>3156330998.7678199</v>
      </c>
      <c r="G967">
        <f t="shared" si="14"/>
        <v>0</v>
      </c>
    </row>
    <row r="968" spans="5:7" x14ac:dyDescent="0.2">
      <c r="E968">
        <v>948</v>
      </c>
      <c r="F968" s="4">
        <v>3078368517.1987939</v>
      </c>
      <c r="G968">
        <f t="shared" si="14"/>
        <v>0</v>
      </c>
    </row>
    <row r="969" spans="5:7" x14ac:dyDescent="0.2">
      <c r="E969">
        <v>949</v>
      </c>
      <c r="F969" s="4">
        <v>2878829622.9673872</v>
      </c>
      <c r="G969">
        <f t="shared" si="14"/>
        <v>0</v>
      </c>
    </row>
    <row r="970" spans="5:7" x14ac:dyDescent="0.2">
      <c r="E970">
        <v>950</v>
      </c>
      <c r="F970" s="4">
        <v>2952962871.7177453</v>
      </c>
      <c r="G970">
        <f t="shared" si="14"/>
        <v>0</v>
      </c>
    </row>
    <row r="971" spans="5:7" x14ac:dyDescent="0.2">
      <c r="E971">
        <v>951</v>
      </c>
      <c r="F971" s="4">
        <v>3216089990.2098889</v>
      </c>
      <c r="G971">
        <f t="shared" si="14"/>
        <v>0</v>
      </c>
    </row>
    <row r="972" spans="5:7" x14ac:dyDescent="0.2">
      <c r="E972">
        <v>952</v>
      </c>
      <c r="F972" s="4">
        <v>2703584885.6364412</v>
      </c>
      <c r="G972">
        <f t="shared" si="14"/>
        <v>0</v>
      </c>
    </row>
    <row r="973" spans="5:7" x14ac:dyDescent="0.2">
      <c r="E973">
        <v>953</v>
      </c>
      <c r="F973" s="4">
        <v>3603449030.3311872</v>
      </c>
      <c r="G973">
        <f t="shared" si="14"/>
        <v>0</v>
      </c>
    </row>
    <row r="974" spans="5:7" x14ac:dyDescent="0.2">
      <c r="E974">
        <v>954</v>
      </c>
      <c r="F974" s="4">
        <v>2815404261.9367542</v>
      </c>
      <c r="G974">
        <f t="shared" si="14"/>
        <v>0</v>
      </c>
    </row>
    <row r="975" spans="5:7" x14ac:dyDescent="0.2">
      <c r="E975">
        <v>955</v>
      </c>
      <c r="F975" s="4">
        <v>2821874165.1531377</v>
      </c>
      <c r="G975">
        <f t="shared" si="14"/>
        <v>0</v>
      </c>
    </row>
    <row r="976" spans="5:7" x14ac:dyDescent="0.2">
      <c r="E976">
        <v>956</v>
      </c>
      <c r="F976" s="4">
        <v>3192116670.9256673</v>
      </c>
      <c r="G976">
        <f t="shared" si="14"/>
        <v>0</v>
      </c>
    </row>
    <row r="977" spans="5:7" x14ac:dyDescent="0.2">
      <c r="E977">
        <v>957</v>
      </c>
      <c r="F977" s="4">
        <v>3094118517.8092217</v>
      </c>
      <c r="G977">
        <f t="shared" si="14"/>
        <v>0</v>
      </c>
    </row>
    <row r="978" spans="5:7" x14ac:dyDescent="0.2">
      <c r="E978">
        <v>958</v>
      </c>
      <c r="F978" s="4">
        <v>3310306342.626276</v>
      </c>
      <c r="G978">
        <f t="shared" si="14"/>
        <v>0</v>
      </c>
    </row>
    <row r="979" spans="5:7" x14ac:dyDescent="0.2">
      <c r="E979">
        <v>959</v>
      </c>
      <c r="F979" s="4">
        <v>2902833962.2516894</v>
      </c>
      <c r="G979">
        <f t="shared" si="14"/>
        <v>0</v>
      </c>
    </row>
    <row r="980" spans="5:7" x14ac:dyDescent="0.2">
      <c r="E980">
        <v>960</v>
      </c>
      <c r="F980" s="4">
        <v>3187453547.8124108</v>
      </c>
      <c r="G980">
        <f t="shared" si="14"/>
        <v>0</v>
      </c>
    </row>
    <row r="981" spans="5:7" x14ac:dyDescent="0.2">
      <c r="E981">
        <v>961</v>
      </c>
      <c r="F981" s="4">
        <v>2785406682.8712521</v>
      </c>
      <c r="G981">
        <f t="shared" si="14"/>
        <v>0</v>
      </c>
    </row>
    <row r="982" spans="5:7" x14ac:dyDescent="0.2">
      <c r="E982">
        <v>962</v>
      </c>
      <c r="F982" s="4">
        <v>3369503632.9995437</v>
      </c>
      <c r="G982">
        <f t="shared" ref="G982:G1020" si="15">IF(F982&lt;1700000000,1,0)</f>
        <v>0</v>
      </c>
    </row>
    <row r="983" spans="5:7" x14ac:dyDescent="0.2">
      <c r="E983">
        <v>963</v>
      </c>
      <c r="F983" s="4">
        <v>3276631558.6692281</v>
      </c>
      <c r="G983">
        <f t="shared" si="15"/>
        <v>0</v>
      </c>
    </row>
    <row r="984" spans="5:7" x14ac:dyDescent="0.2">
      <c r="E984">
        <v>964</v>
      </c>
      <c r="F984" s="4">
        <v>3224006512.2375903</v>
      </c>
      <c r="G984">
        <f t="shared" si="15"/>
        <v>0</v>
      </c>
    </row>
    <row r="985" spans="5:7" x14ac:dyDescent="0.2">
      <c r="E985">
        <v>965</v>
      </c>
      <c r="F985" s="4">
        <v>3144971937.5326562</v>
      </c>
      <c r="G985">
        <f t="shared" si="15"/>
        <v>0</v>
      </c>
    </row>
    <row r="986" spans="5:7" x14ac:dyDescent="0.2">
      <c r="E986">
        <v>966</v>
      </c>
      <c r="F986" s="4">
        <v>2683075470.8297801</v>
      </c>
      <c r="G986">
        <f t="shared" si="15"/>
        <v>0</v>
      </c>
    </row>
    <row r="987" spans="5:7" x14ac:dyDescent="0.2">
      <c r="E987">
        <v>967</v>
      </c>
      <c r="F987" s="4">
        <v>3347083786.5776658</v>
      </c>
      <c r="G987">
        <f t="shared" si="15"/>
        <v>0</v>
      </c>
    </row>
    <row r="988" spans="5:7" x14ac:dyDescent="0.2">
      <c r="E988">
        <v>968</v>
      </c>
      <c r="F988" s="4">
        <v>3350875268.2320395</v>
      </c>
      <c r="G988">
        <f t="shared" si="15"/>
        <v>0</v>
      </c>
    </row>
    <row r="989" spans="5:7" x14ac:dyDescent="0.2">
      <c r="E989">
        <v>969</v>
      </c>
      <c r="F989" s="4">
        <v>3437930549.849123</v>
      </c>
      <c r="G989">
        <f t="shared" si="15"/>
        <v>0</v>
      </c>
    </row>
    <row r="990" spans="5:7" x14ac:dyDescent="0.2">
      <c r="E990">
        <v>970</v>
      </c>
      <c r="F990" s="4">
        <v>3195137499.805181</v>
      </c>
      <c r="G990">
        <f t="shared" si="15"/>
        <v>0</v>
      </c>
    </row>
    <row r="991" spans="5:7" x14ac:dyDescent="0.2">
      <c r="E991">
        <v>971</v>
      </c>
      <c r="F991" s="4">
        <v>3286305453.0988421</v>
      </c>
      <c r="G991">
        <f t="shared" si="15"/>
        <v>0</v>
      </c>
    </row>
    <row r="992" spans="5:7" x14ac:dyDescent="0.2">
      <c r="E992">
        <v>972</v>
      </c>
      <c r="F992" s="4">
        <v>2669701363.5720024</v>
      </c>
      <c r="G992">
        <f t="shared" si="15"/>
        <v>0</v>
      </c>
    </row>
    <row r="993" spans="5:7" x14ac:dyDescent="0.2">
      <c r="E993">
        <v>973</v>
      </c>
      <c r="F993" s="4">
        <v>3179065704.8926988</v>
      </c>
      <c r="G993">
        <f t="shared" si="15"/>
        <v>0</v>
      </c>
    </row>
    <row r="994" spans="5:7" x14ac:dyDescent="0.2">
      <c r="E994">
        <v>974</v>
      </c>
      <c r="F994" s="4">
        <v>3242304813.0336642</v>
      </c>
      <c r="G994">
        <f t="shared" si="15"/>
        <v>0</v>
      </c>
    </row>
    <row r="995" spans="5:7" x14ac:dyDescent="0.2">
      <c r="E995">
        <v>975</v>
      </c>
      <c r="F995" s="4">
        <v>3139610624.9406204</v>
      </c>
      <c r="G995">
        <f t="shared" si="15"/>
        <v>0</v>
      </c>
    </row>
    <row r="996" spans="5:7" x14ac:dyDescent="0.2">
      <c r="E996">
        <v>976</v>
      </c>
      <c r="F996" s="4">
        <v>3206524964.5948715</v>
      </c>
      <c r="G996">
        <f t="shared" si="15"/>
        <v>0</v>
      </c>
    </row>
    <row r="997" spans="5:7" x14ac:dyDescent="0.2">
      <c r="E997">
        <v>977</v>
      </c>
      <c r="F997" s="4">
        <v>2798304903.0263791</v>
      </c>
      <c r="G997">
        <f t="shared" si="15"/>
        <v>0</v>
      </c>
    </row>
    <row r="998" spans="5:7" x14ac:dyDescent="0.2">
      <c r="E998">
        <v>978</v>
      </c>
      <c r="F998" s="4">
        <v>3165660703.6913738</v>
      </c>
      <c r="G998">
        <f t="shared" si="15"/>
        <v>0</v>
      </c>
    </row>
    <row r="999" spans="5:7" x14ac:dyDescent="0.2">
      <c r="E999">
        <v>979</v>
      </c>
      <c r="F999" s="4">
        <v>3101942884.6473298</v>
      </c>
      <c r="G999">
        <f t="shared" si="15"/>
        <v>0</v>
      </c>
    </row>
    <row r="1000" spans="5:7" x14ac:dyDescent="0.2">
      <c r="E1000">
        <v>980</v>
      </c>
      <c r="F1000" s="4">
        <v>3000693747.8329473</v>
      </c>
      <c r="G1000">
        <f t="shared" si="15"/>
        <v>0</v>
      </c>
    </row>
    <row r="1001" spans="5:7" x14ac:dyDescent="0.2">
      <c r="E1001">
        <v>981</v>
      </c>
      <c r="F1001" s="4">
        <v>2791148855.3284817</v>
      </c>
      <c r="G1001">
        <f t="shared" si="15"/>
        <v>0</v>
      </c>
    </row>
    <row r="1002" spans="5:7" x14ac:dyDescent="0.2">
      <c r="E1002">
        <v>982</v>
      </c>
      <c r="F1002" s="4">
        <v>3367158725.0792651</v>
      </c>
      <c r="G1002">
        <f t="shared" si="15"/>
        <v>0</v>
      </c>
    </row>
    <row r="1003" spans="5:7" x14ac:dyDescent="0.2">
      <c r="E1003">
        <v>983</v>
      </c>
      <c r="F1003" s="4">
        <v>3173957222.9441495</v>
      </c>
      <c r="G1003">
        <f t="shared" si="15"/>
        <v>0</v>
      </c>
    </row>
    <row r="1004" spans="5:7" x14ac:dyDescent="0.2">
      <c r="E1004">
        <v>984</v>
      </c>
      <c r="F1004" s="4">
        <v>3161279387.8589029</v>
      </c>
      <c r="G1004">
        <f t="shared" si="15"/>
        <v>0</v>
      </c>
    </row>
    <row r="1005" spans="5:7" x14ac:dyDescent="0.2">
      <c r="E1005">
        <v>985</v>
      </c>
      <c r="F1005" s="4">
        <v>2855342219.7278838</v>
      </c>
      <c r="G1005">
        <f t="shared" si="15"/>
        <v>0</v>
      </c>
    </row>
    <row r="1006" spans="5:7" x14ac:dyDescent="0.2">
      <c r="E1006">
        <v>986</v>
      </c>
      <c r="F1006" s="4">
        <v>3095093990.1421294</v>
      </c>
      <c r="G1006">
        <f t="shared" si="15"/>
        <v>0</v>
      </c>
    </row>
    <row r="1007" spans="5:7" x14ac:dyDescent="0.2">
      <c r="E1007">
        <v>987</v>
      </c>
      <c r="F1007" s="4">
        <v>3177761720.9833827</v>
      </c>
      <c r="G1007">
        <f t="shared" si="15"/>
        <v>0</v>
      </c>
    </row>
    <row r="1008" spans="5:7" x14ac:dyDescent="0.2">
      <c r="E1008">
        <v>988</v>
      </c>
      <c r="F1008" s="4">
        <v>3026711434.1469765</v>
      </c>
      <c r="G1008">
        <f t="shared" si="15"/>
        <v>0</v>
      </c>
    </row>
    <row r="1009" spans="5:7" x14ac:dyDescent="0.2">
      <c r="E1009">
        <v>989</v>
      </c>
      <c r="F1009" s="4">
        <v>3261526810.2649636</v>
      </c>
      <c r="G1009">
        <f t="shared" si="15"/>
        <v>0</v>
      </c>
    </row>
    <row r="1010" spans="5:7" x14ac:dyDescent="0.2">
      <c r="E1010">
        <v>990</v>
      </c>
      <c r="F1010" s="4">
        <v>3070514737.4945931</v>
      </c>
      <c r="G1010">
        <f t="shared" si="15"/>
        <v>0</v>
      </c>
    </row>
    <row r="1011" spans="5:7" x14ac:dyDescent="0.2">
      <c r="E1011">
        <v>991</v>
      </c>
      <c r="F1011" s="4">
        <v>3092118353.711144</v>
      </c>
      <c r="G1011">
        <f t="shared" si="15"/>
        <v>0</v>
      </c>
    </row>
    <row r="1012" spans="5:7" x14ac:dyDescent="0.2">
      <c r="E1012">
        <v>992</v>
      </c>
      <c r="F1012" s="4">
        <v>3270692613.4644156</v>
      </c>
      <c r="G1012">
        <f t="shared" si="15"/>
        <v>0</v>
      </c>
    </row>
    <row r="1013" spans="5:7" x14ac:dyDescent="0.2">
      <c r="E1013">
        <v>993</v>
      </c>
      <c r="F1013" s="4">
        <v>3224691990.8349128</v>
      </c>
      <c r="G1013">
        <f t="shared" si="15"/>
        <v>0</v>
      </c>
    </row>
    <row r="1014" spans="5:7" x14ac:dyDescent="0.2">
      <c r="E1014">
        <v>994</v>
      </c>
      <c r="F1014" s="4">
        <v>2870885698.7771101</v>
      </c>
      <c r="G1014">
        <f t="shared" si="15"/>
        <v>0</v>
      </c>
    </row>
    <row r="1015" spans="5:7" x14ac:dyDescent="0.2">
      <c r="E1015">
        <v>995</v>
      </c>
      <c r="F1015" s="4">
        <v>3502284976.4226017</v>
      </c>
      <c r="G1015">
        <f t="shared" si="15"/>
        <v>0</v>
      </c>
    </row>
    <row r="1016" spans="5:7" x14ac:dyDescent="0.2">
      <c r="E1016">
        <v>996</v>
      </c>
      <c r="F1016" s="4">
        <v>2865474476.3559208</v>
      </c>
      <c r="G1016">
        <f t="shared" si="15"/>
        <v>0</v>
      </c>
    </row>
    <row r="1017" spans="5:7" x14ac:dyDescent="0.2">
      <c r="E1017">
        <v>997</v>
      </c>
      <c r="F1017" s="4">
        <v>3174400748.6941071</v>
      </c>
      <c r="G1017">
        <f t="shared" si="15"/>
        <v>0</v>
      </c>
    </row>
    <row r="1018" spans="5:7" x14ac:dyDescent="0.2">
      <c r="E1018">
        <v>998</v>
      </c>
      <c r="F1018" s="4">
        <v>3014371439.2401962</v>
      </c>
      <c r="G1018">
        <f t="shared" si="15"/>
        <v>0</v>
      </c>
    </row>
    <row r="1019" spans="5:7" x14ac:dyDescent="0.2">
      <c r="E1019">
        <v>999</v>
      </c>
      <c r="F1019" s="4">
        <v>3345303592.852715</v>
      </c>
      <c r="G1019">
        <f t="shared" si="15"/>
        <v>0</v>
      </c>
    </row>
    <row r="1020" spans="5:7" x14ac:dyDescent="0.2">
      <c r="E1020">
        <v>1000</v>
      </c>
      <c r="F1020" s="4">
        <v>3521898523.2405839</v>
      </c>
      <c r="G1020">
        <f t="shared" si="15"/>
        <v>0</v>
      </c>
    </row>
  </sheetData>
  <mergeCells count="1">
    <mergeCell ref="J20:K2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F917-98F5-7C46-9FA9-757C228874E0}">
  <dimension ref="B6:AD1011"/>
  <sheetViews>
    <sheetView tabSelected="1" zoomScale="125" workbookViewId="0">
      <selection activeCell="V8" sqref="V8"/>
    </sheetView>
  </sheetViews>
  <sheetFormatPr baseColWidth="10" defaultRowHeight="16" x14ac:dyDescent="0.2"/>
  <cols>
    <col min="2" max="2" width="3.1640625" bestFit="1" customWidth="1"/>
    <col min="3" max="4" width="19.83203125" bestFit="1" customWidth="1"/>
    <col min="6" max="7" width="19.83203125" bestFit="1" customWidth="1"/>
    <col min="8" max="8" width="19.33203125" bestFit="1" customWidth="1"/>
    <col min="9" max="9" width="12.1640625" bestFit="1" customWidth="1"/>
    <col min="10" max="10" width="24" bestFit="1" customWidth="1"/>
    <col min="11" max="11" width="21.33203125" bestFit="1" customWidth="1"/>
    <col min="12" max="12" width="13.5" bestFit="1" customWidth="1"/>
    <col min="13" max="13" width="26" bestFit="1" customWidth="1"/>
    <col min="14" max="14" width="20.1640625" bestFit="1" customWidth="1"/>
    <col min="15" max="15" width="25.83203125" bestFit="1" customWidth="1"/>
    <col min="16" max="16" width="20.6640625" bestFit="1" customWidth="1"/>
    <col min="17" max="17" width="27.1640625" bestFit="1" customWidth="1"/>
    <col min="21" max="21" width="11.6640625" bestFit="1" customWidth="1"/>
    <col min="29" max="29" width="16.83203125" bestFit="1" customWidth="1"/>
    <col min="30" max="30" width="20.5" bestFit="1" customWidth="1"/>
  </cols>
  <sheetData>
    <row r="6" spans="2:30" x14ac:dyDescent="0.2">
      <c r="I6" s="10" t="s">
        <v>75</v>
      </c>
      <c r="J6" s="35">
        <v>0.06</v>
      </c>
    </row>
    <row r="7" spans="2:30" ht="17" thickBot="1" x14ac:dyDescent="0.25"/>
    <row r="8" spans="2:30" ht="17" thickBot="1" x14ac:dyDescent="0.25">
      <c r="I8" s="10" t="s">
        <v>74</v>
      </c>
      <c r="J8" s="4">
        <f ca="1">NPV(J6,H15:H34)</f>
        <v>3006737969.0403175</v>
      </c>
      <c r="V8" s="84" t="s">
        <v>137</v>
      </c>
    </row>
    <row r="10" spans="2:30" ht="17" thickBot="1" x14ac:dyDescent="0.25">
      <c r="J10" s="10" t="s">
        <v>96</v>
      </c>
    </row>
    <row r="11" spans="2:30" x14ac:dyDescent="0.2">
      <c r="J11" s="47" t="s">
        <v>78</v>
      </c>
      <c r="K11" s="47" t="s">
        <v>74</v>
      </c>
      <c r="L11" s="10" t="s">
        <v>108</v>
      </c>
      <c r="M11" s="10" t="s">
        <v>125</v>
      </c>
      <c r="O11" s="49" t="s">
        <v>113</v>
      </c>
      <c r="P11" s="48"/>
      <c r="Q11" s="10" t="s">
        <v>103</v>
      </c>
      <c r="S11" s="56" t="s">
        <v>110</v>
      </c>
      <c r="T11" s="56" t="s">
        <v>101</v>
      </c>
      <c r="U11" s="55"/>
      <c r="V11" s="53"/>
      <c r="AC11" s="63" t="s">
        <v>114</v>
      </c>
      <c r="AD11" s="4">
        <f>P13</f>
        <v>2957658048.5610018</v>
      </c>
    </row>
    <row r="12" spans="2:30" x14ac:dyDescent="0.2">
      <c r="J12">
        <v>1</v>
      </c>
      <c r="K12" s="4">
        <f ca="1">J8</f>
        <v>3006737969.0403175</v>
      </c>
      <c r="L12">
        <f ca="1">IF(K12&lt;1700000000,1,0)</f>
        <v>0</v>
      </c>
      <c r="M12" s="35">
        <f ca="1">SUM(L12:L1011)/1000</f>
        <v>0</v>
      </c>
      <c r="Q12" s="4">
        <f ca="1">J8-P13</f>
        <v>49079920.479315758</v>
      </c>
      <c r="S12" s="51">
        <v>2506913785.1029634</v>
      </c>
      <c r="T12" s="51">
        <v>0</v>
      </c>
      <c r="U12" s="59"/>
      <c r="V12" s="51"/>
      <c r="AC12" s="63" t="s">
        <v>82</v>
      </c>
      <c r="AD12">
        <f>P17</f>
        <v>130317243.37180457</v>
      </c>
    </row>
    <row r="13" spans="2:30" x14ac:dyDescent="0.2">
      <c r="J13">
        <v>2</v>
      </c>
      <c r="K13" s="4">
        <f t="dataTable" ref="K13:K1011" dt2D="0" dtr="0" r1="K11" ca="1"/>
        <v>2882992177.5523748</v>
      </c>
      <c r="L13">
        <f t="shared" ref="L13:L76" si="0">IF(K13&lt;1700000000,1,0)</f>
        <v>0</v>
      </c>
      <c r="O13" s="1" t="s">
        <v>1</v>
      </c>
      <c r="P13" s="38">
        <v>2957658048.5610018</v>
      </c>
      <c r="S13" s="51">
        <v>2536073739.581624</v>
      </c>
      <c r="T13" s="51">
        <v>0</v>
      </c>
      <c r="U13" s="59"/>
      <c r="V13" s="51"/>
      <c r="AC13" s="63" t="s">
        <v>115</v>
      </c>
      <c r="AD13">
        <v>1000</v>
      </c>
    </row>
    <row r="14" spans="2:30" x14ac:dyDescent="0.2">
      <c r="C14" s="10" t="s">
        <v>0</v>
      </c>
      <c r="D14" s="10" t="s">
        <v>57</v>
      </c>
      <c r="E14" s="12"/>
      <c r="F14" s="10" t="s">
        <v>93</v>
      </c>
      <c r="G14" s="10" t="s">
        <v>94</v>
      </c>
      <c r="H14" s="10" t="s">
        <v>95</v>
      </c>
      <c r="J14">
        <v>3</v>
      </c>
      <c r="K14" s="4">
        <v>2898865434.1655073</v>
      </c>
      <c r="L14">
        <f t="shared" si="0"/>
        <v>0</v>
      </c>
      <c r="O14" t="s">
        <v>79</v>
      </c>
      <c r="P14">
        <v>4120993.0744938338</v>
      </c>
      <c r="S14" s="51">
        <v>2565233694.0602846</v>
      </c>
      <c r="T14" s="51">
        <v>2</v>
      </c>
      <c r="U14" s="59"/>
      <c r="V14" s="51"/>
      <c r="AC14" s="63" t="s">
        <v>116</v>
      </c>
      <c r="AD14" s="35">
        <v>0.95</v>
      </c>
    </row>
    <row r="15" spans="2:30" x14ac:dyDescent="0.2">
      <c r="B15">
        <v>1</v>
      </c>
      <c r="C15" s="4">
        <f ca="1">'Varity A - Carménère'!BB10</f>
        <v>318639673.79791176</v>
      </c>
      <c r="D15" s="4">
        <f ca="1">'Varity B - Cabarnet Savignon'!AV12</f>
        <v>301368651.00616407</v>
      </c>
      <c r="F15" s="4">
        <f ca="1">C15/2</f>
        <v>159319836.89895588</v>
      </c>
      <c r="G15" s="22">
        <f ca="1">D15/2</f>
        <v>150684325.50308204</v>
      </c>
      <c r="H15" s="4">
        <f ca="1">F15+G15</f>
        <v>310004162.40203792</v>
      </c>
      <c r="J15">
        <v>4</v>
      </c>
      <c r="K15" s="4">
        <v>2939416625.8718462</v>
      </c>
      <c r="L15">
        <f t="shared" si="0"/>
        <v>0</v>
      </c>
      <c r="O15" t="s">
        <v>80</v>
      </c>
      <c r="P15">
        <v>2955109134.4659362</v>
      </c>
      <c r="S15" s="51">
        <v>2594393648.5389452</v>
      </c>
      <c r="T15" s="51">
        <v>2</v>
      </c>
      <c r="U15" s="59"/>
      <c r="V15" s="51"/>
      <c r="AC15" s="63"/>
    </row>
    <row r="16" spans="2:30" x14ac:dyDescent="0.2">
      <c r="B16">
        <v>2</v>
      </c>
      <c r="C16" s="4">
        <f ca="1">'Varity A - Carménère'!BB11</f>
        <v>316989481.9014008</v>
      </c>
      <c r="D16" s="4">
        <f ca="1">'Varity B - Cabarnet Savignon'!AV13</f>
        <v>304357264.23522371</v>
      </c>
      <c r="F16" s="4">
        <f t="shared" ref="F16:F34" ca="1" si="1">C16/2</f>
        <v>158494740.9507004</v>
      </c>
      <c r="G16" s="22">
        <f t="shared" ref="G16:G34" ca="1" si="2">D16/2</f>
        <v>152178632.11761186</v>
      </c>
      <c r="H16" s="4">
        <f t="shared" ref="H16:H34" ca="1" si="3">F16+G16</f>
        <v>310673373.06831229</v>
      </c>
      <c r="J16">
        <v>5</v>
      </c>
      <c r="K16" s="4">
        <v>2978537830.6828585</v>
      </c>
      <c r="L16">
        <f t="shared" si="0"/>
        <v>0</v>
      </c>
      <c r="O16" t="s">
        <v>81</v>
      </c>
      <c r="P16" t="e">
        <v>#N/A</v>
      </c>
      <c r="S16" s="51">
        <v>2623553603.0176058</v>
      </c>
      <c r="T16" s="51">
        <v>0</v>
      </c>
      <c r="U16" s="59"/>
      <c r="V16" s="51"/>
      <c r="AC16" s="47" t="s">
        <v>117</v>
      </c>
      <c r="AD16" s="4">
        <f>_xlfn.CONFIDENCE.NORM(1-AD14,AD12,AD13)</f>
        <v>8076998.0065469006</v>
      </c>
    </row>
    <row r="17" spans="2:30" x14ac:dyDescent="0.2">
      <c r="B17">
        <v>3</v>
      </c>
      <c r="C17" s="4">
        <f ca="1">'Varity A - Carménère'!BB12</f>
        <v>368322684.39219457</v>
      </c>
      <c r="D17" s="4">
        <f ca="1">'Varity B - Cabarnet Savignon'!AV14</f>
        <v>417252319.98202395</v>
      </c>
      <c r="F17" s="4">
        <f t="shared" ca="1" si="1"/>
        <v>184161342.19609728</v>
      </c>
      <c r="G17" s="22">
        <f t="shared" ca="1" si="2"/>
        <v>208626159.99101198</v>
      </c>
      <c r="H17" s="4">
        <f t="shared" ca="1" si="3"/>
        <v>392787502.18710923</v>
      </c>
      <c r="J17">
        <v>6</v>
      </c>
      <c r="K17" s="4">
        <v>2904703159.0995631</v>
      </c>
      <c r="L17">
        <f t="shared" si="0"/>
        <v>0</v>
      </c>
      <c r="O17" s="1" t="s">
        <v>82</v>
      </c>
      <c r="P17" s="1">
        <v>130317243.37180457</v>
      </c>
      <c r="S17" s="51">
        <v>2652713557.4962664</v>
      </c>
      <c r="T17" s="51">
        <v>7</v>
      </c>
      <c r="U17" s="59"/>
      <c r="V17" s="51"/>
      <c r="AC17" s="63" t="s">
        <v>118</v>
      </c>
      <c r="AD17" s="4">
        <f>AD11-AD16</f>
        <v>2949581050.5544548</v>
      </c>
    </row>
    <row r="18" spans="2:30" x14ac:dyDescent="0.2">
      <c r="B18">
        <v>4</v>
      </c>
      <c r="C18" s="4">
        <f ca="1">'Varity A - Carménère'!BB13</f>
        <v>226510843.23857063</v>
      </c>
      <c r="D18" s="4">
        <f ca="1">'Varity B - Cabarnet Savignon'!AV15</f>
        <v>206694823.90127182</v>
      </c>
      <c r="F18" s="4">
        <f t="shared" ca="1" si="1"/>
        <v>113255421.61928532</v>
      </c>
      <c r="G18" s="22">
        <f t="shared" ca="1" si="2"/>
        <v>103347411.95063591</v>
      </c>
      <c r="H18" s="4">
        <f t="shared" ca="1" si="3"/>
        <v>216602833.56992123</v>
      </c>
      <c r="J18">
        <v>7</v>
      </c>
      <c r="K18" s="4">
        <v>2962219561.8333535</v>
      </c>
      <c r="L18">
        <f t="shared" si="0"/>
        <v>0</v>
      </c>
      <c r="O18" t="s">
        <v>83</v>
      </c>
      <c r="P18">
        <v>1.698258392002614E+16</v>
      </c>
      <c r="S18" s="51">
        <v>2681873511.9749269</v>
      </c>
      <c r="T18" s="51">
        <v>12</v>
      </c>
      <c r="U18" s="59"/>
      <c r="V18" s="51"/>
      <c r="AC18" s="63" t="s">
        <v>119</v>
      </c>
      <c r="AD18" s="4">
        <f>AD11+AD16</f>
        <v>2965735046.5675488</v>
      </c>
    </row>
    <row r="19" spans="2:30" x14ac:dyDescent="0.2">
      <c r="B19">
        <v>5</v>
      </c>
      <c r="C19" s="4">
        <f ca="1">'Varity A - Carménère'!BB14</f>
        <v>364876085.72615319</v>
      </c>
      <c r="D19" s="4">
        <f ca="1">'Varity B - Cabarnet Savignon'!AV16</f>
        <v>213703989.87240091</v>
      </c>
      <c r="F19" s="4">
        <f t="shared" ca="1" si="1"/>
        <v>182438042.8630766</v>
      </c>
      <c r="G19" s="22">
        <f t="shared" ca="1" si="2"/>
        <v>106851994.93620045</v>
      </c>
      <c r="H19" s="4">
        <f t="shared" ca="1" si="3"/>
        <v>289290037.79927707</v>
      </c>
      <c r="J19">
        <v>8</v>
      </c>
      <c r="K19" s="4">
        <v>3004869340.9466848</v>
      </c>
      <c r="L19">
        <f t="shared" si="0"/>
        <v>0</v>
      </c>
      <c r="O19" s="1" t="s">
        <v>84</v>
      </c>
      <c r="P19" s="1">
        <v>4.7295803119114854E-2</v>
      </c>
      <c r="S19" s="51">
        <v>2711033466.4535875</v>
      </c>
      <c r="T19" s="51">
        <v>10</v>
      </c>
      <c r="U19" s="59"/>
      <c r="V19" s="51"/>
      <c r="AC19" s="47" t="s">
        <v>134</v>
      </c>
      <c r="AD19" s="4">
        <f>AD18-AD17</f>
        <v>16153996.013093948</v>
      </c>
    </row>
    <row r="20" spans="2:30" x14ac:dyDescent="0.2">
      <c r="B20">
        <v>6</v>
      </c>
      <c r="C20" s="4">
        <f ca="1">'Varity A - Carménère'!BB15</f>
        <v>175168014.87960738</v>
      </c>
      <c r="D20" s="4">
        <f ca="1">'Varity B - Cabarnet Savignon'!AV17</f>
        <v>222924585.43566456</v>
      </c>
      <c r="F20" s="4">
        <f t="shared" ca="1" si="1"/>
        <v>87584007.43980369</v>
      </c>
      <c r="G20" s="22">
        <f t="shared" ca="1" si="2"/>
        <v>111462292.71783228</v>
      </c>
      <c r="H20" s="4">
        <f t="shared" ca="1" si="3"/>
        <v>199046300.15763599</v>
      </c>
      <c r="J20">
        <v>9</v>
      </c>
      <c r="K20" s="4">
        <v>3002453429.9571977</v>
      </c>
      <c r="L20">
        <f t="shared" si="0"/>
        <v>0</v>
      </c>
      <c r="O20" s="1" t="s">
        <v>85</v>
      </c>
      <c r="P20" s="1">
        <v>1.7655721642644642E-2</v>
      </c>
      <c r="S20" s="51">
        <v>2740193420.9322481</v>
      </c>
      <c r="T20" s="51">
        <v>16</v>
      </c>
      <c r="U20" s="59"/>
      <c r="V20" s="51"/>
    </row>
    <row r="21" spans="2:30" x14ac:dyDescent="0.2">
      <c r="B21">
        <v>7</v>
      </c>
      <c r="C21" s="4">
        <f ca="1">'Varity A - Carménère'!BB16</f>
        <v>193357837.11142686</v>
      </c>
      <c r="D21" s="4">
        <f ca="1">'Varity B - Cabarnet Savignon'!AV18</f>
        <v>249306586.44121382</v>
      </c>
      <c r="F21" s="4">
        <f t="shared" ca="1" si="1"/>
        <v>96678918.55571343</v>
      </c>
      <c r="G21" s="22">
        <f t="shared" ca="1" si="2"/>
        <v>124653293.22060691</v>
      </c>
      <c r="H21" s="4">
        <f t="shared" ca="1" si="3"/>
        <v>221332211.77632034</v>
      </c>
      <c r="J21">
        <v>10</v>
      </c>
      <c r="K21" s="4">
        <v>2861611829.7879896</v>
      </c>
      <c r="L21">
        <f t="shared" si="0"/>
        <v>0</v>
      </c>
      <c r="O21" s="1" t="s">
        <v>86</v>
      </c>
      <c r="P21" s="38">
        <v>813355787.64372873</v>
      </c>
      <c r="S21" s="51">
        <v>2769353375.4109087</v>
      </c>
      <c r="T21" s="51">
        <v>28</v>
      </c>
      <c r="U21" s="59"/>
      <c r="V21" s="51"/>
      <c r="AD21" t="s">
        <v>120</v>
      </c>
    </row>
    <row r="22" spans="2:30" x14ac:dyDescent="0.2">
      <c r="B22">
        <v>8</v>
      </c>
      <c r="C22" s="4">
        <f ca="1">'Varity A - Carménère'!BB17</f>
        <v>295923252.24884349</v>
      </c>
      <c r="D22" s="4">
        <f ca="1">'Varity B - Cabarnet Savignon'!AV19</f>
        <v>237550749.84292164</v>
      </c>
      <c r="F22" s="4">
        <f t="shared" ca="1" si="1"/>
        <v>147961626.12442175</v>
      </c>
      <c r="G22" s="22">
        <f t="shared" ca="1" si="2"/>
        <v>118775374.92146082</v>
      </c>
      <c r="H22" s="4">
        <f t="shared" ca="1" si="3"/>
        <v>266737001.04588258</v>
      </c>
      <c r="J22">
        <v>11</v>
      </c>
      <c r="K22" s="4">
        <v>2882455108.2616925</v>
      </c>
      <c r="L22">
        <f t="shared" si="0"/>
        <v>0</v>
      </c>
      <c r="O22" s="1" t="s">
        <v>87</v>
      </c>
      <c r="P22" s="38">
        <v>2559314875.4283447</v>
      </c>
      <c r="S22" s="51">
        <v>2798513329.8895693</v>
      </c>
      <c r="T22" s="51">
        <v>40</v>
      </c>
      <c r="U22" s="59"/>
      <c r="V22" s="51"/>
    </row>
    <row r="23" spans="2:30" x14ac:dyDescent="0.2">
      <c r="B23">
        <v>9</v>
      </c>
      <c r="C23" s="4">
        <f ca="1">'Varity A - Carménère'!BB18</f>
        <v>305122524.30014741</v>
      </c>
      <c r="D23" s="4">
        <f ca="1">'Varity B - Cabarnet Savignon'!AV20</f>
        <v>173189050.9593316</v>
      </c>
      <c r="F23" s="4">
        <f t="shared" ca="1" si="1"/>
        <v>152561262.15007371</v>
      </c>
      <c r="G23" s="22">
        <f t="shared" ca="1" si="2"/>
        <v>86594525.479665801</v>
      </c>
      <c r="H23" s="4">
        <f t="shared" ca="1" si="3"/>
        <v>239155787.62973952</v>
      </c>
      <c r="J23">
        <v>12</v>
      </c>
      <c r="K23" s="4">
        <v>3023657920.5104632</v>
      </c>
      <c r="L23">
        <f t="shared" si="0"/>
        <v>0</v>
      </c>
      <c r="O23" s="1" t="s">
        <v>88</v>
      </c>
      <c r="P23" s="38">
        <v>3372670663.0720735</v>
      </c>
      <c r="S23" s="51">
        <v>2827673284.3682299</v>
      </c>
      <c r="T23" s="51">
        <v>52</v>
      </c>
      <c r="U23" s="59"/>
      <c r="V23" s="51"/>
    </row>
    <row r="24" spans="2:30" x14ac:dyDescent="0.2">
      <c r="B24">
        <v>10</v>
      </c>
      <c r="C24" s="4">
        <f ca="1">'Varity A - Carménère'!BB19</f>
        <v>232325785.96210808</v>
      </c>
      <c r="D24" s="4">
        <f ca="1">'Varity B - Cabarnet Savignon'!AV21</f>
        <v>102546247.2046237</v>
      </c>
      <c r="F24" s="4">
        <f t="shared" ca="1" si="1"/>
        <v>116162892.98105404</v>
      </c>
      <c r="G24" s="22">
        <f t="shared" ca="1" si="2"/>
        <v>51273123.60231185</v>
      </c>
      <c r="H24" s="4">
        <f t="shared" ca="1" si="3"/>
        <v>167436016.58336589</v>
      </c>
      <c r="J24">
        <v>13</v>
      </c>
      <c r="K24" s="4">
        <v>3149772069.0473146</v>
      </c>
      <c r="L24">
        <f t="shared" si="0"/>
        <v>0</v>
      </c>
      <c r="O24" t="s">
        <v>89</v>
      </c>
      <c r="P24">
        <v>2957658048561.002</v>
      </c>
      <c r="S24" s="51">
        <v>2856833238.8468904</v>
      </c>
      <c r="T24" s="51">
        <v>65</v>
      </c>
      <c r="U24" s="59"/>
      <c r="V24" s="51"/>
    </row>
    <row r="25" spans="2:30" ht="17" thickBot="1" x14ac:dyDescent="0.25">
      <c r="B25">
        <v>11</v>
      </c>
      <c r="C25" s="4">
        <f ca="1">'Varity A - Carménère'!BB20</f>
        <v>340029426.27839983</v>
      </c>
      <c r="D25" s="4">
        <f ca="1">'Varity B - Cabarnet Savignon'!AV22</f>
        <v>173299479.84851003</v>
      </c>
      <c r="F25" s="4">
        <f t="shared" ca="1" si="1"/>
        <v>170014713.13919991</v>
      </c>
      <c r="G25" s="22">
        <f t="shared" ca="1" si="2"/>
        <v>86649739.924255013</v>
      </c>
      <c r="H25" s="4">
        <f t="shared" ca="1" si="3"/>
        <v>256664453.06345493</v>
      </c>
      <c r="J25">
        <v>14</v>
      </c>
      <c r="K25" s="4">
        <v>2890721644.2913122</v>
      </c>
      <c r="L25">
        <f t="shared" si="0"/>
        <v>0</v>
      </c>
      <c r="O25" s="37" t="s">
        <v>90</v>
      </c>
      <c r="P25" s="37">
        <v>1000</v>
      </c>
      <c r="S25" s="51">
        <v>2885993193.325551</v>
      </c>
      <c r="T25" s="51">
        <v>76</v>
      </c>
      <c r="U25" s="59"/>
      <c r="V25" s="51"/>
    </row>
    <row r="26" spans="2:30" x14ac:dyDescent="0.2">
      <c r="B26">
        <v>12</v>
      </c>
      <c r="C26" s="4">
        <f ca="1">'Varity A - Carménère'!BB21</f>
        <v>191387499.6231057</v>
      </c>
      <c r="D26" s="4">
        <f ca="1">'Varity B - Cabarnet Savignon'!AV23</f>
        <v>280154409.22873169</v>
      </c>
      <c r="F26" s="4">
        <f t="shared" ca="1" si="1"/>
        <v>95693749.811552852</v>
      </c>
      <c r="G26" s="22">
        <f t="shared" ca="1" si="2"/>
        <v>140077204.61436585</v>
      </c>
      <c r="H26" s="4">
        <f t="shared" ca="1" si="3"/>
        <v>235770954.4259187</v>
      </c>
      <c r="J26">
        <v>15</v>
      </c>
      <c r="K26" s="4">
        <v>2949160533.3856158</v>
      </c>
      <c r="L26">
        <f t="shared" si="0"/>
        <v>0</v>
      </c>
      <c r="S26" s="51">
        <v>2915153147.8042116</v>
      </c>
      <c r="T26" s="51">
        <v>67</v>
      </c>
      <c r="U26" s="59"/>
      <c r="V26" s="51"/>
    </row>
    <row r="27" spans="2:30" x14ac:dyDescent="0.2">
      <c r="B27">
        <v>13</v>
      </c>
      <c r="C27" s="4">
        <f ca="1">'Varity A - Carménère'!BB22</f>
        <v>207888879.53738004</v>
      </c>
      <c r="D27" s="4">
        <f ca="1">'Varity B - Cabarnet Savignon'!AV24</f>
        <v>282012568.63123143</v>
      </c>
      <c r="F27" s="4">
        <f t="shared" ca="1" si="1"/>
        <v>103944439.76869002</v>
      </c>
      <c r="G27" s="22">
        <f t="shared" ca="1" si="2"/>
        <v>141006284.31561571</v>
      </c>
      <c r="H27" s="4">
        <f t="shared" ca="1" si="3"/>
        <v>244950724.08430573</v>
      </c>
      <c r="J27">
        <v>16</v>
      </c>
      <c r="K27" s="4">
        <v>2738285447.4877758</v>
      </c>
      <c r="L27">
        <f t="shared" si="0"/>
        <v>0</v>
      </c>
      <c r="S27" s="51">
        <v>2944313102.2828722</v>
      </c>
      <c r="T27" s="51">
        <v>83</v>
      </c>
      <c r="U27" s="59"/>
      <c r="V27" s="51"/>
    </row>
    <row r="28" spans="2:30" x14ac:dyDescent="0.2">
      <c r="B28">
        <v>14</v>
      </c>
      <c r="C28" s="4">
        <f ca="1">'Varity A - Carménère'!BB23</f>
        <v>377769255.99061775</v>
      </c>
      <c r="D28" s="4">
        <f ca="1">'Varity B - Cabarnet Savignon'!AV25</f>
        <v>122689524.7476005</v>
      </c>
      <c r="F28" s="4">
        <f t="shared" ca="1" si="1"/>
        <v>188884627.99530888</v>
      </c>
      <c r="G28" s="22">
        <f t="shared" ca="1" si="2"/>
        <v>61344762.373800248</v>
      </c>
      <c r="H28" s="4">
        <f t="shared" ca="1" si="3"/>
        <v>250229390.36910912</v>
      </c>
      <c r="J28">
        <v>17</v>
      </c>
      <c r="K28" s="4">
        <v>3060854179.5613527</v>
      </c>
      <c r="L28">
        <f t="shared" si="0"/>
        <v>0</v>
      </c>
      <c r="S28" s="51">
        <v>2973473056.7615328</v>
      </c>
      <c r="T28" s="51">
        <v>82</v>
      </c>
      <c r="U28" s="59"/>
      <c r="V28" s="51"/>
    </row>
    <row r="29" spans="2:30" x14ac:dyDescent="0.2">
      <c r="B29">
        <v>15</v>
      </c>
      <c r="C29" s="4">
        <f ca="1">'Varity A - Carménère'!BB24</f>
        <v>372706726.72732389</v>
      </c>
      <c r="D29" s="4">
        <f ca="1">'Varity B - Cabarnet Savignon'!AV26</f>
        <v>261832768.26889592</v>
      </c>
      <c r="F29" s="4">
        <f t="shared" ca="1" si="1"/>
        <v>186353363.36366194</v>
      </c>
      <c r="G29" s="22">
        <f t="shared" ca="1" si="2"/>
        <v>130916384.13444796</v>
      </c>
      <c r="H29" s="4">
        <f t="shared" ca="1" si="3"/>
        <v>317269747.49810994</v>
      </c>
      <c r="J29">
        <v>18</v>
      </c>
      <c r="K29" s="4">
        <v>2827625850.7591896</v>
      </c>
      <c r="L29">
        <f t="shared" si="0"/>
        <v>0</v>
      </c>
      <c r="S29" s="51">
        <v>3002633011.2401934</v>
      </c>
      <c r="T29" s="51">
        <v>95</v>
      </c>
      <c r="U29" s="59"/>
      <c r="V29" s="51"/>
    </row>
    <row r="30" spans="2:30" x14ac:dyDescent="0.2">
      <c r="B30">
        <v>16</v>
      </c>
      <c r="C30" s="4">
        <f ca="1">'Varity A - Carménère'!BB25</f>
        <v>309449854.4454869</v>
      </c>
      <c r="D30" s="4">
        <f ca="1">'Varity B - Cabarnet Savignon'!AV27</f>
        <v>166522153.81789193</v>
      </c>
      <c r="F30" s="4">
        <f ca="1">C30/2</f>
        <v>154724927.22274345</v>
      </c>
      <c r="G30" s="22">
        <f t="shared" ca="1" si="2"/>
        <v>83261076.908945963</v>
      </c>
      <c r="H30" s="4">
        <f t="shared" ca="1" si="3"/>
        <v>237986004.13168943</v>
      </c>
      <c r="J30">
        <v>19</v>
      </c>
      <c r="K30" s="4">
        <v>2833774852.9886985</v>
      </c>
      <c r="L30">
        <f t="shared" si="0"/>
        <v>0</v>
      </c>
      <c r="S30" s="51">
        <v>3031792965.718854</v>
      </c>
      <c r="T30" s="51">
        <v>65</v>
      </c>
      <c r="U30" s="59"/>
      <c r="V30" s="51"/>
    </row>
    <row r="31" spans="2:30" x14ac:dyDescent="0.2">
      <c r="B31">
        <v>17</v>
      </c>
      <c r="C31" s="4">
        <f ca="1">'Varity A - Carménère'!BB26</f>
        <v>299890373.91397643</v>
      </c>
      <c r="D31" s="4">
        <f ca="1">'Varity B - Cabarnet Savignon'!AV28</f>
        <v>55713528.97799322</v>
      </c>
      <c r="F31" s="4">
        <f t="shared" ca="1" si="1"/>
        <v>149945186.95698822</v>
      </c>
      <c r="G31" s="22">
        <f t="shared" ca="1" si="2"/>
        <v>27856764.48899661</v>
      </c>
      <c r="H31" s="4">
        <f t="shared" ca="1" si="3"/>
        <v>177801951.44598484</v>
      </c>
      <c r="J31">
        <v>20</v>
      </c>
      <c r="K31" s="4">
        <v>2776343548.9503675</v>
      </c>
      <c r="L31">
        <f t="shared" si="0"/>
        <v>0</v>
      </c>
      <c r="S31" s="51">
        <v>3060952920.1975145</v>
      </c>
      <c r="T31" s="51">
        <v>69</v>
      </c>
      <c r="U31" s="59"/>
      <c r="V31" s="51"/>
    </row>
    <row r="32" spans="2:30" x14ac:dyDescent="0.2">
      <c r="B32">
        <v>18</v>
      </c>
      <c r="C32" s="4">
        <f ca="1">'Varity A - Carménère'!BB27</f>
        <v>217412847.60041654</v>
      </c>
      <c r="D32" s="4">
        <f ca="1">'Varity B - Cabarnet Savignon'!AV29</f>
        <v>303886981.27201831</v>
      </c>
      <c r="F32" s="4">
        <f t="shared" ca="1" si="1"/>
        <v>108706423.80020827</v>
      </c>
      <c r="G32" s="22">
        <f t="shared" ca="1" si="2"/>
        <v>151943490.63600916</v>
      </c>
      <c r="H32" s="4">
        <f t="shared" ca="1" si="3"/>
        <v>260649914.43621743</v>
      </c>
      <c r="J32">
        <v>21</v>
      </c>
      <c r="K32" s="4">
        <v>2719282623.100873</v>
      </c>
      <c r="L32">
        <f t="shared" si="0"/>
        <v>0</v>
      </c>
      <c r="S32" s="51">
        <v>3090112874.6761751</v>
      </c>
      <c r="T32" s="51">
        <v>61</v>
      </c>
      <c r="U32" s="59"/>
      <c r="V32" s="51"/>
    </row>
    <row r="33" spans="2:22" x14ac:dyDescent="0.2">
      <c r="B33">
        <v>19</v>
      </c>
      <c r="C33" s="4">
        <f ca="1">'Varity A - Carménère'!BB28</f>
        <v>387019783.13943321</v>
      </c>
      <c r="D33" s="4">
        <f ca="1">'Varity B - Cabarnet Savignon'!AV30</f>
        <v>120305006.99922416</v>
      </c>
      <c r="F33" s="4">
        <f t="shared" ca="1" si="1"/>
        <v>193509891.5697166</v>
      </c>
      <c r="G33" s="22">
        <f t="shared" ca="1" si="2"/>
        <v>60152503.499612078</v>
      </c>
      <c r="H33" s="4">
        <f t="shared" ca="1" si="3"/>
        <v>253662395.06932867</v>
      </c>
      <c r="J33">
        <v>22</v>
      </c>
      <c r="K33" s="4">
        <v>2777622322.2976813</v>
      </c>
      <c r="L33">
        <f t="shared" si="0"/>
        <v>0</v>
      </c>
      <c r="S33" s="51">
        <v>3119272829.1548352</v>
      </c>
      <c r="T33" s="51">
        <v>48</v>
      </c>
      <c r="U33" s="59"/>
      <c r="V33" s="51"/>
    </row>
    <row r="34" spans="2:22" x14ac:dyDescent="0.2">
      <c r="B34">
        <v>20</v>
      </c>
      <c r="C34" s="4">
        <f ca="1">'Varity A - Carménère'!BB29</f>
        <v>206260157.92781398</v>
      </c>
      <c r="D34" s="4">
        <f ca="1">'Varity B - Cabarnet Savignon'!AV31</f>
        <v>340059053.62241888</v>
      </c>
      <c r="F34" s="4">
        <f t="shared" ca="1" si="1"/>
        <v>103130078.96390699</v>
      </c>
      <c r="G34" s="22">
        <f t="shared" ca="1" si="2"/>
        <v>170029526.81120944</v>
      </c>
      <c r="H34" s="4">
        <f t="shared" ca="1" si="3"/>
        <v>273159605.77511644</v>
      </c>
      <c r="J34">
        <v>23</v>
      </c>
      <c r="K34" s="4">
        <v>2912641149.8215575</v>
      </c>
      <c r="L34">
        <f t="shared" si="0"/>
        <v>0</v>
      </c>
      <c r="S34" s="51">
        <v>3148432783.6334958</v>
      </c>
      <c r="T34" s="51">
        <v>31</v>
      </c>
      <c r="U34" s="59"/>
      <c r="V34" s="51"/>
    </row>
    <row r="35" spans="2:22" x14ac:dyDescent="0.2">
      <c r="C35" s="1"/>
      <c r="J35">
        <v>24</v>
      </c>
      <c r="K35" s="4">
        <v>2877892913.027544</v>
      </c>
      <c r="L35">
        <f t="shared" si="0"/>
        <v>0</v>
      </c>
      <c r="S35" s="51">
        <v>3177592738.1121564</v>
      </c>
      <c r="T35" s="51">
        <v>25</v>
      </c>
      <c r="U35" s="59"/>
      <c r="V35" s="51"/>
    </row>
    <row r="36" spans="2:22" x14ac:dyDescent="0.2">
      <c r="J36">
        <v>25</v>
      </c>
      <c r="K36" s="4">
        <v>2784982980.089582</v>
      </c>
      <c r="L36">
        <f t="shared" si="0"/>
        <v>0</v>
      </c>
      <c r="S36" s="51">
        <v>3206752692.590817</v>
      </c>
      <c r="T36" s="51">
        <v>17</v>
      </c>
      <c r="U36" s="59"/>
      <c r="V36" s="51"/>
    </row>
    <row r="37" spans="2:22" x14ac:dyDescent="0.2">
      <c r="J37">
        <v>26</v>
      </c>
      <c r="K37" s="4">
        <v>3041075879.6580486</v>
      </c>
      <c r="L37">
        <f t="shared" si="0"/>
        <v>0</v>
      </c>
      <c r="S37" s="51">
        <v>3235912647.0694776</v>
      </c>
      <c r="T37" s="51">
        <v>12</v>
      </c>
      <c r="U37" s="59"/>
      <c r="V37" s="51"/>
    </row>
    <row r="38" spans="2:22" x14ac:dyDescent="0.2">
      <c r="J38">
        <v>27</v>
      </c>
      <c r="K38" s="4">
        <v>2656553939.1244717</v>
      </c>
      <c r="L38">
        <f t="shared" si="0"/>
        <v>0</v>
      </c>
      <c r="S38" s="51">
        <v>3265072601.5481381</v>
      </c>
      <c r="T38" s="51">
        <v>14</v>
      </c>
      <c r="U38" s="59"/>
      <c r="V38" s="51"/>
    </row>
    <row r="39" spans="2:22" x14ac:dyDescent="0.2">
      <c r="J39">
        <v>28</v>
      </c>
      <c r="K39" s="4">
        <v>3137644469.7552032</v>
      </c>
      <c r="L39">
        <f t="shared" si="0"/>
        <v>0</v>
      </c>
      <c r="S39" s="51">
        <v>3294232556.0267987</v>
      </c>
      <c r="T39" s="51">
        <v>6</v>
      </c>
      <c r="U39" s="59"/>
      <c r="V39" s="51"/>
    </row>
    <row r="40" spans="2:22" x14ac:dyDescent="0.2">
      <c r="J40">
        <v>29</v>
      </c>
      <c r="K40" s="4">
        <v>2770737282.6656079</v>
      </c>
      <c r="L40">
        <f t="shared" si="0"/>
        <v>0</v>
      </c>
      <c r="S40" s="51">
        <v>3323392510.5054593</v>
      </c>
      <c r="T40" s="51">
        <v>6</v>
      </c>
      <c r="U40" s="59"/>
      <c r="V40" s="51"/>
    </row>
    <row r="41" spans="2:22" x14ac:dyDescent="0.2">
      <c r="J41">
        <v>30</v>
      </c>
      <c r="K41" s="4">
        <v>3149130295.7458191</v>
      </c>
      <c r="L41">
        <f t="shared" si="0"/>
        <v>0</v>
      </c>
      <c r="S41" s="51">
        <v>3352552464.9841199</v>
      </c>
      <c r="T41" s="51">
        <v>4</v>
      </c>
      <c r="U41" s="59"/>
      <c r="V41" s="51"/>
    </row>
    <row r="42" spans="2:22" x14ac:dyDescent="0.2">
      <c r="J42">
        <v>31</v>
      </c>
      <c r="K42" s="4">
        <v>2992446431.9725647</v>
      </c>
      <c r="L42">
        <f t="shared" si="0"/>
        <v>0</v>
      </c>
      <c r="S42" s="51">
        <v>3381712419.4627805</v>
      </c>
      <c r="T42" s="51">
        <v>3</v>
      </c>
      <c r="U42" s="59"/>
      <c r="V42" s="51"/>
    </row>
    <row r="43" spans="2:22" ht="17" thickBot="1" x14ac:dyDescent="0.25">
      <c r="J43">
        <v>32</v>
      </c>
      <c r="K43" s="4">
        <v>2894363063.6137438</v>
      </c>
      <c r="L43">
        <f t="shared" si="0"/>
        <v>0</v>
      </c>
      <c r="S43" s="52" t="s">
        <v>100</v>
      </c>
      <c r="T43" s="52">
        <v>2</v>
      </c>
      <c r="U43" s="60"/>
      <c r="V43" s="52"/>
    </row>
    <row r="44" spans="2:22" x14ac:dyDescent="0.2">
      <c r="J44">
        <v>33</v>
      </c>
      <c r="K44" s="4">
        <v>3030578284.9088707</v>
      </c>
      <c r="L44">
        <f t="shared" si="0"/>
        <v>0</v>
      </c>
    </row>
    <row r="45" spans="2:22" x14ac:dyDescent="0.2">
      <c r="J45">
        <v>34</v>
      </c>
      <c r="K45" s="4">
        <v>2926884296.2693043</v>
      </c>
      <c r="L45">
        <f t="shared" si="0"/>
        <v>0</v>
      </c>
    </row>
    <row r="46" spans="2:22" x14ac:dyDescent="0.2">
      <c r="J46">
        <v>35</v>
      </c>
      <c r="K46" s="4">
        <v>2942603148.7550778</v>
      </c>
      <c r="L46">
        <f t="shared" si="0"/>
        <v>0</v>
      </c>
    </row>
    <row r="47" spans="2:22" x14ac:dyDescent="0.2">
      <c r="J47">
        <v>36</v>
      </c>
      <c r="K47" s="4">
        <v>2841159911.8157754</v>
      </c>
      <c r="L47">
        <f t="shared" si="0"/>
        <v>0</v>
      </c>
    </row>
    <row r="48" spans="2:22" x14ac:dyDescent="0.2">
      <c r="J48">
        <v>37</v>
      </c>
      <c r="K48" s="4">
        <v>2898029656.4172988</v>
      </c>
      <c r="L48">
        <f t="shared" si="0"/>
        <v>0</v>
      </c>
    </row>
    <row r="49" spans="10:12" x14ac:dyDescent="0.2">
      <c r="J49">
        <v>38</v>
      </c>
      <c r="K49" s="4">
        <v>2865574169.2872276</v>
      </c>
      <c r="L49">
        <f t="shared" si="0"/>
        <v>0</v>
      </c>
    </row>
    <row r="50" spans="10:12" x14ac:dyDescent="0.2">
      <c r="J50">
        <v>39</v>
      </c>
      <c r="K50" s="4">
        <v>2727646569.1233549</v>
      </c>
      <c r="L50">
        <f t="shared" si="0"/>
        <v>0</v>
      </c>
    </row>
    <row r="51" spans="10:12" x14ac:dyDescent="0.2">
      <c r="J51">
        <v>40</v>
      </c>
      <c r="K51" s="4">
        <v>3176554619.642839</v>
      </c>
      <c r="L51">
        <f t="shared" si="0"/>
        <v>0</v>
      </c>
    </row>
    <row r="52" spans="10:12" x14ac:dyDescent="0.2">
      <c r="J52">
        <v>41</v>
      </c>
      <c r="K52" s="4">
        <v>3085025119.2328606</v>
      </c>
      <c r="L52">
        <f t="shared" si="0"/>
        <v>0</v>
      </c>
    </row>
    <row r="53" spans="10:12" x14ac:dyDescent="0.2">
      <c r="J53">
        <v>42</v>
      </c>
      <c r="K53" s="4">
        <v>3011784541.3818135</v>
      </c>
      <c r="L53">
        <f t="shared" si="0"/>
        <v>0</v>
      </c>
    </row>
    <row r="54" spans="10:12" x14ac:dyDescent="0.2">
      <c r="J54">
        <v>43</v>
      </c>
      <c r="K54" s="4">
        <v>3010222649.9493999</v>
      </c>
      <c r="L54">
        <f t="shared" si="0"/>
        <v>0</v>
      </c>
    </row>
    <row r="55" spans="10:12" x14ac:dyDescent="0.2">
      <c r="J55">
        <v>44</v>
      </c>
      <c r="K55" s="4">
        <v>2949494282.9299793</v>
      </c>
      <c r="L55">
        <f t="shared" si="0"/>
        <v>0</v>
      </c>
    </row>
    <row r="56" spans="10:12" x14ac:dyDescent="0.2">
      <c r="J56">
        <v>45</v>
      </c>
      <c r="K56" s="4">
        <v>2896180717.4347587</v>
      </c>
      <c r="L56">
        <f t="shared" si="0"/>
        <v>0</v>
      </c>
    </row>
    <row r="57" spans="10:12" x14ac:dyDescent="0.2">
      <c r="J57">
        <v>46</v>
      </c>
      <c r="K57" s="4">
        <v>2839011450.4772577</v>
      </c>
      <c r="L57">
        <f t="shared" si="0"/>
        <v>0</v>
      </c>
    </row>
    <row r="58" spans="10:12" x14ac:dyDescent="0.2">
      <c r="J58">
        <v>47</v>
      </c>
      <c r="K58" s="4">
        <v>3058439163.2411971</v>
      </c>
      <c r="L58">
        <f t="shared" si="0"/>
        <v>0</v>
      </c>
    </row>
    <row r="59" spans="10:12" x14ac:dyDescent="0.2">
      <c r="J59">
        <v>48</v>
      </c>
      <c r="K59" s="4">
        <v>2981697818.9925265</v>
      </c>
      <c r="L59">
        <f t="shared" si="0"/>
        <v>0</v>
      </c>
    </row>
    <row r="60" spans="10:12" x14ac:dyDescent="0.2">
      <c r="J60">
        <v>49</v>
      </c>
      <c r="K60" s="4">
        <v>2787769382.7021551</v>
      </c>
      <c r="L60">
        <f t="shared" si="0"/>
        <v>0</v>
      </c>
    </row>
    <row r="61" spans="10:12" x14ac:dyDescent="0.2">
      <c r="J61">
        <v>50</v>
      </c>
      <c r="K61" s="4">
        <v>2889893343.3070908</v>
      </c>
      <c r="L61">
        <f t="shared" si="0"/>
        <v>0</v>
      </c>
    </row>
    <row r="62" spans="10:12" x14ac:dyDescent="0.2">
      <c r="J62">
        <v>51</v>
      </c>
      <c r="K62" s="4">
        <v>2901442577.0343151</v>
      </c>
      <c r="L62">
        <f t="shared" si="0"/>
        <v>0</v>
      </c>
    </row>
    <row r="63" spans="10:12" x14ac:dyDescent="0.2">
      <c r="J63">
        <v>52</v>
      </c>
      <c r="K63" s="4">
        <v>2788517672.3764114</v>
      </c>
      <c r="L63">
        <f t="shared" si="0"/>
        <v>0</v>
      </c>
    </row>
    <row r="64" spans="10:12" x14ac:dyDescent="0.2">
      <c r="J64">
        <v>53</v>
      </c>
      <c r="K64" s="4">
        <v>2895435685.6956673</v>
      </c>
      <c r="L64">
        <f t="shared" si="0"/>
        <v>0</v>
      </c>
    </row>
    <row r="65" spans="10:12" x14ac:dyDescent="0.2">
      <c r="J65">
        <v>54</v>
      </c>
      <c r="K65" s="4">
        <v>2940878775.2357626</v>
      </c>
      <c r="L65">
        <f t="shared" si="0"/>
        <v>0</v>
      </c>
    </row>
    <row r="66" spans="10:12" x14ac:dyDescent="0.2">
      <c r="J66">
        <v>55</v>
      </c>
      <c r="K66" s="4">
        <v>2578309512.3193426</v>
      </c>
      <c r="L66">
        <f t="shared" si="0"/>
        <v>0</v>
      </c>
    </row>
    <row r="67" spans="10:12" x14ac:dyDescent="0.2">
      <c r="J67">
        <v>56</v>
      </c>
      <c r="K67" s="4">
        <v>2903922521.0821037</v>
      </c>
      <c r="L67">
        <f t="shared" si="0"/>
        <v>0</v>
      </c>
    </row>
    <row r="68" spans="10:12" x14ac:dyDescent="0.2">
      <c r="J68">
        <v>57</v>
      </c>
      <c r="K68" s="4">
        <v>3081305172.2366495</v>
      </c>
      <c r="L68">
        <f t="shared" si="0"/>
        <v>0</v>
      </c>
    </row>
    <row r="69" spans="10:12" x14ac:dyDescent="0.2">
      <c r="J69">
        <v>58</v>
      </c>
      <c r="K69" s="4">
        <v>2924921670.0524263</v>
      </c>
      <c r="L69">
        <f t="shared" si="0"/>
        <v>0</v>
      </c>
    </row>
    <row r="70" spans="10:12" x14ac:dyDescent="0.2">
      <c r="J70">
        <v>59</v>
      </c>
      <c r="K70" s="4">
        <v>3089431854.0139451</v>
      </c>
      <c r="L70">
        <f t="shared" si="0"/>
        <v>0</v>
      </c>
    </row>
    <row r="71" spans="10:12" x14ac:dyDescent="0.2">
      <c r="J71">
        <v>60</v>
      </c>
      <c r="K71" s="4">
        <v>2775170117.4568348</v>
      </c>
      <c r="L71">
        <f t="shared" si="0"/>
        <v>0</v>
      </c>
    </row>
    <row r="72" spans="10:12" x14ac:dyDescent="0.2">
      <c r="J72">
        <v>61</v>
      </c>
      <c r="K72" s="4">
        <v>3025459879.5612102</v>
      </c>
      <c r="L72">
        <f t="shared" si="0"/>
        <v>0</v>
      </c>
    </row>
    <row r="73" spans="10:12" x14ac:dyDescent="0.2">
      <c r="J73">
        <v>62</v>
      </c>
      <c r="K73" s="4">
        <v>2884162493.5112453</v>
      </c>
      <c r="L73">
        <f t="shared" si="0"/>
        <v>0</v>
      </c>
    </row>
    <row r="74" spans="10:12" x14ac:dyDescent="0.2">
      <c r="J74">
        <v>63</v>
      </c>
      <c r="K74" s="4">
        <v>3145749618.5746198</v>
      </c>
      <c r="L74">
        <f t="shared" si="0"/>
        <v>0</v>
      </c>
    </row>
    <row r="75" spans="10:12" x14ac:dyDescent="0.2">
      <c r="J75">
        <v>64</v>
      </c>
      <c r="K75" s="4">
        <v>3232489430.9983745</v>
      </c>
      <c r="L75">
        <f t="shared" si="0"/>
        <v>0</v>
      </c>
    </row>
    <row r="76" spans="10:12" x14ac:dyDescent="0.2">
      <c r="J76">
        <v>65</v>
      </c>
      <c r="K76" s="4">
        <v>2672675242.6268239</v>
      </c>
      <c r="L76">
        <f t="shared" si="0"/>
        <v>0</v>
      </c>
    </row>
    <row r="77" spans="10:12" x14ac:dyDescent="0.2">
      <c r="J77">
        <v>66</v>
      </c>
      <c r="K77" s="4">
        <v>3083616670.7449512</v>
      </c>
      <c r="L77">
        <f t="shared" ref="L77:L140" si="4">IF(K77&lt;1700000000,1,0)</f>
        <v>0</v>
      </c>
    </row>
    <row r="78" spans="10:12" x14ac:dyDescent="0.2">
      <c r="J78">
        <v>67</v>
      </c>
      <c r="K78" s="4">
        <v>2979560691.2813087</v>
      </c>
      <c r="L78">
        <f t="shared" si="4"/>
        <v>0</v>
      </c>
    </row>
    <row r="79" spans="10:12" x14ac:dyDescent="0.2">
      <c r="J79">
        <v>68</v>
      </c>
      <c r="K79" s="4">
        <v>3087607820.857379</v>
      </c>
      <c r="L79">
        <f t="shared" si="4"/>
        <v>0</v>
      </c>
    </row>
    <row r="80" spans="10:12" x14ac:dyDescent="0.2">
      <c r="J80">
        <v>69</v>
      </c>
      <c r="K80" s="4">
        <v>2824041441.7615595</v>
      </c>
      <c r="L80">
        <f t="shared" si="4"/>
        <v>0</v>
      </c>
    </row>
    <row r="81" spans="10:12" x14ac:dyDescent="0.2">
      <c r="J81">
        <v>70</v>
      </c>
      <c r="K81" s="4">
        <v>2787564145.0133152</v>
      </c>
      <c r="L81">
        <f t="shared" si="4"/>
        <v>0</v>
      </c>
    </row>
    <row r="82" spans="10:12" x14ac:dyDescent="0.2">
      <c r="J82">
        <v>71</v>
      </c>
      <c r="K82" s="4">
        <v>3074874436.5294471</v>
      </c>
      <c r="L82">
        <f t="shared" si="4"/>
        <v>0</v>
      </c>
    </row>
    <row r="83" spans="10:12" x14ac:dyDescent="0.2">
      <c r="J83">
        <v>72</v>
      </c>
      <c r="K83" s="4">
        <v>3112827629.668417</v>
      </c>
      <c r="L83">
        <f t="shared" si="4"/>
        <v>0</v>
      </c>
    </row>
    <row r="84" spans="10:12" x14ac:dyDescent="0.2">
      <c r="J84">
        <v>73</v>
      </c>
      <c r="K84" s="4">
        <v>2993502994.8150854</v>
      </c>
      <c r="L84">
        <f t="shared" si="4"/>
        <v>0</v>
      </c>
    </row>
    <row r="85" spans="10:12" x14ac:dyDescent="0.2">
      <c r="J85">
        <v>74</v>
      </c>
      <c r="K85" s="4">
        <v>2924315392.2131047</v>
      </c>
      <c r="L85">
        <f t="shared" si="4"/>
        <v>0</v>
      </c>
    </row>
    <row r="86" spans="10:12" x14ac:dyDescent="0.2">
      <c r="J86">
        <v>75</v>
      </c>
      <c r="K86" s="4">
        <v>3060217293.2898731</v>
      </c>
      <c r="L86">
        <f t="shared" si="4"/>
        <v>0</v>
      </c>
    </row>
    <row r="87" spans="10:12" x14ac:dyDescent="0.2">
      <c r="J87">
        <v>76</v>
      </c>
      <c r="K87" s="4">
        <v>2832484816.1326628</v>
      </c>
      <c r="L87">
        <f t="shared" si="4"/>
        <v>0</v>
      </c>
    </row>
    <row r="88" spans="10:12" x14ac:dyDescent="0.2">
      <c r="J88">
        <v>77</v>
      </c>
      <c r="K88" s="4">
        <v>2914354695.7643528</v>
      </c>
      <c r="L88">
        <f t="shared" si="4"/>
        <v>0</v>
      </c>
    </row>
    <row r="89" spans="10:12" x14ac:dyDescent="0.2">
      <c r="J89">
        <v>78</v>
      </c>
      <c r="K89" s="4">
        <v>3120054038.1493306</v>
      </c>
      <c r="L89">
        <f t="shared" si="4"/>
        <v>0</v>
      </c>
    </row>
    <row r="90" spans="10:12" x14ac:dyDescent="0.2">
      <c r="J90">
        <v>79</v>
      </c>
      <c r="K90" s="4">
        <v>3079073175.6371083</v>
      </c>
      <c r="L90">
        <f t="shared" si="4"/>
        <v>0</v>
      </c>
    </row>
    <row r="91" spans="10:12" x14ac:dyDescent="0.2">
      <c r="J91">
        <v>80</v>
      </c>
      <c r="K91" s="4">
        <v>2876155655.9002428</v>
      </c>
      <c r="L91">
        <f t="shared" si="4"/>
        <v>0</v>
      </c>
    </row>
    <row r="92" spans="10:12" x14ac:dyDescent="0.2">
      <c r="J92">
        <v>81</v>
      </c>
      <c r="K92" s="4">
        <v>2924643782.9790072</v>
      </c>
      <c r="L92">
        <f t="shared" si="4"/>
        <v>0</v>
      </c>
    </row>
    <row r="93" spans="10:12" x14ac:dyDescent="0.2">
      <c r="J93">
        <v>82</v>
      </c>
      <c r="K93" s="4">
        <v>2988204675.5038452</v>
      </c>
      <c r="L93">
        <f t="shared" si="4"/>
        <v>0</v>
      </c>
    </row>
    <row r="94" spans="10:12" x14ac:dyDescent="0.2">
      <c r="J94">
        <v>83</v>
      </c>
      <c r="K94" s="4">
        <v>3022980476.7705293</v>
      </c>
      <c r="L94">
        <f t="shared" si="4"/>
        <v>0</v>
      </c>
    </row>
    <row r="95" spans="10:12" x14ac:dyDescent="0.2">
      <c r="J95">
        <v>84</v>
      </c>
      <c r="K95" s="4">
        <v>2888673425.0978684</v>
      </c>
      <c r="L95">
        <f t="shared" si="4"/>
        <v>0</v>
      </c>
    </row>
    <row r="96" spans="10:12" x14ac:dyDescent="0.2">
      <c r="J96">
        <v>85</v>
      </c>
      <c r="K96" s="4">
        <v>2962141104.9155889</v>
      </c>
      <c r="L96">
        <f t="shared" si="4"/>
        <v>0</v>
      </c>
    </row>
    <row r="97" spans="10:12" x14ac:dyDescent="0.2">
      <c r="J97">
        <v>86</v>
      </c>
      <c r="K97" s="4">
        <v>2959762638.2463822</v>
      </c>
      <c r="L97">
        <f t="shared" si="4"/>
        <v>0</v>
      </c>
    </row>
    <row r="98" spans="10:12" x14ac:dyDescent="0.2">
      <c r="J98">
        <v>87</v>
      </c>
      <c r="K98" s="4">
        <v>3036477811.3343797</v>
      </c>
      <c r="L98">
        <f t="shared" si="4"/>
        <v>0</v>
      </c>
    </row>
    <row r="99" spans="10:12" x14ac:dyDescent="0.2">
      <c r="J99">
        <v>88</v>
      </c>
      <c r="K99" s="4">
        <v>2761360741.7535834</v>
      </c>
      <c r="L99">
        <f t="shared" si="4"/>
        <v>0</v>
      </c>
    </row>
    <row r="100" spans="10:12" x14ac:dyDescent="0.2">
      <c r="J100">
        <v>89</v>
      </c>
      <c r="K100" s="4">
        <v>3006641171.7222013</v>
      </c>
      <c r="L100">
        <f t="shared" si="4"/>
        <v>0</v>
      </c>
    </row>
    <row r="101" spans="10:12" x14ac:dyDescent="0.2">
      <c r="J101">
        <v>90</v>
      </c>
      <c r="K101" s="4">
        <v>2922769882.0307546</v>
      </c>
      <c r="L101">
        <f t="shared" si="4"/>
        <v>0</v>
      </c>
    </row>
    <row r="102" spans="10:12" x14ac:dyDescent="0.2">
      <c r="J102">
        <v>91</v>
      </c>
      <c r="K102" s="4">
        <v>3051041612.065485</v>
      </c>
      <c r="L102">
        <f t="shared" si="4"/>
        <v>0</v>
      </c>
    </row>
    <row r="103" spans="10:12" x14ac:dyDescent="0.2">
      <c r="J103">
        <v>92</v>
      </c>
      <c r="K103" s="4">
        <v>3322877426.4137511</v>
      </c>
      <c r="L103">
        <f t="shared" si="4"/>
        <v>0</v>
      </c>
    </row>
    <row r="104" spans="10:12" x14ac:dyDescent="0.2">
      <c r="J104">
        <v>93</v>
      </c>
      <c r="K104" s="4">
        <v>2826759129.7818508</v>
      </c>
      <c r="L104">
        <f t="shared" si="4"/>
        <v>0</v>
      </c>
    </row>
    <row r="105" spans="10:12" x14ac:dyDescent="0.2">
      <c r="J105">
        <v>94</v>
      </c>
      <c r="K105" s="4">
        <v>2865072533.5018487</v>
      </c>
      <c r="L105">
        <f t="shared" si="4"/>
        <v>0</v>
      </c>
    </row>
    <row r="106" spans="10:12" x14ac:dyDescent="0.2">
      <c r="J106">
        <v>95</v>
      </c>
      <c r="K106" s="4">
        <v>2783303121.4581909</v>
      </c>
      <c r="L106">
        <f t="shared" si="4"/>
        <v>0</v>
      </c>
    </row>
    <row r="107" spans="10:12" x14ac:dyDescent="0.2">
      <c r="J107">
        <v>96</v>
      </c>
      <c r="K107" s="4">
        <v>2828358687.8035035</v>
      </c>
      <c r="L107">
        <f t="shared" si="4"/>
        <v>0</v>
      </c>
    </row>
    <row r="108" spans="10:12" x14ac:dyDescent="0.2">
      <c r="J108">
        <v>97</v>
      </c>
      <c r="K108" s="4">
        <v>2547326616.3906193</v>
      </c>
      <c r="L108">
        <f t="shared" si="4"/>
        <v>0</v>
      </c>
    </row>
    <row r="109" spans="10:12" x14ac:dyDescent="0.2">
      <c r="J109">
        <v>98</v>
      </c>
      <c r="K109" s="4">
        <v>3316019944.8728704</v>
      </c>
      <c r="L109">
        <f t="shared" si="4"/>
        <v>0</v>
      </c>
    </row>
    <row r="110" spans="10:12" x14ac:dyDescent="0.2">
      <c r="J110">
        <v>99</v>
      </c>
      <c r="K110" s="4">
        <v>2943862062.8101373</v>
      </c>
      <c r="L110">
        <f t="shared" si="4"/>
        <v>0</v>
      </c>
    </row>
    <row r="111" spans="10:12" x14ac:dyDescent="0.2">
      <c r="J111">
        <v>100</v>
      </c>
      <c r="K111" s="4">
        <v>2950962892.1006017</v>
      </c>
      <c r="L111">
        <f t="shared" si="4"/>
        <v>0</v>
      </c>
    </row>
    <row r="112" spans="10:12" x14ac:dyDescent="0.2">
      <c r="J112">
        <v>101</v>
      </c>
      <c r="K112" s="4">
        <v>3024603127.2588248</v>
      </c>
      <c r="L112">
        <f t="shared" si="4"/>
        <v>0</v>
      </c>
    </row>
    <row r="113" spans="10:12" x14ac:dyDescent="0.2">
      <c r="J113">
        <v>102</v>
      </c>
      <c r="K113" s="4">
        <v>2816344956.9198828</v>
      </c>
      <c r="L113">
        <f t="shared" si="4"/>
        <v>0</v>
      </c>
    </row>
    <row r="114" spans="10:12" x14ac:dyDescent="0.2">
      <c r="J114">
        <v>103</v>
      </c>
      <c r="K114" s="4">
        <v>3072120773.7999525</v>
      </c>
      <c r="L114">
        <f t="shared" si="4"/>
        <v>0</v>
      </c>
    </row>
    <row r="115" spans="10:12" x14ac:dyDescent="0.2">
      <c r="J115">
        <v>104</v>
      </c>
      <c r="K115" s="4">
        <v>2898105272.8974566</v>
      </c>
      <c r="L115">
        <f t="shared" si="4"/>
        <v>0</v>
      </c>
    </row>
    <row r="116" spans="10:12" x14ac:dyDescent="0.2">
      <c r="J116">
        <v>105</v>
      </c>
      <c r="K116" s="4">
        <v>3239410324.3504004</v>
      </c>
      <c r="L116">
        <f t="shared" si="4"/>
        <v>0</v>
      </c>
    </row>
    <row r="117" spans="10:12" x14ac:dyDescent="0.2">
      <c r="J117">
        <v>106</v>
      </c>
      <c r="K117" s="4">
        <v>2880744055.9835119</v>
      </c>
      <c r="L117">
        <f t="shared" si="4"/>
        <v>0</v>
      </c>
    </row>
    <row r="118" spans="10:12" x14ac:dyDescent="0.2">
      <c r="J118">
        <v>107</v>
      </c>
      <c r="K118" s="4">
        <v>2874493240.4953399</v>
      </c>
      <c r="L118">
        <f t="shared" si="4"/>
        <v>0</v>
      </c>
    </row>
    <row r="119" spans="10:12" x14ac:dyDescent="0.2">
      <c r="J119">
        <v>108</v>
      </c>
      <c r="K119" s="4">
        <v>3017344948.4736381</v>
      </c>
      <c r="L119">
        <f t="shared" si="4"/>
        <v>0</v>
      </c>
    </row>
    <row r="120" spans="10:12" x14ac:dyDescent="0.2">
      <c r="J120">
        <v>109</v>
      </c>
      <c r="K120" s="4">
        <v>2964996815.2158303</v>
      </c>
      <c r="L120">
        <f t="shared" si="4"/>
        <v>0</v>
      </c>
    </row>
    <row r="121" spans="10:12" x14ac:dyDescent="0.2">
      <c r="J121">
        <v>110</v>
      </c>
      <c r="K121" s="4">
        <v>2590741987.1166835</v>
      </c>
      <c r="L121">
        <f t="shared" si="4"/>
        <v>0</v>
      </c>
    </row>
    <row r="122" spans="10:12" x14ac:dyDescent="0.2">
      <c r="J122">
        <v>111</v>
      </c>
      <c r="K122" s="4">
        <v>2952239197.7895193</v>
      </c>
      <c r="L122">
        <f t="shared" si="4"/>
        <v>0</v>
      </c>
    </row>
    <row r="123" spans="10:12" x14ac:dyDescent="0.2">
      <c r="J123">
        <v>112</v>
      </c>
      <c r="K123" s="4">
        <v>2881226509.7988038</v>
      </c>
      <c r="L123">
        <f t="shared" si="4"/>
        <v>0</v>
      </c>
    </row>
    <row r="124" spans="10:12" x14ac:dyDescent="0.2">
      <c r="J124">
        <v>113</v>
      </c>
      <c r="K124" s="4">
        <v>2881503104.1674485</v>
      </c>
      <c r="L124">
        <f t="shared" si="4"/>
        <v>0</v>
      </c>
    </row>
    <row r="125" spans="10:12" x14ac:dyDescent="0.2">
      <c r="J125">
        <v>114</v>
      </c>
      <c r="K125" s="4">
        <v>2891001071.7500858</v>
      </c>
      <c r="L125">
        <f t="shared" si="4"/>
        <v>0</v>
      </c>
    </row>
    <row r="126" spans="10:12" x14ac:dyDescent="0.2">
      <c r="J126">
        <v>115</v>
      </c>
      <c r="K126" s="4">
        <v>2838108508.6890612</v>
      </c>
      <c r="L126">
        <f t="shared" si="4"/>
        <v>0</v>
      </c>
    </row>
    <row r="127" spans="10:12" x14ac:dyDescent="0.2">
      <c r="J127">
        <v>116</v>
      </c>
      <c r="K127" s="4">
        <v>3216674768.8216076</v>
      </c>
      <c r="L127">
        <f t="shared" si="4"/>
        <v>0</v>
      </c>
    </row>
    <row r="128" spans="10:12" x14ac:dyDescent="0.2">
      <c r="J128">
        <v>117</v>
      </c>
      <c r="K128" s="4">
        <v>3071504750.8118205</v>
      </c>
      <c r="L128">
        <f t="shared" si="4"/>
        <v>0</v>
      </c>
    </row>
    <row r="129" spans="10:12" x14ac:dyDescent="0.2">
      <c r="J129">
        <v>118</v>
      </c>
      <c r="K129" s="4">
        <v>2923411373.7807779</v>
      </c>
      <c r="L129">
        <f t="shared" si="4"/>
        <v>0</v>
      </c>
    </row>
    <row r="130" spans="10:12" x14ac:dyDescent="0.2">
      <c r="J130">
        <v>119</v>
      </c>
      <c r="K130" s="4">
        <v>2963146907.0117512</v>
      </c>
      <c r="L130">
        <f t="shared" si="4"/>
        <v>0</v>
      </c>
    </row>
    <row r="131" spans="10:12" x14ac:dyDescent="0.2">
      <c r="J131">
        <v>120</v>
      </c>
      <c r="K131" s="4">
        <v>2901594641.7903523</v>
      </c>
      <c r="L131">
        <f t="shared" si="4"/>
        <v>0</v>
      </c>
    </row>
    <row r="132" spans="10:12" x14ac:dyDescent="0.2">
      <c r="J132">
        <v>121</v>
      </c>
      <c r="K132" s="4">
        <v>2990878547.9903436</v>
      </c>
      <c r="L132">
        <f t="shared" si="4"/>
        <v>0</v>
      </c>
    </row>
    <row r="133" spans="10:12" x14ac:dyDescent="0.2">
      <c r="J133">
        <v>122</v>
      </c>
      <c r="K133" s="4">
        <v>2786378607.8200011</v>
      </c>
      <c r="L133">
        <f t="shared" si="4"/>
        <v>0</v>
      </c>
    </row>
    <row r="134" spans="10:12" x14ac:dyDescent="0.2">
      <c r="J134">
        <v>123</v>
      </c>
      <c r="K134" s="4">
        <v>3050008890.1122947</v>
      </c>
      <c r="L134">
        <f t="shared" si="4"/>
        <v>0</v>
      </c>
    </row>
    <row r="135" spans="10:12" x14ac:dyDescent="0.2">
      <c r="J135">
        <v>124</v>
      </c>
      <c r="K135" s="4">
        <v>3104299361.7344503</v>
      </c>
      <c r="L135">
        <f t="shared" si="4"/>
        <v>0</v>
      </c>
    </row>
    <row r="136" spans="10:12" x14ac:dyDescent="0.2">
      <c r="J136">
        <v>125</v>
      </c>
      <c r="K136" s="4">
        <v>3232857383.4865093</v>
      </c>
      <c r="L136">
        <f t="shared" si="4"/>
        <v>0</v>
      </c>
    </row>
    <row r="137" spans="10:12" x14ac:dyDescent="0.2">
      <c r="J137">
        <v>126</v>
      </c>
      <c r="K137" s="4">
        <v>3015104789.2280593</v>
      </c>
      <c r="L137">
        <f t="shared" si="4"/>
        <v>0</v>
      </c>
    </row>
    <row r="138" spans="10:12" x14ac:dyDescent="0.2">
      <c r="J138">
        <v>127</v>
      </c>
      <c r="K138" s="4">
        <v>2812866130.881299</v>
      </c>
      <c r="L138">
        <f t="shared" si="4"/>
        <v>0</v>
      </c>
    </row>
    <row r="139" spans="10:12" x14ac:dyDescent="0.2">
      <c r="J139">
        <v>128</v>
      </c>
      <c r="K139" s="4">
        <v>3060424344.8386865</v>
      </c>
      <c r="L139">
        <f t="shared" si="4"/>
        <v>0</v>
      </c>
    </row>
    <row r="140" spans="10:12" x14ac:dyDescent="0.2">
      <c r="J140">
        <v>129</v>
      </c>
      <c r="K140" s="4">
        <v>2900834381.039474</v>
      </c>
      <c r="L140">
        <f t="shared" si="4"/>
        <v>0</v>
      </c>
    </row>
    <row r="141" spans="10:12" x14ac:dyDescent="0.2">
      <c r="J141">
        <v>130</v>
      </c>
      <c r="K141" s="4">
        <v>3167592086.1395569</v>
      </c>
      <c r="L141">
        <f t="shared" ref="L141:L204" si="5">IF(K141&lt;1700000000,1,0)</f>
        <v>0</v>
      </c>
    </row>
    <row r="142" spans="10:12" x14ac:dyDescent="0.2">
      <c r="J142">
        <v>131</v>
      </c>
      <c r="K142" s="4">
        <v>2861122676.7254081</v>
      </c>
      <c r="L142">
        <f t="shared" si="5"/>
        <v>0</v>
      </c>
    </row>
    <row r="143" spans="10:12" x14ac:dyDescent="0.2">
      <c r="J143">
        <v>132</v>
      </c>
      <c r="K143" s="4">
        <v>2923372587.8350959</v>
      </c>
      <c r="L143">
        <f t="shared" si="5"/>
        <v>0</v>
      </c>
    </row>
    <row r="144" spans="10:12" x14ac:dyDescent="0.2">
      <c r="J144">
        <v>133</v>
      </c>
      <c r="K144" s="4">
        <v>3366688375.4811144</v>
      </c>
      <c r="L144">
        <f t="shared" si="5"/>
        <v>0</v>
      </c>
    </row>
    <row r="145" spans="10:12" x14ac:dyDescent="0.2">
      <c r="J145">
        <v>134</v>
      </c>
      <c r="K145" s="4">
        <v>2832649424.8757863</v>
      </c>
      <c r="L145">
        <f t="shared" si="5"/>
        <v>0</v>
      </c>
    </row>
    <row r="146" spans="10:12" x14ac:dyDescent="0.2">
      <c r="J146">
        <v>135</v>
      </c>
      <c r="K146" s="4">
        <v>3111839696.7893662</v>
      </c>
      <c r="L146">
        <f t="shared" si="5"/>
        <v>0</v>
      </c>
    </row>
    <row r="147" spans="10:12" x14ac:dyDescent="0.2">
      <c r="J147">
        <v>136</v>
      </c>
      <c r="K147" s="4">
        <v>2788331212.965301</v>
      </c>
      <c r="L147">
        <f t="shared" si="5"/>
        <v>0</v>
      </c>
    </row>
    <row r="148" spans="10:12" x14ac:dyDescent="0.2">
      <c r="J148">
        <v>137</v>
      </c>
      <c r="K148" s="4">
        <v>3093314058.4880466</v>
      </c>
      <c r="L148">
        <f t="shared" si="5"/>
        <v>0</v>
      </c>
    </row>
    <row r="149" spans="10:12" x14ac:dyDescent="0.2">
      <c r="J149">
        <v>138</v>
      </c>
      <c r="K149" s="4">
        <v>3010522667.494596</v>
      </c>
      <c r="L149">
        <f t="shared" si="5"/>
        <v>0</v>
      </c>
    </row>
    <row r="150" spans="10:12" x14ac:dyDescent="0.2">
      <c r="J150">
        <v>139</v>
      </c>
      <c r="K150" s="4">
        <v>2847820432.5640907</v>
      </c>
      <c r="L150">
        <f t="shared" si="5"/>
        <v>0</v>
      </c>
    </row>
    <row r="151" spans="10:12" x14ac:dyDescent="0.2">
      <c r="J151">
        <v>140</v>
      </c>
      <c r="K151" s="4">
        <v>2983522404.6883168</v>
      </c>
      <c r="L151">
        <f t="shared" si="5"/>
        <v>0</v>
      </c>
    </row>
    <row r="152" spans="10:12" x14ac:dyDescent="0.2">
      <c r="J152">
        <v>141</v>
      </c>
      <c r="K152" s="4">
        <v>3027882107.4633422</v>
      </c>
      <c r="L152">
        <f t="shared" si="5"/>
        <v>0</v>
      </c>
    </row>
    <row r="153" spans="10:12" x14ac:dyDescent="0.2">
      <c r="J153">
        <v>142</v>
      </c>
      <c r="K153" s="4">
        <v>2807732308.4943633</v>
      </c>
      <c r="L153">
        <f t="shared" si="5"/>
        <v>0</v>
      </c>
    </row>
    <row r="154" spans="10:12" x14ac:dyDescent="0.2">
      <c r="J154">
        <v>143</v>
      </c>
      <c r="K154" s="4">
        <v>3024851358.9473028</v>
      </c>
      <c r="L154">
        <f t="shared" si="5"/>
        <v>0</v>
      </c>
    </row>
    <row r="155" spans="10:12" x14ac:dyDescent="0.2">
      <c r="J155">
        <v>144</v>
      </c>
      <c r="K155" s="4">
        <v>2869740733.2548761</v>
      </c>
      <c r="L155">
        <f t="shared" si="5"/>
        <v>0</v>
      </c>
    </row>
    <row r="156" spans="10:12" x14ac:dyDescent="0.2">
      <c r="J156">
        <v>145</v>
      </c>
      <c r="K156" s="4">
        <v>3028575341.9840088</v>
      </c>
      <c r="L156">
        <f t="shared" si="5"/>
        <v>0</v>
      </c>
    </row>
    <row r="157" spans="10:12" x14ac:dyDescent="0.2">
      <c r="J157">
        <v>146</v>
      </c>
      <c r="K157" s="4">
        <v>3147581046.4063067</v>
      </c>
      <c r="L157">
        <f t="shared" si="5"/>
        <v>0</v>
      </c>
    </row>
    <row r="158" spans="10:12" x14ac:dyDescent="0.2">
      <c r="J158">
        <v>147</v>
      </c>
      <c r="K158" s="4">
        <v>2514578792.4942613</v>
      </c>
      <c r="L158">
        <f t="shared" si="5"/>
        <v>0</v>
      </c>
    </row>
    <row r="159" spans="10:12" x14ac:dyDescent="0.2">
      <c r="J159">
        <v>148</v>
      </c>
      <c r="K159" s="4">
        <v>2775680451.8638167</v>
      </c>
      <c r="L159">
        <f t="shared" si="5"/>
        <v>0</v>
      </c>
    </row>
    <row r="160" spans="10:12" x14ac:dyDescent="0.2">
      <c r="J160">
        <v>149</v>
      </c>
      <c r="K160" s="4">
        <v>3200303507.3085499</v>
      </c>
      <c r="L160">
        <f t="shared" si="5"/>
        <v>0</v>
      </c>
    </row>
    <row r="161" spans="10:12" x14ac:dyDescent="0.2">
      <c r="J161">
        <v>150</v>
      </c>
      <c r="K161" s="4">
        <v>2786014242.233212</v>
      </c>
      <c r="L161">
        <f t="shared" si="5"/>
        <v>0</v>
      </c>
    </row>
    <row r="162" spans="10:12" x14ac:dyDescent="0.2">
      <c r="J162">
        <v>151</v>
      </c>
      <c r="K162" s="4">
        <v>3087335277.4773436</v>
      </c>
      <c r="L162">
        <f t="shared" si="5"/>
        <v>0</v>
      </c>
    </row>
    <row r="163" spans="10:12" x14ac:dyDescent="0.2">
      <c r="J163">
        <v>152</v>
      </c>
      <c r="K163" s="4">
        <v>3087640059.4505405</v>
      </c>
      <c r="L163">
        <f t="shared" si="5"/>
        <v>0</v>
      </c>
    </row>
    <row r="164" spans="10:12" x14ac:dyDescent="0.2">
      <c r="J164">
        <v>153</v>
      </c>
      <c r="K164" s="4">
        <v>2981296510.4580464</v>
      </c>
      <c r="L164">
        <f t="shared" si="5"/>
        <v>0</v>
      </c>
    </row>
    <row r="165" spans="10:12" x14ac:dyDescent="0.2">
      <c r="J165">
        <v>154</v>
      </c>
      <c r="K165" s="4">
        <v>2911018193.6534443</v>
      </c>
      <c r="L165">
        <f t="shared" si="5"/>
        <v>0</v>
      </c>
    </row>
    <row r="166" spans="10:12" x14ac:dyDescent="0.2">
      <c r="J166">
        <v>155</v>
      </c>
      <c r="K166" s="4">
        <v>2913851705.2733665</v>
      </c>
      <c r="L166">
        <f t="shared" si="5"/>
        <v>0</v>
      </c>
    </row>
    <row r="167" spans="10:12" x14ac:dyDescent="0.2">
      <c r="J167">
        <v>156</v>
      </c>
      <c r="K167" s="4">
        <v>2824118955.428453</v>
      </c>
      <c r="L167">
        <f t="shared" si="5"/>
        <v>0</v>
      </c>
    </row>
    <row r="168" spans="10:12" x14ac:dyDescent="0.2">
      <c r="J168">
        <v>157</v>
      </c>
      <c r="K168" s="4">
        <v>2769936807.8989253</v>
      </c>
      <c r="L168">
        <f t="shared" si="5"/>
        <v>0</v>
      </c>
    </row>
    <row r="169" spans="10:12" x14ac:dyDescent="0.2">
      <c r="J169">
        <v>158</v>
      </c>
      <c r="K169" s="4">
        <v>3047047048.8082433</v>
      </c>
      <c r="L169">
        <f t="shared" si="5"/>
        <v>0</v>
      </c>
    </row>
    <row r="170" spans="10:12" x14ac:dyDescent="0.2">
      <c r="J170">
        <v>159</v>
      </c>
      <c r="K170" s="4">
        <v>2958569414.5611978</v>
      </c>
      <c r="L170">
        <f t="shared" si="5"/>
        <v>0</v>
      </c>
    </row>
    <row r="171" spans="10:12" x14ac:dyDescent="0.2">
      <c r="J171">
        <v>160</v>
      </c>
      <c r="K171" s="4">
        <v>3089198261.5743303</v>
      </c>
      <c r="L171">
        <f t="shared" si="5"/>
        <v>0</v>
      </c>
    </row>
    <row r="172" spans="10:12" x14ac:dyDescent="0.2">
      <c r="J172">
        <v>161</v>
      </c>
      <c r="K172" s="4">
        <v>2926025435.5216217</v>
      </c>
      <c r="L172">
        <f t="shared" si="5"/>
        <v>0</v>
      </c>
    </row>
    <row r="173" spans="10:12" x14ac:dyDescent="0.2">
      <c r="J173">
        <v>162</v>
      </c>
      <c r="K173" s="4">
        <v>3054023312.1575561</v>
      </c>
      <c r="L173">
        <f t="shared" si="5"/>
        <v>0</v>
      </c>
    </row>
    <row r="174" spans="10:12" x14ac:dyDescent="0.2">
      <c r="J174">
        <v>163</v>
      </c>
      <c r="K174" s="4">
        <v>2936081927.5914998</v>
      </c>
      <c r="L174">
        <f t="shared" si="5"/>
        <v>0</v>
      </c>
    </row>
    <row r="175" spans="10:12" x14ac:dyDescent="0.2">
      <c r="J175">
        <v>164</v>
      </c>
      <c r="K175" s="4">
        <v>3067439290.1955428</v>
      </c>
      <c r="L175">
        <f t="shared" si="5"/>
        <v>0</v>
      </c>
    </row>
    <row r="176" spans="10:12" x14ac:dyDescent="0.2">
      <c r="J176">
        <v>165</v>
      </c>
      <c r="K176" s="4">
        <v>3079882374.4029398</v>
      </c>
      <c r="L176">
        <f t="shared" si="5"/>
        <v>0</v>
      </c>
    </row>
    <row r="177" spans="10:12" x14ac:dyDescent="0.2">
      <c r="J177">
        <v>166</v>
      </c>
      <c r="K177" s="4">
        <v>2882273774.3897295</v>
      </c>
      <c r="L177">
        <f t="shared" si="5"/>
        <v>0</v>
      </c>
    </row>
    <row r="178" spans="10:12" x14ac:dyDescent="0.2">
      <c r="J178">
        <v>167</v>
      </c>
      <c r="K178" s="4">
        <v>2987500760.0215077</v>
      </c>
      <c r="L178">
        <f t="shared" si="5"/>
        <v>0</v>
      </c>
    </row>
    <row r="179" spans="10:12" x14ac:dyDescent="0.2">
      <c r="J179">
        <v>168</v>
      </c>
      <c r="K179" s="4">
        <v>3047593524.3938336</v>
      </c>
      <c r="L179">
        <f t="shared" si="5"/>
        <v>0</v>
      </c>
    </row>
    <row r="180" spans="10:12" x14ac:dyDescent="0.2">
      <c r="J180">
        <v>169</v>
      </c>
      <c r="K180" s="4">
        <v>2994095518.6476464</v>
      </c>
      <c r="L180">
        <f t="shared" si="5"/>
        <v>0</v>
      </c>
    </row>
    <row r="181" spans="10:12" x14ac:dyDescent="0.2">
      <c r="J181">
        <v>170</v>
      </c>
      <c r="K181" s="4">
        <v>2870451836.8654456</v>
      </c>
      <c r="L181">
        <f t="shared" si="5"/>
        <v>0</v>
      </c>
    </row>
    <row r="182" spans="10:12" x14ac:dyDescent="0.2">
      <c r="J182">
        <v>171</v>
      </c>
      <c r="K182" s="4">
        <v>3078857224.3284512</v>
      </c>
      <c r="L182">
        <f t="shared" si="5"/>
        <v>0</v>
      </c>
    </row>
    <row r="183" spans="10:12" x14ac:dyDescent="0.2">
      <c r="J183">
        <v>172</v>
      </c>
      <c r="K183" s="4">
        <v>2883025824.1190052</v>
      </c>
      <c r="L183">
        <f t="shared" si="5"/>
        <v>0</v>
      </c>
    </row>
    <row r="184" spans="10:12" x14ac:dyDescent="0.2">
      <c r="J184">
        <v>173</v>
      </c>
      <c r="K184" s="4">
        <v>2903273438.6166186</v>
      </c>
      <c r="L184">
        <f t="shared" si="5"/>
        <v>0</v>
      </c>
    </row>
    <row r="185" spans="10:12" x14ac:dyDescent="0.2">
      <c r="J185">
        <v>174</v>
      </c>
      <c r="K185" s="4">
        <v>2653366382.0434618</v>
      </c>
      <c r="L185">
        <f t="shared" si="5"/>
        <v>0</v>
      </c>
    </row>
    <row r="186" spans="10:12" x14ac:dyDescent="0.2">
      <c r="J186">
        <v>175</v>
      </c>
      <c r="K186" s="4">
        <v>3065615301.6390014</v>
      </c>
      <c r="L186">
        <f t="shared" si="5"/>
        <v>0</v>
      </c>
    </row>
    <row r="187" spans="10:12" x14ac:dyDescent="0.2">
      <c r="J187">
        <v>176</v>
      </c>
      <c r="K187" s="4">
        <v>2862304881.870348</v>
      </c>
      <c r="L187">
        <f t="shared" si="5"/>
        <v>0</v>
      </c>
    </row>
    <row r="188" spans="10:12" x14ac:dyDescent="0.2">
      <c r="J188">
        <v>177</v>
      </c>
      <c r="K188" s="4">
        <v>2943793584.4981484</v>
      </c>
      <c r="L188">
        <f t="shared" si="5"/>
        <v>0</v>
      </c>
    </row>
    <row r="189" spans="10:12" x14ac:dyDescent="0.2">
      <c r="J189">
        <v>178</v>
      </c>
      <c r="K189" s="4">
        <v>3010552699.3365126</v>
      </c>
      <c r="L189">
        <f t="shared" si="5"/>
        <v>0</v>
      </c>
    </row>
    <row r="190" spans="10:12" x14ac:dyDescent="0.2">
      <c r="J190">
        <v>179</v>
      </c>
      <c r="K190" s="4">
        <v>2861622382.6699977</v>
      </c>
      <c r="L190">
        <f t="shared" si="5"/>
        <v>0</v>
      </c>
    </row>
    <row r="191" spans="10:12" x14ac:dyDescent="0.2">
      <c r="J191">
        <v>180</v>
      </c>
      <c r="K191" s="4">
        <v>2999780589.5165138</v>
      </c>
      <c r="L191">
        <f t="shared" si="5"/>
        <v>0</v>
      </c>
    </row>
    <row r="192" spans="10:12" x14ac:dyDescent="0.2">
      <c r="J192">
        <v>181</v>
      </c>
      <c r="K192" s="4">
        <v>3171292821.4549241</v>
      </c>
      <c r="L192">
        <f t="shared" si="5"/>
        <v>0</v>
      </c>
    </row>
    <row r="193" spans="10:12" x14ac:dyDescent="0.2">
      <c r="J193">
        <v>182</v>
      </c>
      <c r="K193" s="4">
        <v>3154052919.7878661</v>
      </c>
      <c r="L193">
        <f t="shared" si="5"/>
        <v>0</v>
      </c>
    </row>
    <row r="194" spans="10:12" x14ac:dyDescent="0.2">
      <c r="J194">
        <v>183</v>
      </c>
      <c r="K194" s="4">
        <v>2665288426.4073415</v>
      </c>
      <c r="L194">
        <f t="shared" si="5"/>
        <v>0</v>
      </c>
    </row>
    <row r="195" spans="10:12" x14ac:dyDescent="0.2">
      <c r="J195">
        <v>184</v>
      </c>
      <c r="K195" s="4">
        <v>2901345744.38061</v>
      </c>
      <c r="L195">
        <f t="shared" si="5"/>
        <v>0</v>
      </c>
    </row>
    <row r="196" spans="10:12" x14ac:dyDescent="0.2">
      <c r="J196">
        <v>185</v>
      </c>
      <c r="K196" s="4">
        <v>2829594985.4836235</v>
      </c>
      <c r="L196">
        <f t="shared" si="5"/>
        <v>0</v>
      </c>
    </row>
    <row r="197" spans="10:12" x14ac:dyDescent="0.2">
      <c r="J197">
        <v>186</v>
      </c>
      <c r="K197" s="4">
        <v>2761918056.3105788</v>
      </c>
      <c r="L197">
        <f t="shared" si="5"/>
        <v>0</v>
      </c>
    </row>
    <row r="198" spans="10:12" x14ac:dyDescent="0.2">
      <c r="J198">
        <v>187</v>
      </c>
      <c r="K198" s="4">
        <v>2793843194.6118164</v>
      </c>
      <c r="L198">
        <f t="shared" si="5"/>
        <v>0</v>
      </c>
    </row>
    <row r="199" spans="10:12" x14ac:dyDescent="0.2">
      <c r="J199">
        <v>188</v>
      </c>
      <c r="K199" s="4">
        <v>2871499753.6697984</v>
      </c>
      <c r="L199">
        <f t="shared" si="5"/>
        <v>0</v>
      </c>
    </row>
    <row r="200" spans="10:12" x14ac:dyDescent="0.2">
      <c r="J200">
        <v>189</v>
      </c>
      <c r="K200" s="4">
        <v>2934528800.3181095</v>
      </c>
      <c r="L200">
        <f t="shared" si="5"/>
        <v>0</v>
      </c>
    </row>
    <row r="201" spans="10:12" x14ac:dyDescent="0.2">
      <c r="J201">
        <v>190</v>
      </c>
      <c r="K201" s="4">
        <v>2786814728.3550038</v>
      </c>
      <c r="L201">
        <f t="shared" si="5"/>
        <v>0</v>
      </c>
    </row>
    <row r="202" spans="10:12" x14ac:dyDescent="0.2">
      <c r="J202">
        <v>191</v>
      </c>
      <c r="K202" s="4">
        <v>2920876995.4570813</v>
      </c>
      <c r="L202">
        <f t="shared" si="5"/>
        <v>0</v>
      </c>
    </row>
    <row r="203" spans="10:12" x14ac:dyDescent="0.2">
      <c r="J203">
        <v>192</v>
      </c>
      <c r="K203" s="4">
        <v>2956715645.2022481</v>
      </c>
      <c r="L203">
        <f t="shared" si="5"/>
        <v>0</v>
      </c>
    </row>
    <row r="204" spans="10:12" x14ac:dyDescent="0.2">
      <c r="J204">
        <v>193</v>
      </c>
      <c r="K204" s="4">
        <v>2985551393.9392619</v>
      </c>
      <c r="L204">
        <f t="shared" si="5"/>
        <v>0</v>
      </c>
    </row>
    <row r="205" spans="10:12" x14ac:dyDescent="0.2">
      <c r="J205">
        <v>194</v>
      </c>
      <c r="K205" s="4">
        <v>3115154344.8666282</v>
      </c>
      <c r="L205">
        <f t="shared" ref="L205:L268" si="6">IF(K205&lt;1700000000,1,0)</f>
        <v>0</v>
      </c>
    </row>
    <row r="206" spans="10:12" x14ac:dyDescent="0.2">
      <c r="J206">
        <v>195</v>
      </c>
      <c r="K206" s="4">
        <v>3020148360.4962478</v>
      </c>
      <c r="L206">
        <f t="shared" si="6"/>
        <v>0</v>
      </c>
    </row>
    <row r="207" spans="10:12" x14ac:dyDescent="0.2">
      <c r="J207">
        <v>196</v>
      </c>
      <c r="K207" s="4">
        <v>2888869066.5379467</v>
      </c>
      <c r="L207">
        <f t="shared" si="6"/>
        <v>0</v>
      </c>
    </row>
    <row r="208" spans="10:12" x14ac:dyDescent="0.2">
      <c r="J208">
        <v>197</v>
      </c>
      <c r="K208" s="4">
        <v>2825590555.5074611</v>
      </c>
      <c r="L208">
        <f t="shared" si="6"/>
        <v>0</v>
      </c>
    </row>
    <row r="209" spans="10:12" x14ac:dyDescent="0.2">
      <c r="J209">
        <v>198</v>
      </c>
      <c r="K209" s="4">
        <v>3042732869.1035113</v>
      </c>
      <c r="L209">
        <f t="shared" si="6"/>
        <v>0</v>
      </c>
    </row>
    <row r="210" spans="10:12" x14ac:dyDescent="0.2">
      <c r="J210">
        <v>199</v>
      </c>
      <c r="K210" s="4">
        <v>2901444493.8622408</v>
      </c>
      <c r="L210">
        <f t="shared" si="6"/>
        <v>0</v>
      </c>
    </row>
    <row r="211" spans="10:12" x14ac:dyDescent="0.2">
      <c r="J211">
        <v>200</v>
      </c>
      <c r="K211" s="4">
        <v>2853136344.6974893</v>
      </c>
      <c r="L211">
        <f t="shared" si="6"/>
        <v>0</v>
      </c>
    </row>
    <row r="212" spans="10:12" x14ac:dyDescent="0.2">
      <c r="J212">
        <v>201</v>
      </c>
      <c r="K212" s="4">
        <v>2770203664.2611728</v>
      </c>
      <c r="L212">
        <f t="shared" si="6"/>
        <v>0</v>
      </c>
    </row>
    <row r="213" spans="10:12" x14ac:dyDescent="0.2">
      <c r="J213">
        <v>202</v>
      </c>
      <c r="K213" s="4">
        <v>2947512169.0827036</v>
      </c>
      <c r="L213">
        <f t="shared" si="6"/>
        <v>0</v>
      </c>
    </row>
    <row r="214" spans="10:12" x14ac:dyDescent="0.2">
      <c r="J214">
        <v>203</v>
      </c>
      <c r="K214" s="4">
        <v>3123159915.6715546</v>
      </c>
      <c r="L214">
        <f t="shared" si="6"/>
        <v>0</v>
      </c>
    </row>
    <row r="215" spans="10:12" x14ac:dyDescent="0.2">
      <c r="J215">
        <v>204</v>
      </c>
      <c r="K215" s="4">
        <v>3115496287.5508256</v>
      </c>
      <c r="L215">
        <f t="shared" si="6"/>
        <v>0</v>
      </c>
    </row>
    <row r="216" spans="10:12" x14ac:dyDescent="0.2">
      <c r="J216">
        <v>205</v>
      </c>
      <c r="K216" s="4">
        <v>3040891787.7733078</v>
      </c>
      <c r="L216">
        <f t="shared" si="6"/>
        <v>0</v>
      </c>
    </row>
    <row r="217" spans="10:12" x14ac:dyDescent="0.2">
      <c r="J217">
        <v>206</v>
      </c>
      <c r="K217" s="4">
        <v>2994440858.8623242</v>
      </c>
      <c r="L217">
        <f t="shared" si="6"/>
        <v>0</v>
      </c>
    </row>
    <row r="218" spans="10:12" x14ac:dyDescent="0.2">
      <c r="J218">
        <v>207</v>
      </c>
      <c r="K218" s="4">
        <v>2876877842.1642523</v>
      </c>
      <c r="L218">
        <f t="shared" si="6"/>
        <v>0</v>
      </c>
    </row>
    <row r="219" spans="10:12" x14ac:dyDescent="0.2">
      <c r="J219">
        <v>208</v>
      </c>
      <c r="K219" s="4">
        <v>3175261379.5128918</v>
      </c>
      <c r="L219">
        <f t="shared" si="6"/>
        <v>0</v>
      </c>
    </row>
    <row r="220" spans="10:12" x14ac:dyDescent="0.2">
      <c r="J220">
        <v>209</v>
      </c>
      <c r="K220" s="4">
        <v>2939008410.0783572</v>
      </c>
      <c r="L220">
        <f t="shared" si="6"/>
        <v>0</v>
      </c>
    </row>
    <row r="221" spans="10:12" x14ac:dyDescent="0.2">
      <c r="J221">
        <v>210</v>
      </c>
      <c r="K221" s="4">
        <v>2855376801.0309463</v>
      </c>
      <c r="L221">
        <f t="shared" si="6"/>
        <v>0</v>
      </c>
    </row>
    <row r="222" spans="10:12" x14ac:dyDescent="0.2">
      <c r="J222">
        <v>211</v>
      </c>
      <c r="K222" s="4">
        <v>3045439523.1012502</v>
      </c>
      <c r="L222">
        <f t="shared" si="6"/>
        <v>0</v>
      </c>
    </row>
    <row r="223" spans="10:12" x14ac:dyDescent="0.2">
      <c r="J223">
        <v>212</v>
      </c>
      <c r="K223" s="4">
        <v>2921541407.9679012</v>
      </c>
      <c r="L223">
        <f t="shared" si="6"/>
        <v>0</v>
      </c>
    </row>
    <row r="224" spans="10:12" x14ac:dyDescent="0.2">
      <c r="J224">
        <v>213</v>
      </c>
      <c r="K224" s="4">
        <v>2845048267.3952289</v>
      </c>
      <c r="L224">
        <f t="shared" si="6"/>
        <v>0</v>
      </c>
    </row>
    <row r="225" spans="10:12" x14ac:dyDescent="0.2">
      <c r="J225">
        <v>214</v>
      </c>
      <c r="K225" s="4">
        <v>2919369862.9020858</v>
      </c>
      <c r="L225">
        <f t="shared" si="6"/>
        <v>0</v>
      </c>
    </row>
    <row r="226" spans="10:12" x14ac:dyDescent="0.2">
      <c r="J226">
        <v>215</v>
      </c>
      <c r="K226" s="4">
        <v>2739312226.1919198</v>
      </c>
      <c r="L226">
        <f t="shared" si="6"/>
        <v>0</v>
      </c>
    </row>
    <row r="227" spans="10:12" x14ac:dyDescent="0.2">
      <c r="J227">
        <v>216</v>
      </c>
      <c r="K227" s="4">
        <v>3151947606.7175589</v>
      </c>
      <c r="L227">
        <f t="shared" si="6"/>
        <v>0</v>
      </c>
    </row>
    <row r="228" spans="10:12" x14ac:dyDescent="0.2">
      <c r="J228">
        <v>217</v>
      </c>
      <c r="K228" s="4">
        <v>3214711133.0358968</v>
      </c>
      <c r="L228">
        <f t="shared" si="6"/>
        <v>0</v>
      </c>
    </row>
    <row r="229" spans="10:12" x14ac:dyDescent="0.2">
      <c r="J229">
        <v>218</v>
      </c>
      <c r="K229" s="4">
        <v>2803758186.4619265</v>
      </c>
      <c r="L229">
        <f t="shared" si="6"/>
        <v>0</v>
      </c>
    </row>
    <row r="230" spans="10:12" x14ac:dyDescent="0.2">
      <c r="J230">
        <v>219</v>
      </c>
      <c r="K230" s="4">
        <v>3055939813.2343907</v>
      </c>
      <c r="L230">
        <f t="shared" si="6"/>
        <v>0</v>
      </c>
    </row>
    <row r="231" spans="10:12" x14ac:dyDescent="0.2">
      <c r="J231">
        <v>220</v>
      </c>
      <c r="K231" s="4">
        <v>3160400581.4719334</v>
      </c>
      <c r="L231">
        <f t="shared" si="6"/>
        <v>0</v>
      </c>
    </row>
    <row r="232" spans="10:12" x14ac:dyDescent="0.2">
      <c r="J232">
        <v>221</v>
      </c>
      <c r="K232" s="4">
        <v>2908610291.6965013</v>
      </c>
      <c r="L232">
        <f t="shared" si="6"/>
        <v>0</v>
      </c>
    </row>
    <row r="233" spans="10:12" x14ac:dyDescent="0.2">
      <c r="J233">
        <v>222</v>
      </c>
      <c r="K233" s="4">
        <v>2963662090.0611353</v>
      </c>
      <c r="L233">
        <f t="shared" si="6"/>
        <v>0</v>
      </c>
    </row>
    <row r="234" spans="10:12" x14ac:dyDescent="0.2">
      <c r="J234">
        <v>223</v>
      </c>
      <c r="K234" s="4">
        <v>2920942747.6939292</v>
      </c>
      <c r="L234">
        <f t="shared" si="6"/>
        <v>0</v>
      </c>
    </row>
    <row r="235" spans="10:12" x14ac:dyDescent="0.2">
      <c r="J235">
        <v>224</v>
      </c>
      <c r="K235" s="4">
        <v>2785126172.335022</v>
      </c>
      <c r="L235">
        <f t="shared" si="6"/>
        <v>0</v>
      </c>
    </row>
    <row r="236" spans="10:12" x14ac:dyDescent="0.2">
      <c r="J236">
        <v>225</v>
      </c>
      <c r="K236" s="4">
        <v>2711557908.2088695</v>
      </c>
      <c r="L236">
        <f t="shared" si="6"/>
        <v>0</v>
      </c>
    </row>
    <row r="237" spans="10:12" x14ac:dyDescent="0.2">
      <c r="J237">
        <v>226</v>
      </c>
      <c r="K237" s="4">
        <v>3178974123.2768846</v>
      </c>
      <c r="L237">
        <f t="shared" si="6"/>
        <v>0</v>
      </c>
    </row>
    <row r="238" spans="10:12" x14ac:dyDescent="0.2">
      <c r="J238">
        <v>227</v>
      </c>
      <c r="K238" s="4">
        <v>2903032618.9556069</v>
      </c>
      <c r="L238">
        <f t="shared" si="6"/>
        <v>0</v>
      </c>
    </row>
    <row r="239" spans="10:12" x14ac:dyDescent="0.2">
      <c r="J239">
        <v>228</v>
      </c>
      <c r="K239" s="4">
        <v>3064604963.6125112</v>
      </c>
      <c r="L239">
        <f t="shared" si="6"/>
        <v>0</v>
      </c>
    </row>
    <row r="240" spans="10:12" x14ac:dyDescent="0.2">
      <c r="J240">
        <v>229</v>
      </c>
      <c r="K240" s="4">
        <v>3102120490.081811</v>
      </c>
      <c r="L240">
        <f t="shared" si="6"/>
        <v>0</v>
      </c>
    </row>
    <row r="241" spans="10:12" x14ac:dyDescent="0.2">
      <c r="J241">
        <v>230</v>
      </c>
      <c r="K241" s="4">
        <v>2917265249.0812707</v>
      </c>
      <c r="L241">
        <f t="shared" si="6"/>
        <v>0</v>
      </c>
    </row>
    <row r="242" spans="10:12" x14ac:dyDescent="0.2">
      <c r="J242">
        <v>231</v>
      </c>
      <c r="K242" s="4">
        <v>2931412900.9344478</v>
      </c>
      <c r="L242">
        <f t="shared" si="6"/>
        <v>0</v>
      </c>
    </row>
    <row r="243" spans="10:12" x14ac:dyDescent="0.2">
      <c r="J243">
        <v>232</v>
      </c>
      <c r="K243" s="4">
        <v>3033043645.2052379</v>
      </c>
      <c r="L243">
        <f t="shared" si="6"/>
        <v>0</v>
      </c>
    </row>
    <row r="244" spans="10:12" x14ac:dyDescent="0.2">
      <c r="J244">
        <v>233</v>
      </c>
      <c r="K244" s="4">
        <v>2897851066.8343334</v>
      </c>
      <c r="L244">
        <f t="shared" si="6"/>
        <v>0</v>
      </c>
    </row>
    <row r="245" spans="10:12" x14ac:dyDescent="0.2">
      <c r="J245">
        <v>234</v>
      </c>
      <c r="K245" s="4">
        <v>3024021243.9686227</v>
      </c>
      <c r="L245">
        <f t="shared" si="6"/>
        <v>0</v>
      </c>
    </row>
    <row r="246" spans="10:12" x14ac:dyDescent="0.2">
      <c r="J246">
        <v>235</v>
      </c>
      <c r="K246" s="4">
        <v>3114346104.2614093</v>
      </c>
      <c r="L246">
        <f t="shared" si="6"/>
        <v>0</v>
      </c>
    </row>
    <row r="247" spans="10:12" x14ac:dyDescent="0.2">
      <c r="J247">
        <v>236</v>
      </c>
      <c r="K247" s="4">
        <v>2976345538.2058578</v>
      </c>
      <c r="L247">
        <f t="shared" si="6"/>
        <v>0</v>
      </c>
    </row>
    <row r="248" spans="10:12" x14ac:dyDescent="0.2">
      <c r="J248">
        <v>237</v>
      </c>
      <c r="K248" s="4">
        <v>3085397984.3984499</v>
      </c>
      <c r="L248">
        <f t="shared" si="6"/>
        <v>0</v>
      </c>
    </row>
    <row r="249" spans="10:12" x14ac:dyDescent="0.2">
      <c r="J249">
        <v>238</v>
      </c>
      <c r="K249" s="4">
        <v>2907657701.484446</v>
      </c>
      <c r="L249">
        <f t="shared" si="6"/>
        <v>0</v>
      </c>
    </row>
    <row r="250" spans="10:12" x14ac:dyDescent="0.2">
      <c r="J250">
        <v>239</v>
      </c>
      <c r="K250" s="4">
        <v>2912595435.7979355</v>
      </c>
      <c r="L250">
        <f t="shared" si="6"/>
        <v>0</v>
      </c>
    </row>
    <row r="251" spans="10:12" x14ac:dyDescent="0.2">
      <c r="J251">
        <v>240</v>
      </c>
      <c r="K251" s="4">
        <v>2940359558.7616949</v>
      </c>
      <c r="L251">
        <f t="shared" si="6"/>
        <v>0</v>
      </c>
    </row>
    <row r="252" spans="10:12" x14ac:dyDescent="0.2">
      <c r="J252">
        <v>241</v>
      </c>
      <c r="K252" s="4">
        <v>2970720854.2607298</v>
      </c>
      <c r="L252">
        <f t="shared" si="6"/>
        <v>0</v>
      </c>
    </row>
    <row r="253" spans="10:12" x14ac:dyDescent="0.2">
      <c r="J253">
        <v>242</v>
      </c>
      <c r="K253" s="4">
        <v>3008734508.1903081</v>
      </c>
      <c r="L253">
        <f t="shared" si="6"/>
        <v>0</v>
      </c>
    </row>
    <row r="254" spans="10:12" x14ac:dyDescent="0.2">
      <c r="J254">
        <v>243</v>
      </c>
      <c r="K254" s="4">
        <v>2980983781.7245097</v>
      </c>
      <c r="L254">
        <f t="shared" si="6"/>
        <v>0</v>
      </c>
    </row>
    <row r="255" spans="10:12" x14ac:dyDescent="0.2">
      <c r="J255">
        <v>244</v>
      </c>
      <c r="K255" s="4">
        <v>2762058088.1670561</v>
      </c>
      <c r="L255">
        <f t="shared" si="6"/>
        <v>0</v>
      </c>
    </row>
    <row r="256" spans="10:12" x14ac:dyDescent="0.2">
      <c r="J256">
        <v>245</v>
      </c>
      <c r="K256" s="4">
        <v>3202628849.4234595</v>
      </c>
      <c r="L256">
        <f t="shared" si="6"/>
        <v>0</v>
      </c>
    </row>
    <row r="257" spans="10:12" x14ac:dyDescent="0.2">
      <c r="J257">
        <v>246</v>
      </c>
      <c r="K257" s="4">
        <v>2891489792.2845869</v>
      </c>
      <c r="L257">
        <f t="shared" si="6"/>
        <v>0</v>
      </c>
    </row>
    <row r="258" spans="10:12" x14ac:dyDescent="0.2">
      <c r="J258">
        <v>247</v>
      </c>
      <c r="K258" s="4">
        <v>3057338079.1806483</v>
      </c>
      <c r="L258">
        <f t="shared" si="6"/>
        <v>0</v>
      </c>
    </row>
    <row r="259" spans="10:12" x14ac:dyDescent="0.2">
      <c r="J259">
        <v>248</v>
      </c>
      <c r="K259" s="4">
        <v>2878491687.9287004</v>
      </c>
      <c r="L259">
        <f t="shared" si="6"/>
        <v>0</v>
      </c>
    </row>
    <row r="260" spans="10:12" x14ac:dyDescent="0.2">
      <c r="J260">
        <v>249</v>
      </c>
      <c r="K260" s="4">
        <v>3097880095.5781717</v>
      </c>
      <c r="L260">
        <f t="shared" si="6"/>
        <v>0</v>
      </c>
    </row>
    <row r="261" spans="10:12" x14ac:dyDescent="0.2">
      <c r="J261">
        <v>250</v>
      </c>
      <c r="K261" s="4">
        <v>2965439737.8275127</v>
      </c>
      <c r="L261">
        <f t="shared" si="6"/>
        <v>0</v>
      </c>
    </row>
    <row r="262" spans="10:12" x14ac:dyDescent="0.2">
      <c r="J262">
        <v>251</v>
      </c>
      <c r="K262" s="4">
        <v>2851483948.8507738</v>
      </c>
      <c r="L262">
        <f t="shared" si="6"/>
        <v>0</v>
      </c>
    </row>
    <row r="263" spans="10:12" x14ac:dyDescent="0.2">
      <c r="J263">
        <v>252</v>
      </c>
      <c r="K263" s="4">
        <v>3071806502.8596234</v>
      </c>
      <c r="L263">
        <f t="shared" si="6"/>
        <v>0</v>
      </c>
    </row>
    <row r="264" spans="10:12" x14ac:dyDescent="0.2">
      <c r="J264">
        <v>253</v>
      </c>
      <c r="K264" s="4">
        <v>3132021754.3894911</v>
      </c>
      <c r="L264">
        <f t="shared" si="6"/>
        <v>0</v>
      </c>
    </row>
    <row r="265" spans="10:12" x14ac:dyDescent="0.2">
      <c r="J265">
        <v>254</v>
      </c>
      <c r="K265" s="4">
        <v>3062474656.2225795</v>
      </c>
      <c r="L265">
        <f t="shared" si="6"/>
        <v>0</v>
      </c>
    </row>
    <row r="266" spans="10:12" x14ac:dyDescent="0.2">
      <c r="J266">
        <v>255</v>
      </c>
      <c r="K266" s="4">
        <v>2756705264.6624327</v>
      </c>
      <c r="L266">
        <f t="shared" si="6"/>
        <v>0</v>
      </c>
    </row>
    <row r="267" spans="10:12" x14ac:dyDescent="0.2">
      <c r="J267">
        <v>256</v>
      </c>
      <c r="K267" s="4">
        <v>2758750023.5071764</v>
      </c>
      <c r="L267">
        <f t="shared" si="6"/>
        <v>0</v>
      </c>
    </row>
    <row r="268" spans="10:12" x14ac:dyDescent="0.2">
      <c r="J268">
        <v>257</v>
      </c>
      <c r="K268" s="4">
        <v>3112601299.6630998</v>
      </c>
      <c r="L268">
        <f t="shared" si="6"/>
        <v>0</v>
      </c>
    </row>
    <row r="269" spans="10:12" x14ac:dyDescent="0.2">
      <c r="J269">
        <v>258</v>
      </c>
      <c r="K269" s="4">
        <v>2847913040.7817779</v>
      </c>
      <c r="L269">
        <f t="shared" ref="L269:L332" si="7">IF(K269&lt;1700000000,1,0)</f>
        <v>0</v>
      </c>
    </row>
    <row r="270" spans="10:12" x14ac:dyDescent="0.2">
      <c r="J270">
        <v>259</v>
      </c>
      <c r="K270" s="4">
        <v>2846445296.2974</v>
      </c>
      <c r="L270">
        <f t="shared" si="7"/>
        <v>0</v>
      </c>
    </row>
    <row r="271" spans="10:12" x14ac:dyDescent="0.2">
      <c r="J271">
        <v>260</v>
      </c>
      <c r="K271" s="4">
        <v>2891714529.7319808</v>
      </c>
      <c r="L271">
        <f t="shared" si="7"/>
        <v>0</v>
      </c>
    </row>
    <row r="272" spans="10:12" x14ac:dyDescent="0.2">
      <c r="J272">
        <v>261</v>
      </c>
      <c r="K272" s="4">
        <v>3123274455.4203124</v>
      </c>
      <c r="L272">
        <f t="shared" si="7"/>
        <v>0</v>
      </c>
    </row>
    <row r="273" spans="10:12" x14ac:dyDescent="0.2">
      <c r="J273">
        <v>262</v>
      </c>
      <c r="K273" s="4">
        <v>2835766057.1757522</v>
      </c>
      <c r="L273">
        <f t="shared" si="7"/>
        <v>0</v>
      </c>
    </row>
    <row r="274" spans="10:12" x14ac:dyDescent="0.2">
      <c r="J274">
        <v>263</v>
      </c>
      <c r="K274" s="4">
        <v>2929391903.7955627</v>
      </c>
      <c r="L274">
        <f t="shared" si="7"/>
        <v>0</v>
      </c>
    </row>
    <row r="275" spans="10:12" x14ac:dyDescent="0.2">
      <c r="J275">
        <v>264</v>
      </c>
      <c r="K275" s="4">
        <v>2912148244.894968</v>
      </c>
      <c r="L275">
        <f t="shared" si="7"/>
        <v>0</v>
      </c>
    </row>
    <row r="276" spans="10:12" x14ac:dyDescent="0.2">
      <c r="J276">
        <v>265</v>
      </c>
      <c r="K276" s="4">
        <v>3161990336.0019145</v>
      </c>
      <c r="L276">
        <f t="shared" si="7"/>
        <v>0</v>
      </c>
    </row>
    <row r="277" spans="10:12" x14ac:dyDescent="0.2">
      <c r="J277">
        <v>266</v>
      </c>
      <c r="K277" s="4">
        <v>2819267901.9332886</v>
      </c>
      <c r="L277">
        <f t="shared" si="7"/>
        <v>0</v>
      </c>
    </row>
    <row r="278" spans="10:12" x14ac:dyDescent="0.2">
      <c r="J278">
        <v>267</v>
      </c>
      <c r="K278" s="4">
        <v>2909869998.2549801</v>
      </c>
      <c r="L278">
        <f t="shared" si="7"/>
        <v>0</v>
      </c>
    </row>
    <row r="279" spans="10:12" x14ac:dyDescent="0.2">
      <c r="J279">
        <v>268</v>
      </c>
      <c r="K279" s="4">
        <v>3110459327.6563787</v>
      </c>
      <c r="L279">
        <f t="shared" si="7"/>
        <v>0</v>
      </c>
    </row>
    <row r="280" spans="10:12" x14ac:dyDescent="0.2">
      <c r="J280">
        <v>269</v>
      </c>
      <c r="K280" s="4">
        <v>2982441851.7512126</v>
      </c>
      <c r="L280">
        <f t="shared" si="7"/>
        <v>0</v>
      </c>
    </row>
    <row r="281" spans="10:12" x14ac:dyDescent="0.2">
      <c r="J281">
        <v>270</v>
      </c>
      <c r="K281" s="4">
        <v>3083202975.9788237</v>
      </c>
      <c r="L281">
        <f t="shared" si="7"/>
        <v>0</v>
      </c>
    </row>
    <row r="282" spans="10:12" x14ac:dyDescent="0.2">
      <c r="J282">
        <v>271</v>
      </c>
      <c r="K282" s="4">
        <v>3043570097.0753341</v>
      </c>
      <c r="L282">
        <f t="shared" si="7"/>
        <v>0</v>
      </c>
    </row>
    <row r="283" spans="10:12" x14ac:dyDescent="0.2">
      <c r="J283">
        <v>272</v>
      </c>
      <c r="K283" s="4">
        <v>3042713198.8463087</v>
      </c>
      <c r="L283">
        <f t="shared" si="7"/>
        <v>0</v>
      </c>
    </row>
    <row r="284" spans="10:12" x14ac:dyDescent="0.2">
      <c r="J284">
        <v>273</v>
      </c>
      <c r="K284" s="4">
        <v>2874347182.2268138</v>
      </c>
      <c r="L284">
        <f t="shared" si="7"/>
        <v>0</v>
      </c>
    </row>
    <row r="285" spans="10:12" x14ac:dyDescent="0.2">
      <c r="J285">
        <v>274</v>
      </c>
      <c r="K285" s="4">
        <v>2944991544.5586729</v>
      </c>
      <c r="L285">
        <f t="shared" si="7"/>
        <v>0</v>
      </c>
    </row>
    <row r="286" spans="10:12" x14ac:dyDescent="0.2">
      <c r="J286">
        <v>275</v>
      </c>
      <c r="K286" s="4">
        <v>3094874222.9814954</v>
      </c>
      <c r="L286">
        <f t="shared" si="7"/>
        <v>0</v>
      </c>
    </row>
    <row r="287" spans="10:12" x14ac:dyDescent="0.2">
      <c r="J287">
        <v>276</v>
      </c>
      <c r="K287" s="4">
        <v>2989468194.3363833</v>
      </c>
      <c r="L287">
        <f t="shared" si="7"/>
        <v>0</v>
      </c>
    </row>
    <row r="288" spans="10:12" x14ac:dyDescent="0.2">
      <c r="J288">
        <v>277</v>
      </c>
      <c r="K288" s="4">
        <v>2808083847.198741</v>
      </c>
      <c r="L288">
        <f t="shared" si="7"/>
        <v>0</v>
      </c>
    </row>
    <row r="289" spans="10:12" x14ac:dyDescent="0.2">
      <c r="J289">
        <v>278</v>
      </c>
      <c r="K289" s="4">
        <v>2898317807.1786556</v>
      </c>
      <c r="L289">
        <f t="shared" si="7"/>
        <v>0</v>
      </c>
    </row>
    <row r="290" spans="10:12" x14ac:dyDescent="0.2">
      <c r="J290">
        <v>279</v>
      </c>
      <c r="K290" s="4">
        <v>3022978222.9199362</v>
      </c>
      <c r="L290">
        <f t="shared" si="7"/>
        <v>0</v>
      </c>
    </row>
    <row r="291" spans="10:12" x14ac:dyDescent="0.2">
      <c r="J291">
        <v>280</v>
      </c>
      <c r="K291" s="4">
        <v>2959363507.6443524</v>
      </c>
      <c r="L291">
        <f t="shared" si="7"/>
        <v>0</v>
      </c>
    </row>
    <row r="292" spans="10:12" x14ac:dyDescent="0.2">
      <c r="J292">
        <v>281</v>
      </c>
      <c r="K292" s="4">
        <v>3012219441.0189757</v>
      </c>
      <c r="L292">
        <f t="shared" si="7"/>
        <v>0</v>
      </c>
    </row>
    <row r="293" spans="10:12" x14ac:dyDescent="0.2">
      <c r="J293">
        <v>282</v>
      </c>
      <c r="K293" s="4">
        <v>3127201838.5274096</v>
      </c>
      <c r="L293">
        <f t="shared" si="7"/>
        <v>0</v>
      </c>
    </row>
    <row r="294" spans="10:12" x14ac:dyDescent="0.2">
      <c r="J294">
        <v>283</v>
      </c>
      <c r="K294" s="4">
        <v>2969629185.0760202</v>
      </c>
      <c r="L294">
        <f t="shared" si="7"/>
        <v>0</v>
      </c>
    </row>
    <row r="295" spans="10:12" x14ac:dyDescent="0.2">
      <c r="J295">
        <v>284</v>
      </c>
      <c r="K295" s="4">
        <v>2881680687.8169618</v>
      </c>
      <c r="L295">
        <f t="shared" si="7"/>
        <v>0</v>
      </c>
    </row>
    <row r="296" spans="10:12" x14ac:dyDescent="0.2">
      <c r="J296">
        <v>285</v>
      </c>
      <c r="K296" s="4">
        <v>2973817536.6440387</v>
      </c>
      <c r="L296">
        <f t="shared" si="7"/>
        <v>0</v>
      </c>
    </row>
    <row r="297" spans="10:12" x14ac:dyDescent="0.2">
      <c r="J297">
        <v>286</v>
      </c>
      <c r="K297" s="4">
        <v>3007840978.5715427</v>
      </c>
      <c r="L297">
        <f t="shared" si="7"/>
        <v>0</v>
      </c>
    </row>
    <row r="298" spans="10:12" x14ac:dyDescent="0.2">
      <c r="J298">
        <v>287</v>
      </c>
      <c r="K298" s="4">
        <v>2997709597.8334785</v>
      </c>
      <c r="L298">
        <f t="shared" si="7"/>
        <v>0</v>
      </c>
    </row>
    <row r="299" spans="10:12" x14ac:dyDescent="0.2">
      <c r="J299">
        <v>288</v>
      </c>
      <c r="K299" s="4">
        <v>2942395467.3428478</v>
      </c>
      <c r="L299">
        <f t="shared" si="7"/>
        <v>0</v>
      </c>
    </row>
    <row r="300" spans="10:12" x14ac:dyDescent="0.2">
      <c r="J300">
        <v>289</v>
      </c>
      <c r="K300" s="4">
        <v>2853635137.75528</v>
      </c>
      <c r="L300">
        <f t="shared" si="7"/>
        <v>0</v>
      </c>
    </row>
    <row r="301" spans="10:12" x14ac:dyDescent="0.2">
      <c r="J301">
        <v>290</v>
      </c>
      <c r="K301" s="4">
        <v>2903322462.3562422</v>
      </c>
      <c r="L301">
        <f t="shared" si="7"/>
        <v>0</v>
      </c>
    </row>
    <row r="302" spans="10:12" x14ac:dyDescent="0.2">
      <c r="J302">
        <v>291</v>
      </c>
      <c r="K302" s="4">
        <v>2821981629.8498411</v>
      </c>
      <c r="L302">
        <f t="shared" si="7"/>
        <v>0</v>
      </c>
    </row>
    <row r="303" spans="10:12" x14ac:dyDescent="0.2">
      <c r="J303">
        <v>292</v>
      </c>
      <c r="K303" s="4">
        <v>3044382596.0682249</v>
      </c>
      <c r="L303">
        <f t="shared" si="7"/>
        <v>0</v>
      </c>
    </row>
    <row r="304" spans="10:12" x14ac:dyDescent="0.2">
      <c r="J304">
        <v>293</v>
      </c>
      <c r="K304" s="4">
        <v>2903178886.100935</v>
      </c>
      <c r="L304">
        <f t="shared" si="7"/>
        <v>0</v>
      </c>
    </row>
    <row r="305" spans="10:12" x14ac:dyDescent="0.2">
      <c r="J305">
        <v>294</v>
      </c>
      <c r="K305" s="4">
        <v>2783303009.5045857</v>
      </c>
      <c r="L305">
        <f t="shared" si="7"/>
        <v>0</v>
      </c>
    </row>
    <row r="306" spans="10:12" x14ac:dyDescent="0.2">
      <c r="J306">
        <v>295</v>
      </c>
      <c r="K306" s="4">
        <v>2725673734.9526134</v>
      </c>
      <c r="L306">
        <f t="shared" si="7"/>
        <v>0</v>
      </c>
    </row>
    <row r="307" spans="10:12" x14ac:dyDescent="0.2">
      <c r="J307">
        <v>296</v>
      </c>
      <c r="K307" s="4">
        <v>2992608593.8968992</v>
      </c>
      <c r="L307">
        <f t="shared" si="7"/>
        <v>0</v>
      </c>
    </row>
    <row r="308" spans="10:12" x14ac:dyDescent="0.2">
      <c r="J308">
        <v>297</v>
      </c>
      <c r="K308" s="4">
        <v>3021527242.0401697</v>
      </c>
      <c r="L308">
        <f t="shared" si="7"/>
        <v>0</v>
      </c>
    </row>
    <row r="309" spans="10:12" x14ac:dyDescent="0.2">
      <c r="J309">
        <v>298</v>
      </c>
      <c r="K309" s="4">
        <v>2931278494.5870957</v>
      </c>
      <c r="L309">
        <f t="shared" si="7"/>
        <v>0</v>
      </c>
    </row>
    <row r="310" spans="10:12" x14ac:dyDescent="0.2">
      <c r="J310">
        <v>299</v>
      </c>
      <c r="K310" s="4">
        <v>3032640782.6799684</v>
      </c>
      <c r="L310">
        <f t="shared" si="7"/>
        <v>0</v>
      </c>
    </row>
    <row r="311" spans="10:12" x14ac:dyDescent="0.2">
      <c r="J311">
        <v>300</v>
      </c>
      <c r="K311" s="4">
        <v>2602813941.0528126</v>
      </c>
      <c r="L311">
        <f t="shared" si="7"/>
        <v>0</v>
      </c>
    </row>
    <row r="312" spans="10:12" x14ac:dyDescent="0.2">
      <c r="J312">
        <v>301</v>
      </c>
      <c r="K312" s="4">
        <v>2866501618.8757114</v>
      </c>
      <c r="L312">
        <f t="shared" si="7"/>
        <v>0</v>
      </c>
    </row>
    <row r="313" spans="10:12" x14ac:dyDescent="0.2">
      <c r="J313">
        <v>302</v>
      </c>
      <c r="K313" s="4">
        <v>2855448463.6258345</v>
      </c>
      <c r="L313">
        <f t="shared" si="7"/>
        <v>0</v>
      </c>
    </row>
    <row r="314" spans="10:12" x14ac:dyDescent="0.2">
      <c r="J314">
        <v>303</v>
      </c>
      <c r="K314" s="4">
        <v>2917481007.6389089</v>
      </c>
      <c r="L314">
        <f t="shared" si="7"/>
        <v>0</v>
      </c>
    </row>
    <row r="315" spans="10:12" x14ac:dyDescent="0.2">
      <c r="J315">
        <v>304</v>
      </c>
      <c r="K315" s="4">
        <v>2957444774.156157</v>
      </c>
      <c r="L315">
        <f t="shared" si="7"/>
        <v>0</v>
      </c>
    </row>
    <row r="316" spans="10:12" x14ac:dyDescent="0.2">
      <c r="J316">
        <v>305</v>
      </c>
      <c r="K316" s="4">
        <v>2922212760.7001534</v>
      </c>
      <c r="L316">
        <f t="shared" si="7"/>
        <v>0</v>
      </c>
    </row>
    <row r="317" spans="10:12" x14ac:dyDescent="0.2">
      <c r="J317">
        <v>306</v>
      </c>
      <c r="K317" s="4">
        <v>2745840575.4268651</v>
      </c>
      <c r="L317">
        <f t="shared" si="7"/>
        <v>0</v>
      </c>
    </row>
    <row r="318" spans="10:12" x14ac:dyDescent="0.2">
      <c r="J318">
        <v>307</v>
      </c>
      <c r="K318" s="4">
        <v>2730165611.676507</v>
      </c>
      <c r="L318">
        <f t="shared" si="7"/>
        <v>0</v>
      </c>
    </row>
    <row r="319" spans="10:12" x14ac:dyDescent="0.2">
      <c r="J319">
        <v>308</v>
      </c>
      <c r="K319" s="4">
        <v>3133240300.151154</v>
      </c>
      <c r="L319">
        <f t="shared" si="7"/>
        <v>0</v>
      </c>
    </row>
    <row r="320" spans="10:12" x14ac:dyDescent="0.2">
      <c r="J320">
        <v>309</v>
      </c>
      <c r="K320" s="4">
        <v>3235009692.3529568</v>
      </c>
      <c r="L320">
        <f t="shared" si="7"/>
        <v>0</v>
      </c>
    </row>
    <row r="321" spans="10:12" x14ac:dyDescent="0.2">
      <c r="J321">
        <v>310</v>
      </c>
      <c r="K321" s="4">
        <v>2889298688.9277668</v>
      </c>
      <c r="L321">
        <f t="shared" si="7"/>
        <v>0</v>
      </c>
    </row>
    <row r="322" spans="10:12" x14ac:dyDescent="0.2">
      <c r="J322">
        <v>311</v>
      </c>
      <c r="K322" s="4">
        <v>2818857920.5327983</v>
      </c>
      <c r="L322">
        <f t="shared" si="7"/>
        <v>0</v>
      </c>
    </row>
    <row r="323" spans="10:12" x14ac:dyDescent="0.2">
      <c r="J323">
        <v>312</v>
      </c>
      <c r="K323" s="4">
        <v>2971731832.2792783</v>
      </c>
      <c r="L323">
        <f t="shared" si="7"/>
        <v>0</v>
      </c>
    </row>
    <row r="324" spans="10:12" x14ac:dyDescent="0.2">
      <c r="J324">
        <v>313</v>
      </c>
      <c r="K324" s="4">
        <v>2982616034.8323569</v>
      </c>
      <c r="L324">
        <f t="shared" si="7"/>
        <v>0</v>
      </c>
    </row>
    <row r="325" spans="10:12" x14ac:dyDescent="0.2">
      <c r="J325">
        <v>314</v>
      </c>
      <c r="K325" s="4">
        <v>2815559617.5908976</v>
      </c>
      <c r="L325">
        <f t="shared" si="7"/>
        <v>0</v>
      </c>
    </row>
    <row r="326" spans="10:12" x14ac:dyDescent="0.2">
      <c r="J326">
        <v>315</v>
      </c>
      <c r="K326" s="4">
        <v>2918981327.1039548</v>
      </c>
      <c r="L326">
        <f t="shared" si="7"/>
        <v>0</v>
      </c>
    </row>
    <row r="327" spans="10:12" x14ac:dyDescent="0.2">
      <c r="J327">
        <v>316</v>
      </c>
      <c r="K327" s="4">
        <v>2907664265.3610163</v>
      </c>
      <c r="L327">
        <f t="shared" si="7"/>
        <v>0</v>
      </c>
    </row>
    <row r="328" spans="10:12" x14ac:dyDescent="0.2">
      <c r="J328">
        <v>317</v>
      </c>
      <c r="K328" s="4">
        <v>3260159426.702086</v>
      </c>
      <c r="L328">
        <f t="shared" si="7"/>
        <v>0</v>
      </c>
    </row>
    <row r="329" spans="10:12" x14ac:dyDescent="0.2">
      <c r="J329">
        <v>318</v>
      </c>
      <c r="K329" s="4">
        <v>2915683392.1237311</v>
      </c>
      <c r="L329">
        <f t="shared" si="7"/>
        <v>0</v>
      </c>
    </row>
    <row r="330" spans="10:12" x14ac:dyDescent="0.2">
      <c r="J330">
        <v>319</v>
      </c>
      <c r="K330" s="4">
        <v>2978636413.2355523</v>
      </c>
      <c r="L330">
        <f t="shared" si="7"/>
        <v>0</v>
      </c>
    </row>
    <row r="331" spans="10:12" x14ac:dyDescent="0.2">
      <c r="J331">
        <v>320</v>
      </c>
      <c r="K331" s="4">
        <v>3172881175.8466215</v>
      </c>
      <c r="L331">
        <f t="shared" si="7"/>
        <v>0</v>
      </c>
    </row>
    <row r="332" spans="10:12" x14ac:dyDescent="0.2">
      <c r="J332">
        <v>321</v>
      </c>
      <c r="K332" s="4">
        <v>2863006977.644258</v>
      </c>
      <c r="L332">
        <f t="shared" si="7"/>
        <v>0</v>
      </c>
    </row>
    <row r="333" spans="10:12" x14ac:dyDescent="0.2">
      <c r="J333">
        <v>322</v>
      </c>
      <c r="K333" s="4">
        <v>2793726029.1463561</v>
      </c>
      <c r="L333">
        <f t="shared" ref="L333:L396" si="8">IF(K333&lt;1700000000,1,0)</f>
        <v>0</v>
      </c>
    </row>
    <row r="334" spans="10:12" x14ac:dyDescent="0.2">
      <c r="J334">
        <v>323</v>
      </c>
      <c r="K334" s="4">
        <v>2919531361.8587661</v>
      </c>
      <c r="L334">
        <f t="shared" si="8"/>
        <v>0</v>
      </c>
    </row>
    <row r="335" spans="10:12" x14ac:dyDescent="0.2">
      <c r="J335">
        <v>324</v>
      </c>
      <c r="K335" s="4">
        <v>3011223039.7147937</v>
      </c>
      <c r="L335">
        <f t="shared" si="8"/>
        <v>0</v>
      </c>
    </row>
    <row r="336" spans="10:12" x14ac:dyDescent="0.2">
      <c r="J336">
        <v>325</v>
      </c>
      <c r="K336" s="4">
        <v>2986018231.3841581</v>
      </c>
      <c r="L336">
        <f t="shared" si="8"/>
        <v>0</v>
      </c>
    </row>
    <row r="337" spans="10:12" x14ac:dyDescent="0.2">
      <c r="J337">
        <v>326</v>
      </c>
      <c r="K337" s="4">
        <v>2983267809.6763606</v>
      </c>
      <c r="L337">
        <f t="shared" si="8"/>
        <v>0</v>
      </c>
    </row>
    <row r="338" spans="10:12" x14ac:dyDescent="0.2">
      <c r="J338">
        <v>327</v>
      </c>
      <c r="K338" s="4">
        <v>3084353370.5336676</v>
      </c>
      <c r="L338">
        <f t="shared" si="8"/>
        <v>0</v>
      </c>
    </row>
    <row r="339" spans="10:12" x14ac:dyDescent="0.2">
      <c r="J339">
        <v>328</v>
      </c>
      <c r="K339" s="4">
        <v>2896696100.6742702</v>
      </c>
      <c r="L339">
        <f t="shared" si="8"/>
        <v>0</v>
      </c>
    </row>
    <row r="340" spans="10:12" x14ac:dyDescent="0.2">
      <c r="J340">
        <v>329</v>
      </c>
      <c r="K340" s="4">
        <v>2846736587.646728</v>
      </c>
      <c r="L340">
        <f t="shared" si="8"/>
        <v>0</v>
      </c>
    </row>
    <row r="341" spans="10:12" x14ac:dyDescent="0.2">
      <c r="J341">
        <v>330</v>
      </c>
      <c r="K341" s="4">
        <v>3033255630.1982226</v>
      </c>
      <c r="L341">
        <f t="shared" si="8"/>
        <v>0</v>
      </c>
    </row>
    <row r="342" spans="10:12" x14ac:dyDescent="0.2">
      <c r="J342">
        <v>331</v>
      </c>
      <c r="K342" s="4">
        <v>2935097860.1661754</v>
      </c>
      <c r="L342">
        <f t="shared" si="8"/>
        <v>0</v>
      </c>
    </row>
    <row r="343" spans="10:12" x14ac:dyDescent="0.2">
      <c r="J343">
        <v>332</v>
      </c>
      <c r="K343" s="4">
        <v>2920808496.4489813</v>
      </c>
      <c r="L343">
        <f t="shared" si="8"/>
        <v>0</v>
      </c>
    </row>
    <row r="344" spans="10:12" x14ac:dyDescent="0.2">
      <c r="J344">
        <v>333</v>
      </c>
      <c r="K344" s="4">
        <v>3162423717.2802529</v>
      </c>
      <c r="L344">
        <f t="shared" si="8"/>
        <v>0</v>
      </c>
    </row>
    <row r="345" spans="10:12" x14ac:dyDescent="0.2">
      <c r="J345">
        <v>334</v>
      </c>
      <c r="K345" s="4">
        <v>2838474851.6962852</v>
      </c>
      <c r="L345">
        <f t="shared" si="8"/>
        <v>0</v>
      </c>
    </row>
    <row r="346" spans="10:12" x14ac:dyDescent="0.2">
      <c r="J346">
        <v>335</v>
      </c>
      <c r="K346" s="4">
        <v>2991612484.0211058</v>
      </c>
      <c r="L346">
        <f t="shared" si="8"/>
        <v>0</v>
      </c>
    </row>
    <row r="347" spans="10:12" x14ac:dyDescent="0.2">
      <c r="J347">
        <v>336</v>
      </c>
      <c r="K347" s="4">
        <v>2857763183.8110881</v>
      </c>
      <c r="L347">
        <f t="shared" si="8"/>
        <v>0</v>
      </c>
    </row>
    <row r="348" spans="10:12" x14ac:dyDescent="0.2">
      <c r="J348">
        <v>337</v>
      </c>
      <c r="K348" s="4">
        <v>2949419628.0802822</v>
      </c>
      <c r="L348">
        <f t="shared" si="8"/>
        <v>0</v>
      </c>
    </row>
    <row r="349" spans="10:12" x14ac:dyDescent="0.2">
      <c r="J349">
        <v>338</v>
      </c>
      <c r="K349" s="4">
        <v>3188669814.0395131</v>
      </c>
      <c r="L349">
        <f t="shared" si="8"/>
        <v>0</v>
      </c>
    </row>
    <row r="350" spans="10:12" x14ac:dyDescent="0.2">
      <c r="J350">
        <v>339</v>
      </c>
      <c r="K350" s="4">
        <v>2912967503.1032457</v>
      </c>
      <c r="L350">
        <f t="shared" si="8"/>
        <v>0</v>
      </c>
    </row>
    <row r="351" spans="10:12" x14ac:dyDescent="0.2">
      <c r="J351">
        <v>340</v>
      </c>
      <c r="K351" s="4">
        <v>3042030264.8441505</v>
      </c>
      <c r="L351">
        <f t="shared" si="8"/>
        <v>0</v>
      </c>
    </row>
    <row r="352" spans="10:12" x14ac:dyDescent="0.2">
      <c r="J352">
        <v>341</v>
      </c>
      <c r="K352" s="4">
        <v>3067045092.4507871</v>
      </c>
      <c r="L352">
        <f t="shared" si="8"/>
        <v>0</v>
      </c>
    </row>
    <row r="353" spans="10:12" x14ac:dyDescent="0.2">
      <c r="J353">
        <v>342</v>
      </c>
      <c r="K353" s="4">
        <v>3058482303.3617458</v>
      </c>
      <c r="L353">
        <f t="shared" si="8"/>
        <v>0</v>
      </c>
    </row>
    <row r="354" spans="10:12" x14ac:dyDescent="0.2">
      <c r="J354">
        <v>343</v>
      </c>
      <c r="K354" s="4">
        <v>3190332335.4969959</v>
      </c>
      <c r="L354">
        <f t="shared" si="8"/>
        <v>0</v>
      </c>
    </row>
    <row r="355" spans="10:12" x14ac:dyDescent="0.2">
      <c r="J355">
        <v>344</v>
      </c>
      <c r="K355" s="4">
        <v>3104806169.9241195</v>
      </c>
      <c r="L355">
        <f t="shared" si="8"/>
        <v>0</v>
      </c>
    </row>
    <row r="356" spans="10:12" x14ac:dyDescent="0.2">
      <c r="J356">
        <v>345</v>
      </c>
      <c r="K356" s="4">
        <v>2995406012.4935241</v>
      </c>
      <c r="L356">
        <f t="shared" si="8"/>
        <v>0</v>
      </c>
    </row>
    <row r="357" spans="10:12" x14ac:dyDescent="0.2">
      <c r="J357">
        <v>346</v>
      </c>
      <c r="K357" s="4">
        <v>2949518000.3973989</v>
      </c>
      <c r="L357">
        <f t="shared" si="8"/>
        <v>0</v>
      </c>
    </row>
    <row r="358" spans="10:12" x14ac:dyDescent="0.2">
      <c r="J358">
        <v>347</v>
      </c>
      <c r="K358" s="4">
        <v>2926593169.058135</v>
      </c>
      <c r="L358">
        <f t="shared" si="8"/>
        <v>0</v>
      </c>
    </row>
    <row r="359" spans="10:12" x14ac:dyDescent="0.2">
      <c r="J359">
        <v>348</v>
      </c>
      <c r="K359" s="4">
        <v>3097799897.2365594</v>
      </c>
      <c r="L359">
        <f t="shared" si="8"/>
        <v>0</v>
      </c>
    </row>
    <row r="360" spans="10:12" x14ac:dyDescent="0.2">
      <c r="J360">
        <v>349</v>
      </c>
      <c r="K360" s="4">
        <v>2952778623.0780649</v>
      </c>
      <c r="L360">
        <f t="shared" si="8"/>
        <v>0</v>
      </c>
    </row>
    <row r="361" spans="10:12" x14ac:dyDescent="0.2">
      <c r="J361">
        <v>350</v>
      </c>
      <c r="K361" s="4">
        <v>2811615438.6438637</v>
      </c>
      <c r="L361">
        <f t="shared" si="8"/>
        <v>0</v>
      </c>
    </row>
    <row r="362" spans="10:12" x14ac:dyDescent="0.2">
      <c r="J362">
        <v>351</v>
      </c>
      <c r="K362" s="4">
        <v>3061521181.0804029</v>
      </c>
      <c r="L362">
        <f t="shared" si="8"/>
        <v>0</v>
      </c>
    </row>
    <row r="363" spans="10:12" x14ac:dyDescent="0.2">
      <c r="J363">
        <v>352</v>
      </c>
      <c r="K363" s="4">
        <v>2978569671.7914515</v>
      </c>
      <c r="L363">
        <f t="shared" si="8"/>
        <v>0</v>
      </c>
    </row>
    <row r="364" spans="10:12" x14ac:dyDescent="0.2">
      <c r="J364">
        <v>353</v>
      </c>
      <c r="K364" s="4">
        <v>2771749841.8269691</v>
      </c>
      <c r="L364">
        <f t="shared" si="8"/>
        <v>0</v>
      </c>
    </row>
    <row r="365" spans="10:12" x14ac:dyDescent="0.2">
      <c r="J365">
        <v>354</v>
      </c>
      <c r="K365" s="4">
        <v>2862052961.1586699</v>
      </c>
      <c r="L365">
        <f t="shared" si="8"/>
        <v>0</v>
      </c>
    </row>
    <row r="366" spans="10:12" x14ac:dyDescent="0.2">
      <c r="J366">
        <v>355</v>
      </c>
      <c r="K366" s="4">
        <v>3017085959.238627</v>
      </c>
      <c r="L366">
        <f t="shared" si="8"/>
        <v>0</v>
      </c>
    </row>
    <row r="367" spans="10:12" x14ac:dyDescent="0.2">
      <c r="J367">
        <v>356</v>
      </c>
      <c r="K367" s="4">
        <v>2909684284.3526568</v>
      </c>
      <c r="L367">
        <f t="shared" si="8"/>
        <v>0</v>
      </c>
    </row>
    <row r="368" spans="10:12" x14ac:dyDescent="0.2">
      <c r="J368">
        <v>357</v>
      </c>
      <c r="K368" s="4">
        <v>3079252224.0915599</v>
      </c>
      <c r="L368">
        <f t="shared" si="8"/>
        <v>0</v>
      </c>
    </row>
    <row r="369" spans="10:12" x14ac:dyDescent="0.2">
      <c r="J369">
        <v>358</v>
      </c>
      <c r="K369" s="4">
        <v>2983717376.222743</v>
      </c>
      <c r="L369">
        <f t="shared" si="8"/>
        <v>0</v>
      </c>
    </row>
    <row r="370" spans="10:12" x14ac:dyDescent="0.2">
      <c r="J370">
        <v>359</v>
      </c>
      <c r="K370" s="4">
        <v>3273108355.5509615</v>
      </c>
      <c r="L370">
        <f t="shared" si="8"/>
        <v>0</v>
      </c>
    </row>
    <row r="371" spans="10:12" x14ac:dyDescent="0.2">
      <c r="J371">
        <v>360</v>
      </c>
      <c r="K371" s="4">
        <v>2990466930.770432</v>
      </c>
      <c r="L371">
        <f t="shared" si="8"/>
        <v>0</v>
      </c>
    </row>
    <row r="372" spans="10:12" x14ac:dyDescent="0.2">
      <c r="J372">
        <v>361</v>
      </c>
      <c r="K372" s="4">
        <v>2937260060.5123816</v>
      </c>
      <c r="L372">
        <f t="shared" si="8"/>
        <v>0</v>
      </c>
    </row>
    <row r="373" spans="10:12" x14ac:dyDescent="0.2">
      <c r="J373">
        <v>362</v>
      </c>
      <c r="K373" s="4">
        <v>2888014095.8104091</v>
      </c>
      <c r="L373">
        <f t="shared" si="8"/>
        <v>0</v>
      </c>
    </row>
    <row r="374" spans="10:12" x14ac:dyDescent="0.2">
      <c r="J374">
        <v>363</v>
      </c>
      <c r="K374" s="4">
        <v>3201780804.3821936</v>
      </c>
      <c r="L374">
        <f t="shared" si="8"/>
        <v>0</v>
      </c>
    </row>
    <row r="375" spans="10:12" x14ac:dyDescent="0.2">
      <c r="J375">
        <v>364</v>
      </c>
      <c r="K375" s="4">
        <v>2842248626.8379836</v>
      </c>
      <c r="L375">
        <f t="shared" si="8"/>
        <v>0</v>
      </c>
    </row>
    <row r="376" spans="10:12" x14ac:dyDescent="0.2">
      <c r="J376">
        <v>365</v>
      </c>
      <c r="K376" s="4">
        <v>3037809813.3831429</v>
      </c>
      <c r="L376">
        <f t="shared" si="8"/>
        <v>0</v>
      </c>
    </row>
    <row r="377" spans="10:12" x14ac:dyDescent="0.2">
      <c r="J377">
        <v>366</v>
      </c>
      <c r="K377" s="4">
        <v>3178733313.4814706</v>
      </c>
      <c r="L377">
        <f t="shared" si="8"/>
        <v>0</v>
      </c>
    </row>
    <row r="378" spans="10:12" x14ac:dyDescent="0.2">
      <c r="J378">
        <v>367</v>
      </c>
      <c r="K378" s="4">
        <v>3089213409.9702382</v>
      </c>
      <c r="L378">
        <f t="shared" si="8"/>
        <v>0</v>
      </c>
    </row>
    <row r="379" spans="10:12" x14ac:dyDescent="0.2">
      <c r="J379">
        <v>368</v>
      </c>
      <c r="K379" s="4">
        <v>2699944091.3145385</v>
      </c>
      <c r="L379">
        <f t="shared" si="8"/>
        <v>0</v>
      </c>
    </row>
    <row r="380" spans="10:12" x14ac:dyDescent="0.2">
      <c r="J380">
        <v>369</v>
      </c>
      <c r="K380" s="4">
        <v>2719621306.3575063</v>
      </c>
      <c r="L380">
        <f t="shared" si="8"/>
        <v>0</v>
      </c>
    </row>
    <row r="381" spans="10:12" x14ac:dyDescent="0.2">
      <c r="J381">
        <v>370</v>
      </c>
      <c r="K381" s="4">
        <v>2978256430.653728</v>
      </c>
      <c r="L381">
        <f t="shared" si="8"/>
        <v>0</v>
      </c>
    </row>
    <row r="382" spans="10:12" x14ac:dyDescent="0.2">
      <c r="J382">
        <v>371</v>
      </c>
      <c r="K382" s="4">
        <v>2847440566.3542132</v>
      </c>
      <c r="L382">
        <f t="shared" si="8"/>
        <v>0</v>
      </c>
    </row>
    <row r="383" spans="10:12" x14ac:dyDescent="0.2">
      <c r="J383">
        <v>372</v>
      </c>
      <c r="K383" s="4">
        <v>2830505813.4179735</v>
      </c>
      <c r="L383">
        <f t="shared" si="8"/>
        <v>0</v>
      </c>
    </row>
    <row r="384" spans="10:12" x14ac:dyDescent="0.2">
      <c r="J384">
        <v>373</v>
      </c>
      <c r="K384" s="4">
        <v>3059111100.5277972</v>
      </c>
      <c r="L384">
        <f t="shared" si="8"/>
        <v>0</v>
      </c>
    </row>
    <row r="385" spans="10:12" x14ac:dyDescent="0.2">
      <c r="J385">
        <v>374</v>
      </c>
      <c r="K385" s="4">
        <v>3064178482.8674002</v>
      </c>
      <c r="L385">
        <f t="shared" si="8"/>
        <v>0</v>
      </c>
    </row>
    <row r="386" spans="10:12" x14ac:dyDescent="0.2">
      <c r="J386">
        <v>375</v>
      </c>
      <c r="K386" s="4">
        <v>2908890779.3219442</v>
      </c>
      <c r="L386">
        <f t="shared" si="8"/>
        <v>0</v>
      </c>
    </row>
    <row r="387" spans="10:12" x14ac:dyDescent="0.2">
      <c r="J387">
        <v>376</v>
      </c>
      <c r="K387" s="4">
        <v>3074228030.4544997</v>
      </c>
      <c r="L387">
        <f t="shared" si="8"/>
        <v>0</v>
      </c>
    </row>
    <row r="388" spans="10:12" x14ac:dyDescent="0.2">
      <c r="J388">
        <v>377</v>
      </c>
      <c r="K388" s="4">
        <v>2754217927.4601374</v>
      </c>
      <c r="L388">
        <f t="shared" si="8"/>
        <v>0</v>
      </c>
    </row>
    <row r="389" spans="10:12" x14ac:dyDescent="0.2">
      <c r="J389">
        <v>378</v>
      </c>
      <c r="K389" s="4">
        <v>2947422573.9432578</v>
      </c>
      <c r="L389">
        <f t="shared" si="8"/>
        <v>0</v>
      </c>
    </row>
    <row r="390" spans="10:12" x14ac:dyDescent="0.2">
      <c r="J390">
        <v>379</v>
      </c>
      <c r="K390" s="4">
        <v>3049366500.5556278</v>
      </c>
      <c r="L390">
        <f t="shared" si="8"/>
        <v>0</v>
      </c>
    </row>
    <row r="391" spans="10:12" x14ac:dyDescent="0.2">
      <c r="J391">
        <v>380</v>
      </c>
      <c r="K391" s="4">
        <v>2763362947.6694694</v>
      </c>
      <c r="L391">
        <f t="shared" si="8"/>
        <v>0</v>
      </c>
    </row>
    <row r="392" spans="10:12" x14ac:dyDescent="0.2">
      <c r="J392">
        <v>381</v>
      </c>
      <c r="K392" s="4">
        <v>3127819852.5496531</v>
      </c>
      <c r="L392">
        <f t="shared" si="8"/>
        <v>0</v>
      </c>
    </row>
    <row r="393" spans="10:12" x14ac:dyDescent="0.2">
      <c r="J393">
        <v>382</v>
      </c>
      <c r="K393" s="4">
        <v>3029463530.3847666</v>
      </c>
      <c r="L393">
        <f t="shared" si="8"/>
        <v>0</v>
      </c>
    </row>
    <row r="394" spans="10:12" x14ac:dyDescent="0.2">
      <c r="J394">
        <v>383</v>
      </c>
      <c r="K394" s="4">
        <v>3077063318.4221802</v>
      </c>
      <c r="L394">
        <f t="shared" si="8"/>
        <v>0</v>
      </c>
    </row>
    <row r="395" spans="10:12" x14ac:dyDescent="0.2">
      <c r="J395">
        <v>384</v>
      </c>
      <c r="K395" s="4">
        <v>3097057798.1189809</v>
      </c>
      <c r="L395">
        <f t="shared" si="8"/>
        <v>0</v>
      </c>
    </row>
    <row r="396" spans="10:12" x14ac:dyDescent="0.2">
      <c r="J396">
        <v>385</v>
      </c>
      <c r="K396" s="4">
        <v>2929451882.520299</v>
      </c>
      <c r="L396">
        <f t="shared" si="8"/>
        <v>0</v>
      </c>
    </row>
    <row r="397" spans="10:12" x14ac:dyDescent="0.2">
      <c r="J397">
        <v>386</v>
      </c>
      <c r="K397" s="4">
        <v>2914555396.6977592</v>
      </c>
      <c r="L397">
        <f t="shared" ref="L397:L460" si="9">IF(K397&lt;1700000000,1,0)</f>
        <v>0</v>
      </c>
    </row>
    <row r="398" spans="10:12" x14ac:dyDescent="0.2">
      <c r="J398">
        <v>387</v>
      </c>
      <c r="K398" s="4">
        <v>3106245262.7114506</v>
      </c>
      <c r="L398">
        <f t="shared" si="9"/>
        <v>0</v>
      </c>
    </row>
    <row r="399" spans="10:12" x14ac:dyDescent="0.2">
      <c r="J399">
        <v>388</v>
      </c>
      <c r="K399" s="4">
        <v>2943367857.8760061</v>
      </c>
      <c r="L399">
        <f t="shared" si="9"/>
        <v>0</v>
      </c>
    </row>
    <row r="400" spans="10:12" x14ac:dyDescent="0.2">
      <c r="J400">
        <v>389</v>
      </c>
      <c r="K400" s="4">
        <v>3054964951.0952959</v>
      </c>
      <c r="L400">
        <f t="shared" si="9"/>
        <v>0</v>
      </c>
    </row>
    <row r="401" spans="10:12" x14ac:dyDescent="0.2">
      <c r="J401">
        <v>390</v>
      </c>
      <c r="K401" s="4">
        <v>2930501444.8661232</v>
      </c>
      <c r="L401">
        <f t="shared" si="9"/>
        <v>0</v>
      </c>
    </row>
    <row r="402" spans="10:12" x14ac:dyDescent="0.2">
      <c r="J402">
        <v>391</v>
      </c>
      <c r="K402" s="4">
        <v>2827153076.3411098</v>
      </c>
      <c r="L402">
        <f t="shared" si="9"/>
        <v>0</v>
      </c>
    </row>
    <row r="403" spans="10:12" x14ac:dyDescent="0.2">
      <c r="J403">
        <v>392</v>
      </c>
      <c r="K403" s="4">
        <v>2732002026.2915053</v>
      </c>
      <c r="L403">
        <f t="shared" si="9"/>
        <v>0</v>
      </c>
    </row>
    <row r="404" spans="10:12" x14ac:dyDescent="0.2">
      <c r="J404">
        <v>393</v>
      </c>
      <c r="K404" s="4">
        <v>3061165432.1145248</v>
      </c>
      <c r="L404">
        <f t="shared" si="9"/>
        <v>0</v>
      </c>
    </row>
    <row r="405" spans="10:12" x14ac:dyDescent="0.2">
      <c r="J405">
        <v>394</v>
      </c>
      <c r="K405" s="4">
        <v>2926595353.3086057</v>
      </c>
      <c r="L405">
        <f t="shared" si="9"/>
        <v>0</v>
      </c>
    </row>
    <row r="406" spans="10:12" x14ac:dyDescent="0.2">
      <c r="J406">
        <v>395</v>
      </c>
      <c r="K406" s="4">
        <v>2902817163.1871815</v>
      </c>
      <c r="L406">
        <f t="shared" si="9"/>
        <v>0</v>
      </c>
    </row>
    <row r="407" spans="10:12" x14ac:dyDescent="0.2">
      <c r="J407">
        <v>396</v>
      </c>
      <c r="K407" s="4">
        <v>2941111511.286375</v>
      </c>
      <c r="L407">
        <f t="shared" si="9"/>
        <v>0</v>
      </c>
    </row>
    <row r="408" spans="10:12" x14ac:dyDescent="0.2">
      <c r="J408">
        <v>397</v>
      </c>
      <c r="K408" s="4">
        <v>2922856760.1915302</v>
      </c>
      <c r="L408">
        <f t="shared" si="9"/>
        <v>0</v>
      </c>
    </row>
    <row r="409" spans="10:12" x14ac:dyDescent="0.2">
      <c r="J409">
        <v>398</v>
      </c>
      <c r="K409" s="4">
        <v>2943466646.8457112</v>
      </c>
      <c r="L409">
        <f t="shared" si="9"/>
        <v>0</v>
      </c>
    </row>
    <row r="410" spans="10:12" x14ac:dyDescent="0.2">
      <c r="J410">
        <v>399</v>
      </c>
      <c r="K410" s="4">
        <v>3056870257.1604052</v>
      </c>
      <c r="L410">
        <f t="shared" si="9"/>
        <v>0</v>
      </c>
    </row>
    <row r="411" spans="10:12" x14ac:dyDescent="0.2">
      <c r="J411">
        <v>400</v>
      </c>
      <c r="K411" s="4">
        <v>2875870925.6539545</v>
      </c>
      <c r="L411">
        <f t="shared" si="9"/>
        <v>0</v>
      </c>
    </row>
    <row r="412" spans="10:12" x14ac:dyDescent="0.2">
      <c r="J412">
        <v>401</v>
      </c>
      <c r="K412" s="4">
        <v>2877045950.6095548</v>
      </c>
      <c r="L412">
        <f t="shared" si="9"/>
        <v>0</v>
      </c>
    </row>
    <row r="413" spans="10:12" x14ac:dyDescent="0.2">
      <c r="J413">
        <v>402</v>
      </c>
      <c r="K413" s="4">
        <v>3020981480.0575204</v>
      </c>
      <c r="L413">
        <f t="shared" si="9"/>
        <v>0</v>
      </c>
    </row>
    <row r="414" spans="10:12" x14ac:dyDescent="0.2">
      <c r="J414">
        <v>403</v>
      </c>
      <c r="K414" s="4">
        <v>3115300032.6002302</v>
      </c>
      <c r="L414">
        <f t="shared" si="9"/>
        <v>0</v>
      </c>
    </row>
    <row r="415" spans="10:12" x14ac:dyDescent="0.2">
      <c r="J415">
        <v>404</v>
      </c>
      <c r="K415" s="4">
        <v>2753991805.2645149</v>
      </c>
      <c r="L415">
        <f t="shared" si="9"/>
        <v>0</v>
      </c>
    </row>
    <row r="416" spans="10:12" x14ac:dyDescent="0.2">
      <c r="J416">
        <v>405</v>
      </c>
      <c r="K416" s="4">
        <v>3070268880.7785268</v>
      </c>
      <c r="L416">
        <f t="shared" si="9"/>
        <v>0</v>
      </c>
    </row>
    <row r="417" spans="10:12" x14ac:dyDescent="0.2">
      <c r="J417">
        <v>406</v>
      </c>
      <c r="K417" s="4">
        <v>2924978932.5857029</v>
      </c>
      <c r="L417">
        <f t="shared" si="9"/>
        <v>0</v>
      </c>
    </row>
    <row r="418" spans="10:12" x14ac:dyDescent="0.2">
      <c r="J418">
        <v>407</v>
      </c>
      <c r="K418" s="4">
        <v>2955695121.8193512</v>
      </c>
      <c r="L418">
        <f t="shared" si="9"/>
        <v>0</v>
      </c>
    </row>
    <row r="419" spans="10:12" x14ac:dyDescent="0.2">
      <c r="J419">
        <v>408</v>
      </c>
      <c r="K419" s="4">
        <v>2893109003.0557165</v>
      </c>
      <c r="L419">
        <f t="shared" si="9"/>
        <v>0</v>
      </c>
    </row>
    <row r="420" spans="10:12" x14ac:dyDescent="0.2">
      <c r="J420">
        <v>409</v>
      </c>
      <c r="K420" s="4">
        <v>2897734073.5050173</v>
      </c>
      <c r="L420">
        <f t="shared" si="9"/>
        <v>0</v>
      </c>
    </row>
    <row r="421" spans="10:12" x14ac:dyDescent="0.2">
      <c r="J421">
        <v>410</v>
      </c>
      <c r="K421" s="4">
        <v>2938016830.2829413</v>
      </c>
      <c r="L421">
        <f t="shared" si="9"/>
        <v>0</v>
      </c>
    </row>
    <row r="422" spans="10:12" x14ac:dyDescent="0.2">
      <c r="J422">
        <v>411</v>
      </c>
      <c r="K422" s="4">
        <v>3036715701.1017799</v>
      </c>
      <c r="L422">
        <f t="shared" si="9"/>
        <v>0</v>
      </c>
    </row>
    <row r="423" spans="10:12" x14ac:dyDescent="0.2">
      <c r="J423">
        <v>412</v>
      </c>
      <c r="K423" s="4">
        <v>2948722403.7363782</v>
      </c>
      <c r="L423">
        <f t="shared" si="9"/>
        <v>0</v>
      </c>
    </row>
    <row r="424" spans="10:12" x14ac:dyDescent="0.2">
      <c r="J424">
        <v>413</v>
      </c>
      <c r="K424" s="4">
        <v>2741686181.6331792</v>
      </c>
      <c r="L424">
        <f t="shared" si="9"/>
        <v>0</v>
      </c>
    </row>
    <row r="425" spans="10:12" x14ac:dyDescent="0.2">
      <c r="J425">
        <v>414</v>
      </c>
      <c r="K425" s="4">
        <v>3089155307.1223722</v>
      </c>
      <c r="L425">
        <f t="shared" si="9"/>
        <v>0</v>
      </c>
    </row>
    <row r="426" spans="10:12" x14ac:dyDescent="0.2">
      <c r="J426">
        <v>415</v>
      </c>
      <c r="K426" s="4">
        <v>3064295442.8159375</v>
      </c>
      <c r="L426">
        <f t="shared" si="9"/>
        <v>0</v>
      </c>
    </row>
    <row r="427" spans="10:12" x14ac:dyDescent="0.2">
      <c r="J427">
        <v>416</v>
      </c>
      <c r="K427" s="4">
        <v>2539173756.0435171</v>
      </c>
      <c r="L427">
        <f t="shared" si="9"/>
        <v>0</v>
      </c>
    </row>
    <row r="428" spans="10:12" x14ac:dyDescent="0.2">
      <c r="J428">
        <v>417</v>
      </c>
      <c r="K428" s="4">
        <v>3031978315.7157512</v>
      </c>
      <c r="L428">
        <f t="shared" si="9"/>
        <v>0</v>
      </c>
    </row>
    <row r="429" spans="10:12" x14ac:dyDescent="0.2">
      <c r="J429">
        <v>418</v>
      </c>
      <c r="K429" s="4">
        <v>2947026633.2663965</v>
      </c>
      <c r="L429">
        <f t="shared" si="9"/>
        <v>0</v>
      </c>
    </row>
    <row r="430" spans="10:12" x14ac:dyDescent="0.2">
      <c r="J430">
        <v>419</v>
      </c>
      <c r="K430" s="4">
        <v>3004648896.4986873</v>
      </c>
      <c r="L430">
        <f t="shared" si="9"/>
        <v>0</v>
      </c>
    </row>
    <row r="431" spans="10:12" x14ac:dyDescent="0.2">
      <c r="J431">
        <v>420</v>
      </c>
      <c r="K431" s="4">
        <v>3101226284.5288396</v>
      </c>
      <c r="L431">
        <f t="shared" si="9"/>
        <v>0</v>
      </c>
    </row>
    <row r="432" spans="10:12" x14ac:dyDescent="0.2">
      <c r="J432">
        <v>421</v>
      </c>
      <c r="K432" s="4">
        <v>3015156402.0877404</v>
      </c>
      <c r="L432">
        <f t="shared" si="9"/>
        <v>0</v>
      </c>
    </row>
    <row r="433" spans="10:12" x14ac:dyDescent="0.2">
      <c r="J433">
        <v>422</v>
      </c>
      <c r="K433" s="4">
        <v>2960111038.104032</v>
      </c>
      <c r="L433">
        <f t="shared" si="9"/>
        <v>0</v>
      </c>
    </row>
    <row r="434" spans="10:12" x14ac:dyDescent="0.2">
      <c r="J434">
        <v>423</v>
      </c>
      <c r="K434" s="4">
        <v>2949306579.6651835</v>
      </c>
      <c r="L434">
        <f t="shared" si="9"/>
        <v>0</v>
      </c>
    </row>
    <row r="435" spans="10:12" x14ac:dyDescent="0.2">
      <c r="J435">
        <v>424</v>
      </c>
      <c r="K435" s="4">
        <v>2844476140.2344999</v>
      </c>
      <c r="L435">
        <f t="shared" si="9"/>
        <v>0</v>
      </c>
    </row>
    <row r="436" spans="10:12" x14ac:dyDescent="0.2">
      <c r="J436">
        <v>425</v>
      </c>
      <c r="K436" s="4">
        <v>2814658514.1552763</v>
      </c>
      <c r="L436">
        <f t="shared" si="9"/>
        <v>0</v>
      </c>
    </row>
    <row r="437" spans="10:12" x14ac:dyDescent="0.2">
      <c r="J437">
        <v>426</v>
      </c>
      <c r="K437" s="4">
        <v>2973610737.9571147</v>
      </c>
      <c r="L437">
        <f t="shared" si="9"/>
        <v>0</v>
      </c>
    </row>
    <row r="438" spans="10:12" x14ac:dyDescent="0.2">
      <c r="J438">
        <v>427</v>
      </c>
      <c r="K438" s="4">
        <v>2871961659.60955</v>
      </c>
      <c r="L438">
        <f t="shared" si="9"/>
        <v>0</v>
      </c>
    </row>
    <row r="439" spans="10:12" x14ac:dyDescent="0.2">
      <c r="J439">
        <v>428</v>
      </c>
      <c r="K439" s="4">
        <v>2920314602.9701118</v>
      </c>
      <c r="L439">
        <f t="shared" si="9"/>
        <v>0</v>
      </c>
    </row>
    <row r="440" spans="10:12" x14ac:dyDescent="0.2">
      <c r="J440">
        <v>429</v>
      </c>
      <c r="K440" s="4">
        <v>3108623605.2380376</v>
      </c>
      <c r="L440">
        <f t="shared" si="9"/>
        <v>0</v>
      </c>
    </row>
    <row r="441" spans="10:12" x14ac:dyDescent="0.2">
      <c r="J441">
        <v>430</v>
      </c>
      <c r="K441" s="4">
        <v>2758757627.098424</v>
      </c>
      <c r="L441">
        <f t="shared" si="9"/>
        <v>0</v>
      </c>
    </row>
    <row r="442" spans="10:12" x14ac:dyDescent="0.2">
      <c r="J442">
        <v>431</v>
      </c>
      <c r="K442" s="4">
        <v>2893959257.3623586</v>
      </c>
      <c r="L442">
        <f t="shared" si="9"/>
        <v>0</v>
      </c>
    </row>
    <row r="443" spans="10:12" x14ac:dyDescent="0.2">
      <c r="J443">
        <v>432</v>
      </c>
      <c r="K443" s="4">
        <v>2733650118.3351431</v>
      </c>
      <c r="L443">
        <f t="shared" si="9"/>
        <v>0</v>
      </c>
    </row>
    <row r="444" spans="10:12" x14ac:dyDescent="0.2">
      <c r="J444">
        <v>433</v>
      </c>
      <c r="K444" s="4">
        <v>2911485242.973877</v>
      </c>
      <c r="L444">
        <f t="shared" si="9"/>
        <v>0</v>
      </c>
    </row>
    <row r="445" spans="10:12" x14ac:dyDescent="0.2">
      <c r="J445">
        <v>434</v>
      </c>
      <c r="K445" s="4">
        <v>2885495483.4696436</v>
      </c>
      <c r="L445">
        <f t="shared" si="9"/>
        <v>0</v>
      </c>
    </row>
    <row r="446" spans="10:12" x14ac:dyDescent="0.2">
      <c r="J446">
        <v>435</v>
      </c>
      <c r="K446" s="4">
        <v>2874338685.2287292</v>
      </c>
      <c r="L446">
        <f t="shared" si="9"/>
        <v>0</v>
      </c>
    </row>
    <row r="447" spans="10:12" x14ac:dyDescent="0.2">
      <c r="J447">
        <v>436</v>
      </c>
      <c r="K447" s="4">
        <v>3113150912.4419956</v>
      </c>
      <c r="L447">
        <f t="shared" si="9"/>
        <v>0</v>
      </c>
    </row>
    <row r="448" spans="10:12" x14ac:dyDescent="0.2">
      <c r="J448">
        <v>437</v>
      </c>
      <c r="K448" s="4">
        <v>3025422120.702703</v>
      </c>
      <c r="L448">
        <f t="shared" si="9"/>
        <v>0</v>
      </c>
    </row>
    <row r="449" spans="10:12" x14ac:dyDescent="0.2">
      <c r="J449">
        <v>438</v>
      </c>
      <c r="K449" s="4">
        <v>2596553655.9016562</v>
      </c>
      <c r="L449">
        <f t="shared" si="9"/>
        <v>0</v>
      </c>
    </row>
    <row r="450" spans="10:12" x14ac:dyDescent="0.2">
      <c r="J450">
        <v>439</v>
      </c>
      <c r="K450" s="4">
        <v>2653289712.0253348</v>
      </c>
      <c r="L450">
        <f t="shared" si="9"/>
        <v>0</v>
      </c>
    </row>
    <row r="451" spans="10:12" x14ac:dyDescent="0.2">
      <c r="J451">
        <v>440</v>
      </c>
      <c r="K451" s="4">
        <v>3194404227.352087</v>
      </c>
      <c r="L451">
        <f t="shared" si="9"/>
        <v>0</v>
      </c>
    </row>
    <row r="452" spans="10:12" x14ac:dyDescent="0.2">
      <c r="J452">
        <v>441</v>
      </c>
      <c r="K452" s="4">
        <v>2983445572.550211</v>
      </c>
      <c r="L452">
        <f t="shared" si="9"/>
        <v>0</v>
      </c>
    </row>
    <row r="453" spans="10:12" x14ac:dyDescent="0.2">
      <c r="J453">
        <v>442</v>
      </c>
      <c r="K453" s="4">
        <v>3040612005.4534693</v>
      </c>
      <c r="L453">
        <f t="shared" si="9"/>
        <v>0</v>
      </c>
    </row>
    <row r="454" spans="10:12" x14ac:dyDescent="0.2">
      <c r="J454">
        <v>443</v>
      </c>
      <c r="K454" s="4">
        <v>2875188997.0826697</v>
      </c>
      <c r="L454">
        <f t="shared" si="9"/>
        <v>0</v>
      </c>
    </row>
    <row r="455" spans="10:12" x14ac:dyDescent="0.2">
      <c r="J455">
        <v>444</v>
      </c>
      <c r="K455" s="4">
        <v>2993739562.0354686</v>
      </c>
      <c r="L455">
        <f t="shared" si="9"/>
        <v>0</v>
      </c>
    </row>
    <row r="456" spans="10:12" x14ac:dyDescent="0.2">
      <c r="J456">
        <v>445</v>
      </c>
      <c r="K456" s="4">
        <v>2831526825.2290854</v>
      </c>
      <c r="L456">
        <f t="shared" si="9"/>
        <v>0</v>
      </c>
    </row>
    <row r="457" spans="10:12" x14ac:dyDescent="0.2">
      <c r="J457">
        <v>446</v>
      </c>
      <c r="K457" s="4">
        <v>3105097537.1162095</v>
      </c>
      <c r="L457">
        <f t="shared" si="9"/>
        <v>0</v>
      </c>
    </row>
    <row r="458" spans="10:12" x14ac:dyDescent="0.2">
      <c r="J458">
        <v>447</v>
      </c>
      <c r="K458" s="4">
        <v>3083592147.3477421</v>
      </c>
      <c r="L458">
        <f t="shared" si="9"/>
        <v>0</v>
      </c>
    </row>
    <row r="459" spans="10:12" x14ac:dyDescent="0.2">
      <c r="J459">
        <v>448</v>
      </c>
      <c r="K459" s="4">
        <v>3087568517.5764871</v>
      </c>
      <c r="L459">
        <f t="shared" si="9"/>
        <v>0</v>
      </c>
    </row>
    <row r="460" spans="10:12" x14ac:dyDescent="0.2">
      <c r="J460">
        <v>449</v>
      </c>
      <c r="K460" s="4">
        <v>2784515224.2434783</v>
      </c>
      <c r="L460">
        <f t="shared" si="9"/>
        <v>0</v>
      </c>
    </row>
    <row r="461" spans="10:12" x14ac:dyDescent="0.2">
      <c r="J461">
        <v>450</v>
      </c>
      <c r="K461" s="4">
        <v>2677077602.831214</v>
      </c>
      <c r="L461">
        <f t="shared" ref="L461:L524" si="10">IF(K461&lt;1700000000,1,0)</f>
        <v>0</v>
      </c>
    </row>
    <row r="462" spans="10:12" x14ac:dyDescent="0.2">
      <c r="J462">
        <v>451</v>
      </c>
      <c r="K462" s="4">
        <v>2939165331.9352279</v>
      </c>
      <c r="L462">
        <f t="shared" si="10"/>
        <v>0</v>
      </c>
    </row>
    <row r="463" spans="10:12" x14ac:dyDescent="0.2">
      <c r="J463">
        <v>452</v>
      </c>
      <c r="K463" s="4">
        <v>3046585086.770143</v>
      </c>
      <c r="L463">
        <f t="shared" si="10"/>
        <v>0</v>
      </c>
    </row>
    <row r="464" spans="10:12" x14ac:dyDescent="0.2">
      <c r="J464">
        <v>453</v>
      </c>
      <c r="K464" s="4">
        <v>3007188829.5318184</v>
      </c>
      <c r="L464">
        <f t="shared" si="10"/>
        <v>0</v>
      </c>
    </row>
    <row r="465" spans="10:12" x14ac:dyDescent="0.2">
      <c r="J465">
        <v>454</v>
      </c>
      <c r="K465" s="4">
        <v>2852798641.7865548</v>
      </c>
      <c r="L465">
        <f t="shared" si="10"/>
        <v>0</v>
      </c>
    </row>
    <row r="466" spans="10:12" x14ac:dyDescent="0.2">
      <c r="J466">
        <v>455</v>
      </c>
      <c r="K466" s="4">
        <v>2741348089.7205076</v>
      </c>
      <c r="L466">
        <f t="shared" si="10"/>
        <v>0</v>
      </c>
    </row>
    <row r="467" spans="10:12" x14ac:dyDescent="0.2">
      <c r="J467">
        <v>456</v>
      </c>
      <c r="K467" s="4">
        <v>2872651152.9863076</v>
      </c>
      <c r="L467">
        <f t="shared" si="10"/>
        <v>0</v>
      </c>
    </row>
    <row r="468" spans="10:12" x14ac:dyDescent="0.2">
      <c r="J468">
        <v>457</v>
      </c>
      <c r="K468" s="4">
        <v>3073176408.9419312</v>
      </c>
      <c r="L468">
        <f t="shared" si="10"/>
        <v>0</v>
      </c>
    </row>
    <row r="469" spans="10:12" x14ac:dyDescent="0.2">
      <c r="J469">
        <v>458</v>
      </c>
      <c r="K469" s="4">
        <v>2938968132.3477206</v>
      </c>
      <c r="L469">
        <f t="shared" si="10"/>
        <v>0</v>
      </c>
    </row>
    <row r="470" spans="10:12" x14ac:dyDescent="0.2">
      <c r="J470">
        <v>459</v>
      </c>
      <c r="K470" s="4">
        <v>2985521426.1772013</v>
      </c>
      <c r="L470">
        <f t="shared" si="10"/>
        <v>0</v>
      </c>
    </row>
    <row r="471" spans="10:12" x14ac:dyDescent="0.2">
      <c r="J471">
        <v>460</v>
      </c>
      <c r="K471" s="4">
        <v>2848969466.1267343</v>
      </c>
      <c r="L471">
        <f t="shared" si="10"/>
        <v>0</v>
      </c>
    </row>
    <row r="472" spans="10:12" x14ac:dyDescent="0.2">
      <c r="J472">
        <v>461</v>
      </c>
      <c r="K472" s="4">
        <v>2915619887.8855467</v>
      </c>
      <c r="L472">
        <f t="shared" si="10"/>
        <v>0</v>
      </c>
    </row>
    <row r="473" spans="10:12" x14ac:dyDescent="0.2">
      <c r="J473">
        <v>462</v>
      </c>
      <c r="K473" s="4">
        <v>2917393601.716527</v>
      </c>
      <c r="L473">
        <f t="shared" si="10"/>
        <v>0</v>
      </c>
    </row>
    <row r="474" spans="10:12" x14ac:dyDescent="0.2">
      <c r="J474">
        <v>463</v>
      </c>
      <c r="K474" s="4">
        <v>3093194897.9138041</v>
      </c>
      <c r="L474">
        <f t="shared" si="10"/>
        <v>0</v>
      </c>
    </row>
    <row r="475" spans="10:12" x14ac:dyDescent="0.2">
      <c r="J475">
        <v>464</v>
      </c>
      <c r="K475" s="4">
        <v>3186604501.4132242</v>
      </c>
      <c r="L475">
        <f t="shared" si="10"/>
        <v>0</v>
      </c>
    </row>
    <row r="476" spans="10:12" x14ac:dyDescent="0.2">
      <c r="J476">
        <v>465</v>
      </c>
      <c r="K476" s="4">
        <v>3076204930.3338046</v>
      </c>
      <c r="L476">
        <f t="shared" si="10"/>
        <v>0</v>
      </c>
    </row>
    <row r="477" spans="10:12" x14ac:dyDescent="0.2">
      <c r="J477">
        <v>466</v>
      </c>
      <c r="K477" s="4">
        <v>2991648401.0248098</v>
      </c>
      <c r="L477">
        <f t="shared" si="10"/>
        <v>0</v>
      </c>
    </row>
    <row r="478" spans="10:12" x14ac:dyDescent="0.2">
      <c r="J478">
        <v>467</v>
      </c>
      <c r="K478" s="4">
        <v>2932740725.1168971</v>
      </c>
      <c r="L478">
        <f t="shared" si="10"/>
        <v>0</v>
      </c>
    </row>
    <row r="479" spans="10:12" x14ac:dyDescent="0.2">
      <c r="J479">
        <v>468</v>
      </c>
      <c r="K479" s="4">
        <v>2962695702.4485884</v>
      </c>
      <c r="L479">
        <f t="shared" si="10"/>
        <v>0</v>
      </c>
    </row>
    <row r="480" spans="10:12" x14ac:dyDescent="0.2">
      <c r="J480">
        <v>469</v>
      </c>
      <c r="K480" s="4">
        <v>2774906301.851438</v>
      </c>
      <c r="L480">
        <f t="shared" si="10"/>
        <v>0</v>
      </c>
    </row>
    <row r="481" spans="10:12" x14ac:dyDescent="0.2">
      <c r="J481">
        <v>470</v>
      </c>
      <c r="K481" s="4">
        <v>2955370844.8452463</v>
      </c>
      <c r="L481">
        <f t="shared" si="10"/>
        <v>0</v>
      </c>
    </row>
    <row r="482" spans="10:12" x14ac:dyDescent="0.2">
      <c r="J482">
        <v>471</v>
      </c>
      <c r="K482" s="4">
        <v>2857746886.1201143</v>
      </c>
      <c r="L482">
        <f t="shared" si="10"/>
        <v>0</v>
      </c>
    </row>
    <row r="483" spans="10:12" x14ac:dyDescent="0.2">
      <c r="J483">
        <v>472</v>
      </c>
      <c r="K483" s="4">
        <v>2861110724.1897182</v>
      </c>
      <c r="L483">
        <f t="shared" si="10"/>
        <v>0</v>
      </c>
    </row>
    <row r="484" spans="10:12" x14ac:dyDescent="0.2">
      <c r="J484">
        <v>473</v>
      </c>
      <c r="K484" s="4">
        <v>2826445375.8689904</v>
      </c>
      <c r="L484">
        <f t="shared" si="10"/>
        <v>0</v>
      </c>
    </row>
    <row r="485" spans="10:12" x14ac:dyDescent="0.2">
      <c r="J485">
        <v>474</v>
      </c>
      <c r="K485" s="4">
        <v>3146205442.1718845</v>
      </c>
      <c r="L485">
        <f t="shared" si="10"/>
        <v>0</v>
      </c>
    </row>
    <row r="486" spans="10:12" x14ac:dyDescent="0.2">
      <c r="J486">
        <v>475</v>
      </c>
      <c r="K486" s="4">
        <v>2955494322.0183053</v>
      </c>
      <c r="L486">
        <f t="shared" si="10"/>
        <v>0</v>
      </c>
    </row>
    <row r="487" spans="10:12" x14ac:dyDescent="0.2">
      <c r="J487">
        <v>476</v>
      </c>
      <c r="K487" s="4">
        <v>3118933733.5221581</v>
      </c>
      <c r="L487">
        <f t="shared" si="10"/>
        <v>0</v>
      </c>
    </row>
    <row r="488" spans="10:12" x14ac:dyDescent="0.2">
      <c r="J488">
        <v>477</v>
      </c>
      <c r="K488" s="4">
        <v>2794053474.108674</v>
      </c>
      <c r="L488">
        <f t="shared" si="10"/>
        <v>0</v>
      </c>
    </row>
    <row r="489" spans="10:12" x14ac:dyDescent="0.2">
      <c r="J489">
        <v>478</v>
      </c>
      <c r="K489" s="4">
        <v>2845680033.6301279</v>
      </c>
      <c r="L489">
        <f t="shared" si="10"/>
        <v>0</v>
      </c>
    </row>
    <row r="490" spans="10:12" x14ac:dyDescent="0.2">
      <c r="J490">
        <v>479</v>
      </c>
      <c r="K490" s="4">
        <v>2856712191.3771486</v>
      </c>
      <c r="L490">
        <f t="shared" si="10"/>
        <v>0</v>
      </c>
    </row>
    <row r="491" spans="10:12" x14ac:dyDescent="0.2">
      <c r="J491">
        <v>480</v>
      </c>
      <c r="K491" s="4">
        <v>2948720079.0629482</v>
      </c>
      <c r="L491">
        <f t="shared" si="10"/>
        <v>0</v>
      </c>
    </row>
    <row r="492" spans="10:12" x14ac:dyDescent="0.2">
      <c r="J492">
        <v>481</v>
      </c>
      <c r="K492" s="4">
        <v>2930467762.907032</v>
      </c>
      <c r="L492">
        <f t="shared" si="10"/>
        <v>0</v>
      </c>
    </row>
    <row r="493" spans="10:12" x14ac:dyDescent="0.2">
      <c r="J493">
        <v>482</v>
      </c>
      <c r="K493" s="4">
        <v>2762551211.5774922</v>
      </c>
      <c r="L493">
        <f t="shared" si="10"/>
        <v>0</v>
      </c>
    </row>
    <row r="494" spans="10:12" x14ac:dyDescent="0.2">
      <c r="J494">
        <v>483</v>
      </c>
      <c r="K494" s="4">
        <v>3141574027.5195909</v>
      </c>
      <c r="L494">
        <f t="shared" si="10"/>
        <v>0</v>
      </c>
    </row>
    <row r="495" spans="10:12" x14ac:dyDescent="0.2">
      <c r="J495">
        <v>484</v>
      </c>
      <c r="K495" s="4">
        <v>3010731052.3435369</v>
      </c>
      <c r="L495">
        <f t="shared" si="10"/>
        <v>0</v>
      </c>
    </row>
    <row r="496" spans="10:12" x14ac:dyDescent="0.2">
      <c r="J496">
        <v>485</v>
      </c>
      <c r="K496" s="4">
        <v>2819722044.485724</v>
      </c>
      <c r="L496">
        <f t="shared" si="10"/>
        <v>0</v>
      </c>
    </row>
    <row r="497" spans="10:12" x14ac:dyDescent="0.2">
      <c r="J497">
        <v>486</v>
      </c>
      <c r="K497" s="4">
        <v>2924257051.2030592</v>
      </c>
      <c r="L497">
        <f t="shared" si="10"/>
        <v>0</v>
      </c>
    </row>
    <row r="498" spans="10:12" x14ac:dyDescent="0.2">
      <c r="J498">
        <v>487</v>
      </c>
      <c r="K498" s="4">
        <v>2857576420.8649683</v>
      </c>
      <c r="L498">
        <f t="shared" si="10"/>
        <v>0</v>
      </c>
    </row>
    <row r="499" spans="10:12" x14ac:dyDescent="0.2">
      <c r="J499">
        <v>488</v>
      </c>
      <c r="K499" s="4">
        <v>2875704355.9530449</v>
      </c>
      <c r="L499">
        <f t="shared" si="10"/>
        <v>0</v>
      </c>
    </row>
    <row r="500" spans="10:12" x14ac:dyDescent="0.2">
      <c r="J500">
        <v>489</v>
      </c>
      <c r="K500" s="4">
        <v>3001094790.0073323</v>
      </c>
      <c r="L500">
        <f t="shared" si="10"/>
        <v>0</v>
      </c>
    </row>
    <row r="501" spans="10:12" x14ac:dyDescent="0.2">
      <c r="J501">
        <v>490</v>
      </c>
      <c r="K501" s="4">
        <v>3003962633.9080353</v>
      </c>
      <c r="L501">
        <f t="shared" si="10"/>
        <v>0</v>
      </c>
    </row>
    <row r="502" spans="10:12" x14ac:dyDescent="0.2">
      <c r="J502">
        <v>491</v>
      </c>
      <c r="K502" s="4">
        <v>2946648810.6204991</v>
      </c>
      <c r="L502">
        <f t="shared" si="10"/>
        <v>0</v>
      </c>
    </row>
    <row r="503" spans="10:12" x14ac:dyDescent="0.2">
      <c r="J503">
        <v>492</v>
      </c>
      <c r="K503" s="4">
        <v>2861628456.867836</v>
      </c>
      <c r="L503">
        <f t="shared" si="10"/>
        <v>0</v>
      </c>
    </row>
    <row r="504" spans="10:12" x14ac:dyDescent="0.2">
      <c r="J504">
        <v>493</v>
      </c>
      <c r="K504" s="4">
        <v>2998647331.5727654</v>
      </c>
      <c r="L504">
        <f t="shared" si="10"/>
        <v>0</v>
      </c>
    </row>
    <row r="505" spans="10:12" x14ac:dyDescent="0.2">
      <c r="J505">
        <v>494</v>
      </c>
      <c r="K505" s="4">
        <v>2913108641.6871405</v>
      </c>
      <c r="L505">
        <f t="shared" si="10"/>
        <v>0</v>
      </c>
    </row>
    <row r="506" spans="10:12" x14ac:dyDescent="0.2">
      <c r="J506">
        <v>495</v>
      </c>
      <c r="K506" s="4">
        <v>3102094883.2994671</v>
      </c>
      <c r="L506">
        <f t="shared" si="10"/>
        <v>0</v>
      </c>
    </row>
    <row r="507" spans="10:12" x14ac:dyDescent="0.2">
      <c r="J507">
        <v>496</v>
      </c>
      <c r="K507" s="4">
        <v>2890745997.6332769</v>
      </c>
      <c r="L507">
        <f t="shared" si="10"/>
        <v>0</v>
      </c>
    </row>
    <row r="508" spans="10:12" x14ac:dyDescent="0.2">
      <c r="J508">
        <v>497</v>
      </c>
      <c r="K508" s="4">
        <v>3145409005.2774649</v>
      </c>
      <c r="L508">
        <f t="shared" si="10"/>
        <v>0</v>
      </c>
    </row>
    <row r="509" spans="10:12" x14ac:dyDescent="0.2">
      <c r="J509">
        <v>498</v>
      </c>
      <c r="K509" s="4">
        <v>2867731939.15588</v>
      </c>
      <c r="L509">
        <f t="shared" si="10"/>
        <v>0</v>
      </c>
    </row>
    <row r="510" spans="10:12" x14ac:dyDescent="0.2">
      <c r="J510">
        <v>499</v>
      </c>
      <c r="K510" s="4">
        <v>3004961021.1775713</v>
      </c>
      <c r="L510">
        <f t="shared" si="10"/>
        <v>0</v>
      </c>
    </row>
    <row r="511" spans="10:12" x14ac:dyDescent="0.2">
      <c r="J511">
        <v>500</v>
      </c>
      <c r="K511" s="4">
        <v>2936034541.9163103</v>
      </c>
      <c r="L511">
        <f t="shared" si="10"/>
        <v>0</v>
      </c>
    </row>
    <row r="512" spans="10:12" x14ac:dyDescent="0.2">
      <c r="J512">
        <v>501</v>
      </c>
      <c r="K512" s="4">
        <v>3046489760.8641233</v>
      </c>
      <c r="L512">
        <f t="shared" si="10"/>
        <v>0</v>
      </c>
    </row>
    <row r="513" spans="10:12" x14ac:dyDescent="0.2">
      <c r="J513">
        <v>502</v>
      </c>
      <c r="K513" s="4">
        <v>2873586064.8403769</v>
      </c>
      <c r="L513">
        <f t="shared" si="10"/>
        <v>0</v>
      </c>
    </row>
    <row r="514" spans="10:12" x14ac:dyDescent="0.2">
      <c r="J514">
        <v>503</v>
      </c>
      <c r="K514" s="4">
        <v>3060615225.0229764</v>
      </c>
      <c r="L514">
        <f t="shared" si="10"/>
        <v>0</v>
      </c>
    </row>
    <row r="515" spans="10:12" x14ac:dyDescent="0.2">
      <c r="J515">
        <v>504</v>
      </c>
      <c r="K515" s="4">
        <v>3030413041.6770644</v>
      </c>
      <c r="L515">
        <f t="shared" si="10"/>
        <v>0</v>
      </c>
    </row>
    <row r="516" spans="10:12" x14ac:dyDescent="0.2">
      <c r="J516">
        <v>505</v>
      </c>
      <c r="K516" s="4">
        <v>3122945614.8694382</v>
      </c>
      <c r="L516">
        <f t="shared" si="10"/>
        <v>0</v>
      </c>
    </row>
    <row r="517" spans="10:12" x14ac:dyDescent="0.2">
      <c r="J517">
        <v>506</v>
      </c>
      <c r="K517" s="4">
        <v>2747719353.5903063</v>
      </c>
      <c r="L517">
        <f t="shared" si="10"/>
        <v>0</v>
      </c>
    </row>
    <row r="518" spans="10:12" x14ac:dyDescent="0.2">
      <c r="J518">
        <v>507</v>
      </c>
      <c r="K518" s="4">
        <v>2661132178.0116091</v>
      </c>
      <c r="L518">
        <f t="shared" si="10"/>
        <v>0</v>
      </c>
    </row>
    <row r="519" spans="10:12" x14ac:dyDescent="0.2">
      <c r="J519">
        <v>508</v>
      </c>
      <c r="K519" s="4">
        <v>3015964567.8257236</v>
      </c>
      <c r="L519">
        <f t="shared" si="10"/>
        <v>0</v>
      </c>
    </row>
    <row r="520" spans="10:12" x14ac:dyDescent="0.2">
      <c r="J520">
        <v>509</v>
      </c>
      <c r="K520" s="4">
        <v>2860983408.9918785</v>
      </c>
      <c r="L520">
        <f t="shared" si="10"/>
        <v>0</v>
      </c>
    </row>
    <row r="521" spans="10:12" x14ac:dyDescent="0.2">
      <c r="J521">
        <v>510</v>
      </c>
      <c r="K521" s="4">
        <v>3300121752.1421275</v>
      </c>
      <c r="L521">
        <f t="shared" si="10"/>
        <v>0</v>
      </c>
    </row>
    <row r="522" spans="10:12" x14ac:dyDescent="0.2">
      <c r="J522">
        <v>511</v>
      </c>
      <c r="K522" s="4">
        <v>2802808582.4244223</v>
      </c>
      <c r="L522">
        <f t="shared" si="10"/>
        <v>0</v>
      </c>
    </row>
    <row r="523" spans="10:12" x14ac:dyDescent="0.2">
      <c r="J523">
        <v>512</v>
      </c>
      <c r="K523" s="4">
        <v>2996227605.1318998</v>
      </c>
      <c r="L523">
        <f t="shared" si="10"/>
        <v>0</v>
      </c>
    </row>
    <row r="524" spans="10:12" x14ac:dyDescent="0.2">
      <c r="J524">
        <v>513</v>
      </c>
      <c r="K524" s="4">
        <v>2712841337.2743649</v>
      </c>
      <c r="L524">
        <f t="shared" si="10"/>
        <v>0</v>
      </c>
    </row>
    <row r="525" spans="10:12" x14ac:dyDescent="0.2">
      <c r="J525">
        <v>514</v>
      </c>
      <c r="K525" s="4">
        <v>3115080615.0980296</v>
      </c>
      <c r="L525">
        <f t="shared" ref="L525:L588" si="11">IF(K525&lt;1700000000,1,0)</f>
        <v>0</v>
      </c>
    </row>
    <row r="526" spans="10:12" x14ac:dyDescent="0.2">
      <c r="J526">
        <v>515</v>
      </c>
      <c r="K526" s="4">
        <v>2886486281.4056845</v>
      </c>
      <c r="L526">
        <f t="shared" si="11"/>
        <v>0</v>
      </c>
    </row>
    <row r="527" spans="10:12" x14ac:dyDescent="0.2">
      <c r="J527">
        <v>516</v>
      </c>
      <c r="K527" s="4">
        <v>2803429982.505549</v>
      </c>
      <c r="L527">
        <f t="shared" si="11"/>
        <v>0</v>
      </c>
    </row>
    <row r="528" spans="10:12" x14ac:dyDescent="0.2">
      <c r="J528">
        <v>517</v>
      </c>
      <c r="K528" s="4">
        <v>2828966766.1382685</v>
      </c>
      <c r="L528">
        <f t="shared" si="11"/>
        <v>0</v>
      </c>
    </row>
    <row r="529" spans="10:12" x14ac:dyDescent="0.2">
      <c r="J529">
        <v>518</v>
      </c>
      <c r="K529" s="4">
        <v>3236167615.1106677</v>
      </c>
      <c r="L529">
        <f t="shared" si="11"/>
        <v>0</v>
      </c>
    </row>
    <row r="530" spans="10:12" x14ac:dyDescent="0.2">
      <c r="J530">
        <v>519</v>
      </c>
      <c r="K530" s="4">
        <v>2968788831.9771018</v>
      </c>
      <c r="L530">
        <f t="shared" si="11"/>
        <v>0</v>
      </c>
    </row>
    <row r="531" spans="10:12" x14ac:dyDescent="0.2">
      <c r="J531">
        <v>520</v>
      </c>
      <c r="K531" s="4">
        <v>3049003380.5601225</v>
      </c>
      <c r="L531">
        <f t="shared" si="11"/>
        <v>0</v>
      </c>
    </row>
    <row r="532" spans="10:12" x14ac:dyDescent="0.2">
      <c r="J532">
        <v>521</v>
      </c>
      <c r="K532" s="4">
        <v>2901236518.0476756</v>
      </c>
      <c r="L532">
        <f t="shared" si="11"/>
        <v>0</v>
      </c>
    </row>
    <row r="533" spans="10:12" x14ac:dyDescent="0.2">
      <c r="J533">
        <v>522</v>
      </c>
      <c r="K533" s="4">
        <v>2909247820.1177583</v>
      </c>
      <c r="L533">
        <f t="shared" si="11"/>
        <v>0</v>
      </c>
    </row>
    <row r="534" spans="10:12" x14ac:dyDescent="0.2">
      <c r="J534">
        <v>523</v>
      </c>
      <c r="K534" s="4">
        <v>3192890397.6801896</v>
      </c>
      <c r="L534">
        <f t="shared" si="11"/>
        <v>0</v>
      </c>
    </row>
    <row r="535" spans="10:12" x14ac:dyDescent="0.2">
      <c r="J535">
        <v>524</v>
      </c>
      <c r="K535" s="4">
        <v>2807927332.3235946</v>
      </c>
      <c r="L535">
        <f t="shared" si="11"/>
        <v>0</v>
      </c>
    </row>
    <row r="536" spans="10:12" x14ac:dyDescent="0.2">
      <c r="J536">
        <v>525</v>
      </c>
      <c r="K536" s="4">
        <v>2834036709.8582911</v>
      </c>
      <c r="L536">
        <f t="shared" si="11"/>
        <v>0</v>
      </c>
    </row>
    <row r="537" spans="10:12" x14ac:dyDescent="0.2">
      <c r="J537">
        <v>526</v>
      </c>
      <c r="K537" s="4">
        <v>2796702198.6405134</v>
      </c>
      <c r="L537">
        <f t="shared" si="11"/>
        <v>0</v>
      </c>
    </row>
    <row r="538" spans="10:12" x14ac:dyDescent="0.2">
      <c r="J538">
        <v>527</v>
      </c>
      <c r="K538" s="4">
        <v>3002136789.3907084</v>
      </c>
      <c r="L538">
        <f t="shared" si="11"/>
        <v>0</v>
      </c>
    </row>
    <row r="539" spans="10:12" x14ac:dyDescent="0.2">
      <c r="J539">
        <v>528</v>
      </c>
      <c r="K539" s="4">
        <v>2838695151.033401</v>
      </c>
      <c r="L539">
        <f t="shared" si="11"/>
        <v>0</v>
      </c>
    </row>
    <row r="540" spans="10:12" x14ac:dyDescent="0.2">
      <c r="J540">
        <v>529</v>
      </c>
      <c r="K540" s="4">
        <v>2844582990.1839705</v>
      </c>
      <c r="L540">
        <f t="shared" si="11"/>
        <v>0</v>
      </c>
    </row>
    <row r="541" spans="10:12" x14ac:dyDescent="0.2">
      <c r="J541">
        <v>530</v>
      </c>
      <c r="K541" s="4">
        <v>3101894778.3037238</v>
      </c>
      <c r="L541">
        <f t="shared" si="11"/>
        <v>0</v>
      </c>
    </row>
    <row r="542" spans="10:12" x14ac:dyDescent="0.2">
      <c r="J542">
        <v>531</v>
      </c>
      <c r="K542" s="4">
        <v>2866693738.2198625</v>
      </c>
      <c r="L542">
        <f t="shared" si="11"/>
        <v>0</v>
      </c>
    </row>
    <row r="543" spans="10:12" x14ac:dyDescent="0.2">
      <c r="J543">
        <v>532</v>
      </c>
      <c r="K543" s="4">
        <v>2799517136.9233422</v>
      </c>
      <c r="L543">
        <f t="shared" si="11"/>
        <v>0</v>
      </c>
    </row>
    <row r="544" spans="10:12" x14ac:dyDescent="0.2">
      <c r="J544">
        <v>533</v>
      </c>
      <c r="K544" s="4">
        <v>3050124892.15763</v>
      </c>
      <c r="L544">
        <f t="shared" si="11"/>
        <v>0</v>
      </c>
    </row>
    <row r="545" spans="10:12" x14ac:dyDescent="0.2">
      <c r="J545">
        <v>534</v>
      </c>
      <c r="K545" s="4">
        <v>3028052477.3125305</v>
      </c>
      <c r="L545">
        <f t="shared" si="11"/>
        <v>0</v>
      </c>
    </row>
    <row r="546" spans="10:12" x14ac:dyDescent="0.2">
      <c r="J546">
        <v>535</v>
      </c>
      <c r="K546" s="4">
        <v>2981136098.323266</v>
      </c>
      <c r="L546">
        <f t="shared" si="11"/>
        <v>0</v>
      </c>
    </row>
    <row r="547" spans="10:12" x14ac:dyDescent="0.2">
      <c r="J547">
        <v>536</v>
      </c>
      <c r="K547" s="4">
        <v>2861131952.6339998</v>
      </c>
      <c r="L547">
        <f t="shared" si="11"/>
        <v>0</v>
      </c>
    </row>
    <row r="548" spans="10:12" x14ac:dyDescent="0.2">
      <c r="J548">
        <v>537</v>
      </c>
      <c r="K548" s="4">
        <v>2934184726.3057847</v>
      </c>
      <c r="L548">
        <f t="shared" si="11"/>
        <v>0</v>
      </c>
    </row>
    <row r="549" spans="10:12" x14ac:dyDescent="0.2">
      <c r="J549">
        <v>538</v>
      </c>
      <c r="K549" s="4">
        <v>2996332221.5007081</v>
      </c>
      <c r="L549">
        <f t="shared" si="11"/>
        <v>0</v>
      </c>
    </row>
    <row r="550" spans="10:12" x14ac:dyDescent="0.2">
      <c r="J550">
        <v>539</v>
      </c>
      <c r="K550" s="4">
        <v>2715681262.1533728</v>
      </c>
      <c r="L550">
        <f t="shared" si="11"/>
        <v>0</v>
      </c>
    </row>
    <row r="551" spans="10:12" x14ac:dyDescent="0.2">
      <c r="J551">
        <v>540</v>
      </c>
      <c r="K551" s="4">
        <v>2974031194.0089278</v>
      </c>
      <c r="L551">
        <f t="shared" si="11"/>
        <v>0</v>
      </c>
    </row>
    <row r="552" spans="10:12" x14ac:dyDescent="0.2">
      <c r="J552">
        <v>541</v>
      </c>
      <c r="K552" s="4">
        <v>2885550227.3988242</v>
      </c>
      <c r="L552">
        <f t="shared" si="11"/>
        <v>0</v>
      </c>
    </row>
    <row r="553" spans="10:12" x14ac:dyDescent="0.2">
      <c r="J553">
        <v>542</v>
      </c>
      <c r="K553" s="4">
        <v>3305286254.1368232</v>
      </c>
      <c r="L553">
        <f t="shared" si="11"/>
        <v>0</v>
      </c>
    </row>
    <row r="554" spans="10:12" x14ac:dyDescent="0.2">
      <c r="J554">
        <v>543</v>
      </c>
      <c r="K554" s="4">
        <v>2980950098.2914071</v>
      </c>
      <c r="L554">
        <f t="shared" si="11"/>
        <v>0</v>
      </c>
    </row>
    <row r="555" spans="10:12" x14ac:dyDescent="0.2">
      <c r="J555">
        <v>544</v>
      </c>
      <c r="K555" s="4">
        <v>2840500257.8688841</v>
      </c>
      <c r="L555">
        <f t="shared" si="11"/>
        <v>0</v>
      </c>
    </row>
    <row r="556" spans="10:12" x14ac:dyDescent="0.2">
      <c r="J556">
        <v>545</v>
      </c>
      <c r="K556" s="4">
        <v>2919203668.8200026</v>
      </c>
      <c r="L556">
        <f t="shared" si="11"/>
        <v>0</v>
      </c>
    </row>
    <row r="557" spans="10:12" x14ac:dyDescent="0.2">
      <c r="J557">
        <v>546</v>
      </c>
      <c r="K557" s="4">
        <v>3120842882.227397</v>
      </c>
      <c r="L557">
        <f t="shared" si="11"/>
        <v>0</v>
      </c>
    </row>
    <row r="558" spans="10:12" x14ac:dyDescent="0.2">
      <c r="J558">
        <v>547</v>
      </c>
      <c r="K558" s="4">
        <v>2977970560.4863744</v>
      </c>
      <c r="L558">
        <f t="shared" si="11"/>
        <v>0</v>
      </c>
    </row>
    <row r="559" spans="10:12" x14ac:dyDescent="0.2">
      <c r="J559">
        <v>548</v>
      </c>
      <c r="K559" s="4">
        <v>2915665188.51723</v>
      </c>
      <c r="L559">
        <f t="shared" si="11"/>
        <v>0</v>
      </c>
    </row>
    <row r="560" spans="10:12" x14ac:dyDescent="0.2">
      <c r="J560">
        <v>549</v>
      </c>
      <c r="K560" s="4">
        <v>3053928423.4368505</v>
      </c>
      <c r="L560">
        <f t="shared" si="11"/>
        <v>0</v>
      </c>
    </row>
    <row r="561" spans="10:12" x14ac:dyDescent="0.2">
      <c r="J561">
        <v>550</v>
      </c>
      <c r="K561" s="4">
        <v>2835085097.8171587</v>
      </c>
      <c r="L561">
        <f t="shared" si="11"/>
        <v>0</v>
      </c>
    </row>
    <row r="562" spans="10:12" x14ac:dyDescent="0.2">
      <c r="J562">
        <v>551</v>
      </c>
      <c r="K562" s="4">
        <v>3015260002.2329664</v>
      </c>
      <c r="L562">
        <f t="shared" si="11"/>
        <v>0</v>
      </c>
    </row>
    <row r="563" spans="10:12" x14ac:dyDescent="0.2">
      <c r="J563">
        <v>552</v>
      </c>
      <c r="K563" s="4">
        <v>3356221547.7581425</v>
      </c>
      <c r="L563">
        <f t="shared" si="11"/>
        <v>0</v>
      </c>
    </row>
    <row r="564" spans="10:12" x14ac:dyDescent="0.2">
      <c r="J564">
        <v>553</v>
      </c>
      <c r="K564" s="4">
        <v>2851643091.6477685</v>
      </c>
      <c r="L564">
        <f t="shared" si="11"/>
        <v>0</v>
      </c>
    </row>
    <row r="565" spans="10:12" x14ac:dyDescent="0.2">
      <c r="J565">
        <v>554</v>
      </c>
      <c r="K565" s="4">
        <v>3320813702.6905584</v>
      </c>
      <c r="L565">
        <f t="shared" si="11"/>
        <v>0</v>
      </c>
    </row>
    <row r="566" spans="10:12" x14ac:dyDescent="0.2">
      <c r="J566">
        <v>555</v>
      </c>
      <c r="K566" s="4">
        <v>3111715758.0947638</v>
      </c>
      <c r="L566">
        <f t="shared" si="11"/>
        <v>0</v>
      </c>
    </row>
    <row r="567" spans="10:12" x14ac:dyDescent="0.2">
      <c r="J567">
        <v>556</v>
      </c>
      <c r="K567" s="4">
        <v>2978137418.9533901</v>
      </c>
      <c r="L567">
        <f t="shared" si="11"/>
        <v>0</v>
      </c>
    </row>
    <row r="568" spans="10:12" x14ac:dyDescent="0.2">
      <c r="J568">
        <v>557</v>
      </c>
      <c r="K568" s="4">
        <v>3105387747.3530936</v>
      </c>
      <c r="L568">
        <f t="shared" si="11"/>
        <v>0</v>
      </c>
    </row>
    <row r="569" spans="10:12" x14ac:dyDescent="0.2">
      <c r="J569">
        <v>558</v>
      </c>
      <c r="K569" s="4">
        <v>2822062884.5370932</v>
      </c>
      <c r="L569">
        <f t="shared" si="11"/>
        <v>0</v>
      </c>
    </row>
    <row r="570" spans="10:12" x14ac:dyDescent="0.2">
      <c r="J570">
        <v>559</v>
      </c>
      <c r="K570" s="4">
        <v>2783728600.9148483</v>
      </c>
      <c r="L570">
        <f t="shared" si="11"/>
        <v>0</v>
      </c>
    </row>
    <row r="571" spans="10:12" x14ac:dyDescent="0.2">
      <c r="J571">
        <v>560</v>
      </c>
      <c r="K571" s="4">
        <v>2985000098.8533592</v>
      </c>
      <c r="L571">
        <f t="shared" si="11"/>
        <v>0</v>
      </c>
    </row>
    <row r="572" spans="10:12" x14ac:dyDescent="0.2">
      <c r="J572">
        <v>561</v>
      </c>
      <c r="K572" s="4">
        <v>2980207678.1444573</v>
      </c>
      <c r="L572">
        <f t="shared" si="11"/>
        <v>0</v>
      </c>
    </row>
    <row r="573" spans="10:12" x14ac:dyDescent="0.2">
      <c r="J573">
        <v>562</v>
      </c>
      <c r="K573" s="4">
        <v>3049695791.6676626</v>
      </c>
      <c r="L573">
        <f t="shared" si="11"/>
        <v>0</v>
      </c>
    </row>
    <row r="574" spans="10:12" x14ac:dyDescent="0.2">
      <c r="J574">
        <v>563</v>
      </c>
      <c r="K574" s="4">
        <v>2822473697.3229914</v>
      </c>
      <c r="L574">
        <f t="shared" si="11"/>
        <v>0</v>
      </c>
    </row>
    <row r="575" spans="10:12" x14ac:dyDescent="0.2">
      <c r="J575">
        <v>564</v>
      </c>
      <c r="K575" s="4">
        <v>3070033231.4327893</v>
      </c>
      <c r="L575">
        <f t="shared" si="11"/>
        <v>0</v>
      </c>
    </row>
    <row r="576" spans="10:12" x14ac:dyDescent="0.2">
      <c r="J576">
        <v>565</v>
      </c>
      <c r="K576" s="4">
        <v>3101362459.134973</v>
      </c>
      <c r="L576">
        <f t="shared" si="11"/>
        <v>0</v>
      </c>
    </row>
    <row r="577" spans="10:12" x14ac:dyDescent="0.2">
      <c r="J577">
        <v>566</v>
      </c>
      <c r="K577" s="4">
        <v>2957856620.7514763</v>
      </c>
      <c r="L577">
        <f t="shared" si="11"/>
        <v>0</v>
      </c>
    </row>
    <row r="578" spans="10:12" x14ac:dyDescent="0.2">
      <c r="J578">
        <v>567</v>
      </c>
      <c r="K578" s="4">
        <v>2972999426.4272408</v>
      </c>
      <c r="L578">
        <f t="shared" si="11"/>
        <v>0</v>
      </c>
    </row>
    <row r="579" spans="10:12" x14ac:dyDescent="0.2">
      <c r="J579">
        <v>568</v>
      </c>
      <c r="K579" s="4">
        <v>3059966751.5707459</v>
      </c>
      <c r="L579">
        <f t="shared" si="11"/>
        <v>0</v>
      </c>
    </row>
    <row r="580" spans="10:12" x14ac:dyDescent="0.2">
      <c r="J580">
        <v>569</v>
      </c>
      <c r="K580" s="4">
        <v>2811552163.3644929</v>
      </c>
      <c r="L580">
        <f t="shared" si="11"/>
        <v>0</v>
      </c>
    </row>
    <row r="581" spans="10:12" x14ac:dyDescent="0.2">
      <c r="J581">
        <v>570</v>
      </c>
      <c r="K581" s="4">
        <v>2839010905.0122271</v>
      </c>
      <c r="L581">
        <f t="shared" si="11"/>
        <v>0</v>
      </c>
    </row>
    <row r="582" spans="10:12" x14ac:dyDescent="0.2">
      <c r="J582">
        <v>571</v>
      </c>
      <c r="K582" s="4">
        <v>2981635938.7088051</v>
      </c>
      <c r="L582">
        <f t="shared" si="11"/>
        <v>0</v>
      </c>
    </row>
    <row r="583" spans="10:12" x14ac:dyDescent="0.2">
      <c r="J583">
        <v>572</v>
      </c>
      <c r="K583" s="4">
        <v>3024788955.8199186</v>
      </c>
      <c r="L583">
        <f t="shared" si="11"/>
        <v>0</v>
      </c>
    </row>
    <row r="584" spans="10:12" x14ac:dyDescent="0.2">
      <c r="J584">
        <v>573</v>
      </c>
      <c r="K584" s="4">
        <v>3099219429.7326508</v>
      </c>
      <c r="L584">
        <f t="shared" si="11"/>
        <v>0</v>
      </c>
    </row>
    <row r="585" spans="10:12" x14ac:dyDescent="0.2">
      <c r="J585">
        <v>574</v>
      </c>
      <c r="K585" s="4">
        <v>3156779799.7132559</v>
      </c>
      <c r="L585">
        <f t="shared" si="11"/>
        <v>0</v>
      </c>
    </row>
    <row r="586" spans="10:12" x14ac:dyDescent="0.2">
      <c r="J586">
        <v>575</v>
      </c>
      <c r="K586" s="4">
        <v>2968192898.4256759</v>
      </c>
      <c r="L586">
        <f t="shared" si="11"/>
        <v>0</v>
      </c>
    </row>
    <row r="587" spans="10:12" x14ac:dyDescent="0.2">
      <c r="J587">
        <v>576</v>
      </c>
      <c r="K587" s="4">
        <v>2867679412.8211265</v>
      </c>
      <c r="L587">
        <f t="shared" si="11"/>
        <v>0</v>
      </c>
    </row>
    <row r="588" spans="10:12" x14ac:dyDescent="0.2">
      <c r="J588">
        <v>577</v>
      </c>
      <c r="K588" s="4">
        <v>3023777148.4119773</v>
      </c>
      <c r="L588">
        <f t="shared" si="11"/>
        <v>0</v>
      </c>
    </row>
    <row r="589" spans="10:12" x14ac:dyDescent="0.2">
      <c r="J589">
        <v>578</v>
      </c>
      <c r="K589" s="4">
        <v>2794504855.0098705</v>
      </c>
      <c r="L589">
        <f t="shared" ref="L589:L652" si="12">IF(K589&lt;1700000000,1,0)</f>
        <v>0</v>
      </c>
    </row>
    <row r="590" spans="10:12" x14ac:dyDescent="0.2">
      <c r="J590">
        <v>579</v>
      </c>
      <c r="K590" s="4">
        <v>2907522050.546999</v>
      </c>
      <c r="L590">
        <f t="shared" si="12"/>
        <v>0</v>
      </c>
    </row>
    <row r="591" spans="10:12" x14ac:dyDescent="0.2">
      <c r="J591">
        <v>580</v>
      </c>
      <c r="K591" s="4">
        <v>2805197389.5439858</v>
      </c>
      <c r="L591">
        <f t="shared" si="12"/>
        <v>0</v>
      </c>
    </row>
    <row r="592" spans="10:12" x14ac:dyDescent="0.2">
      <c r="J592">
        <v>581</v>
      </c>
      <c r="K592" s="4">
        <v>3041305727.3603983</v>
      </c>
      <c r="L592">
        <f t="shared" si="12"/>
        <v>0</v>
      </c>
    </row>
    <row r="593" spans="10:12" x14ac:dyDescent="0.2">
      <c r="J593">
        <v>582</v>
      </c>
      <c r="K593" s="4">
        <v>2825096434.5429931</v>
      </c>
      <c r="L593">
        <f t="shared" si="12"/>
        <v>0</v>
      </c>
    </row>
    <row r="594" spans="10:12" x14ac:dyDescent="0.2">
      <c r="J594">
        <v>583</v>
      </c>
      <c r="K594" s="4">
        <v>3182609817.8366132</v>
      </c>
      <c r="L594">
        <f t="shared" si="12"/>
        <v>0</v>
      </c>
    </row>
    <row r="595" spans="10:12" x14ac:dyDescent="0.2">
      <c r="J595">
        <v>584</v>
      </c>
      <c r="K595" s="4">
        <v>2770525064.0751715</v>
      </c>
      <c r="L595">
        <f t="shared" si="12"/>
        <v>0</v>
      </c>
    </row>
    <row r="596" spans="10:12" x14ac:dyDescent="0.2">
      <c r="J596">
        <v>585</v>
      </c>
      <c r="K596" s="4">
        <v>2850170200.2407136</v>
      </c>
      <c r="L596">
        <f t="shared" si="12"/>
        <v>0</v>
      </c>
    </row>
    <row r="597" spans="10:12" x14ac:dyDescent="0.2">
      <c r="J597">
        <v>586</v>
      </c>
      <c r="K597" s="4">
        <v>2892165032.7552428</v>
      </c>
      <c r="L597">
        <f t="shared" si="12"/>
        <v>0</v>
      </c>
    </row>
    <row r="598" spans="10:12" x14ac:dyDescent="0.2">
      <c r="J598">
        <v>587</v>
      </c>
      <c r="K598" s="4">
        <v>2788437089.0821152</v>
      </c>
      <c r="L598">
        <f t="shared" si="12"/>
        <v>0</v>
      </c>
    </row>
    <row r="599" spans="10:12" x14ac:dyDescent="0.2">
      <c r="J599">
        <v>588</v>
      </c>
      <c r="K599" s="4">
        <v>3155855526.7083583</v>
      </c>
      <c r="L599">
        <f t="shared" si="12"/>
        <v>0</v>
      </c>
    </row>
    <row r="600" spans="10:12" x14ac:dyDescent="0.2">
      <c r="J600">
        <v>589</v>
      </c>
      <c r="K600" s="4">
        <v>2702134278.5278811</v>
      </c>
      <c r="L600">
        <f t="shared" si="12"/>
        <v>0</v>
      </c>
    </row>
    <row r="601" spans="10:12" x14ac:dyDescent="0.2">
      <c r="J601">
        <v>590</v>
      </c>
      <c r="K601" s="4">
        <v>2947277655.323916</v>
      </c>
      <c r="L601">
        <f t="shared" si="12"/>
        <v>0</v>
      </c>
    </row>
    <row r="602" spans="10:12" x14ac:dyDescent="0.2">
      <c r="J602">
        <v>591</v>
      </c>
      <c r="K602" s="4">
        <v>2822753337.8210988</v>
      </c>
      <c r="L602">
        <f t="shared" si="12"/>
        <v>0</v>
      </c>
    </row>
    <row r="603" spans="10:12" x14ac:dyDescent="0.2">
      <c r="J603">
        <v>592</v>
      </c>
      <c r="K603" s="4">
        <v>2689828491.5110545</v>
      </c>
      <c r="L603">
        <f t="shared" si="12"/>
        <v>0</v>
      </c>
    </row>
    <row r="604" spans="10:12" x14ac:dyDescent="0.2">
      <c r="J604">
        <v>593</v>
      </c>
      <c r="K604" s="4">
        <v>2921987594.6284695</v>
      </c>
      <c r="L604">
        <f t="shared" si="12"/>
        <v>0</v>
      </c>
    </row>
    <row r="605" spans="10:12" x14ac:dyDescent="0.2">
      <c r="J605">
        <v>594</v>
      </c>
      <c r="K605" s="4">
        <v>3149371773.0945296</v>
      </c>
      <c r="L605">
        <f t="shared" si="12"/>
        <v>0</v>
      </c>
    </row>
    <row r="606" spans="10:12" x14ac:dyDescent="0.2">
      <c r="J606">
        <v>595</v>
      </c>
      <c r="K606" s="4">
        <v>2918694489.7745442</v>
      </c>
      <c r="L606">
        <f t="shared" si="12"/>
        <v>0</v>
      </c>
    </row>
    <row r="607" spans="10:12" x14ac:dyDescent="0.2">
      <c r="J607">
        <v>596</v>
      </c>
      <c r="K607" s="4">
        <v>3224194335.6746011</v>
      </c>
      <c r="L607">
        <f t="shared" si="12"/>
        <v>0</v>
      </c>
    </row>
    <row r="608" spans="10:12" x14ac:dyDescent="0.2">
      <c r="J608">
        <v>597</v>
      </c>
      <c r="K608" s="4">
        <v>3013587361.2293262</v>
      </c>
      <c r="L608">
        <f t="shared" si="12"/>
        <v>0</v>
      </c>
    </row>
    <row r="609" spans="10:12" x14ac:dyDescent="0.2">
      <c r="J609">
        <v>598</v>
      </c>
      <c r="K609" s="4">
        <v>2988324048.9608541</v>
      </c>
      <c r="L609">
        <f t="shared" si="12"/>
        <v>0</v>
      </c>
    </row>
    <row r="610" spans="10:12" x14ac:dyDescent="0.2">
      <c r="J610">
        <v>599</v>
      </c>
      <c r="K610" s="4">
        <v>2811368126.6497178</v>
      </c>
      <c r="L610">
        <f t="shared" si="12"/>
        <v>0</v>
      </c>
    </row>
    <row r="611" spans="10:12" x14ac:dyDescent="0.2">
      <c r="J611">
        <v>600</v>
      </c>
      <c r="K611" s="4">
        <v>2779103838.1246533</v>
      </c>
      <c r="L611">
        <f t="shared" si="12"/>
        <v>0</v>
      </c>
    </row>
    <row r="612" spans="10:12" x14ac:dyDescent="0.2">
      <c r="J612">
        <v>601</v>
      </c>
      <c r="K612" s="4">
        <v>3076810869.1695414</v>
      </c>
      <c r="L612">
        <f t="shared" si="12"/>
        <v>0</v>
      </c>
    </row>
    <row r="613" spans="10:12" x14ac:dyDescent="0.2">
      <c r="J613">
        <v>602</v>
      </c>
      <c r="K613" s="4">
        <v>3010989056.6219153</v>
      </c>
      <c r="L613">
        <f t="shared" si="12"/>
        <v>0</v>
      </c>
    </row>
    <row r="614" spans="10:12" x14ac:dyDescent="0.2">
      <c r="J614">
        <v>603</v>
      </c>
      <c r="K614" s="4">
        <v>3080324834.6465898</v>
      </c>
      <c r="L614">
        <f t="shared" si="12"/>
        <v>0</v>
      </c>
    </row>
    <row r="615" spans="10:12" x14ac:dyDescent="0.2">
      <c r="J615">
        <v>604</v>
      </c>
      <c r="K615" s="4">
        <v>2976170129.84378</v>
      </c>
      <c r="L615">
        <f t="shared" si="12"/>
        <v>0</v>
      </c>
    </row>
    <row r="616" spans="10:12" x14ac:dyDescent="0.2">
      <c r="J616">
        <v>605</v>
      </c>
      <c r="K616" s="4">
        <v>3041974896.4072876</v>
      </c>
      <c r="L616">
        <f t="shared" si="12"/>
        <v>0</v>
      </c>
    </row>
    <row r="617" spans="10:12" x14ac:dyDescent="0.2">
      <c r="J617">
        <v>606</v>
      </c>
      <c r="K617" s="4">
        <v>3022712511.8083844</v>
      </c>
      <c r="L617">
        <f t="shared" si="12"/>
        <v>0</v>
      </c>
    </row>
    <row r="618" spans="10:12" x14ac:dyDescent="0.2">
      <c r="J618">
        <v>607</v>
      </c>
      <c r="K618" s="4">
        <v>3002668015.6946125</v>
      </c>
      <c r="L618">
        <f t="shared" si="12"/>
        <v>0</v>
      </c>
    </row>
    <row r="619" spans="10:12" x14ac:dyDescent="0.2">
      <c r="J619">
        <v>608</v>
      </c>
      <c r="K619" s="4">
        <v>2820334399.0800905</v>
      </c>
      <c r="L619">
        <f t="shared" si="12"/>
        <v>0</v>
      </c>
    </row>
    <row r="620" spans="10:12" x14ac:dyDescent="0.2">
      <c r="J620">
        <v>609</v>
      </c>
      <c r="K620" s="4">
        <v>2983381056.1809974</v>
      </c>
      <c r="L620">
        <f t="shared" si="12"/>
        <v>0</v>
      </c>
    </row>
    <row r="621" spans="10:12" x14ac:dyDescent="0.2">
      <c r="J621">
        <v>610</v>
      </c>
      <c r="K621" s="4">
        <v>3199908361.5461802</v>
      </c>
      <c r="L621">
        <f t="shared" si="12"/>
        <v>0</v>
      </c>
    </row>
    <row r="622" spans="10:12" x14ac:dyDescent="0.2">
      <c r="J622">
        <v>611</v>
      </c>
      <c r="K622" s="4">
        <v>2938182271.1251006</v>
      </c>
      <c r="L622">
        <f t="shared" si="12"/>
        <v>0</v>
      </c>
    </row>
    <row r="623" spans="10:12" x14ac:dyDescent="0.2">
      <c r="J623">
        <v>612</v>
      </c>
      <c r="K623" s="4">
        <v>2986676260.1374502</v>
      </c>
      <c r="L623">
        <f t="shared" si="12"/>
        <v>0</v>
      </c>
    </row>
    <row r="624" spans="10:12" x14ac:dyDescent="0.2">
      <c r="J624">
        <v>613</v>
      </c>
      <c r="K624" s="4">
        <v>2837355609.1764379</v>
      </c>
      <c r="L624">
        <f t="shared" si="12"/>
        <v>0</v>
      </c>
    </row>
    <row r="625" spans="10:12" x14ac:dyDescent="0.2">
      <c r="J625">
        <v>614</v>
      </c>
      <c r="K625" s="4">
        <v>2919794183.4363742</v>
      </c>
      <c r="L625">
        <f t="shared" si="12"/>
        <v>0</v>
      </c>
    </row>
    <row r="626" spans="10:12" x14ac:dyDescent="0.2">
      <c r="J626">
        <v>615</v>
      </c>
      <c r="K626" s="4">
        <v>2895133165.1540151</v>
      </c>
      <c r="L626">
        <f t="shared" si="12"/>
        <v>0</v>
      </c>
    </row>
    <row r="627" spans="10:12" x14ac:dyDescent="0.2">
      <c r="J627">
        <v>616</v>
      </c>
      <c r="K627" s="4">
        <v>3313271025.6086311</v>
      </c>
      <c r="L627">
        <f t="shared" si="12"/>
        <v>0</v>
      </c>
    </row>
    <row r="628" spans="10:12" x14ac:dyDescent="0.2">
      <c r="J628">
        <v>617</v>
      </c>
      <c r="K628" s="4">
        <v>2990201736.5459285</v>
      </c>
      <c r="L628">
        <f t="shared" si="12"/>
        <v>0</v>
      </c>
    </row>
    <row r="629" spans="10:12" x14ac:dyDescent="0.2">
      <c r="J629">
        <v>618</v>
      </c>
      <c r="K629" s="4">
        <v>3010398019.5892344</v>
      </c>
      <c r="L629">
        <f t="shared" si="12"/>
        <v>0</v>
      </c>
    </row>
    <row r="630" spans="10:12" x14ac:dyDescent="0.2">
      <c r="J630">
        <v>619</v>
      </c>
      <c r="K630" s="4">
        <v>2929682057.4840283</v>
      </c>
      <c r="L630">
        <f t="shared" si="12"/>
        <v>0</v>
      </c>
    </row>
    <row r="631" spans="10:12" x14ac:dyDescent="0.2">
      <c r="J631">
        <v>620</v>
      </c>
      <c r="K631" s="4">
        <v>2781668729.0221877</v>
      </c>
      <c r="L631">
        <f t="shared" si="12"/>
        <v>0</v>
      </c>
    </row>
    <row r="632" spans="10:12" x14ac:dyDescent="0.2">
      <c r="J632">
        <v>621</v>
      </c>
      <c r="K632" s="4">
        <v>2849944497.1892571</v>
      </c>
      <c r="L632">
        <f t="shared" si="12"/>
        <v>0</v>
      </c>
    </row>
    <row r="633" spans="10:12" x14ac:dyDescent="0.2">
      <c r="J633">
        <v>622</v>
      </c>
      <c r="K633" s="4">
        <v>2787930910.0972977</v>
      </c>
      <c r="L633">
        <f t="shared" si="12"/>
        <v>0</v>
      </c>
    </row>
    <row r="634" spans="10:12" x14ac:dyDescent="0.2">
      <c r="J634">
        <v>623</v>
      </c>
      <c r="K634" s="4">
        <v>2870151569.2334046</v>
      </c>
      <c r="L634">
        <f t="shared" si="12"/>
        <v>0</v>
      </c>
    </row>
    <row r="635" spans="10:12" x14ac:dyDescent="0.2">
      <c r="J635">
        <v>624</v>
      </c>
      <c r="K635" s="4">
        <v>3141685033.6313038</v>
      </c>
      <c r="L635">
        <f t="shared" si="12"/>
        <v>0</v>
      </c>
    </row>
    <row r="636" spans="10:12" x14ac:dyDescent="0.2">
      <c r="J636">
        <v>625</v>
      </c>
      <c r="K636" s="4">
        <v>3064180562.6470895</v>
      </c>
      <c r="L636">
        <f t="shared" si="12"/>
        <v>0</v>
      </c>
    </row>
    <row r="637" spans="10:12" x14ac:dyDescent="0.2">
      <c r="J637">
        <v>626</v>
      </c>
      <c r="K637" s="4">
        <v>3052921413.9845381</v>
      </c>
      <c r="L637">
        <f t="shared" si="12"/>
        <v>0</v>
      </c>
    </row>
    <row r="638" spans="10:12" x14ac:dyDescent="0.2">
      <c r="J638">
        <v>627</v>
      </c>
      <c r="K638" s="4">
        <v>2972615967.4012794</v>
      </c>
      <c r="L638">
        <f t="shared" si="12"/>
        <v>0</v>
      </c>
    </row>
    <row r="639" spans="10:12" x14ac:dyDescent="0.2">
      <c r="J639">
        <v>628</v>
      </c>
      <c r="K639" s="4">
        <v>2803386313.1389365</v>
      </c>
      <c r="L639">
        <f t="shared" si="12"/>
        <v>0</v>
      </c>
    </row>
    <row r="640" spans="10:12" x14ac:dyDescent="0.2">
      <c r="J640">
        <v>629</v>
      </c>
      <c r="K640" s="4">
        <v>2981419408.097651</v>
      </c>
      <c r="L640">
        <f t="shared" si="12"/>
        <v>0</v>
      </c>
    </row>
    <row r="641" spans="10:12" x14ac:dyDescent="0.2">
      <c r="J641">
        <v>630</v>
      </c>
      <c r="K641" s="4">
        <v>3035529139.7964306</v>
      </c>
      <c r="L641">
        <f t="shared" si="12"/>
        <v>0</v>
      </c>
    </row>
    <row r="642" spans="10:12" x14ac:dyDescent="0.2">
      <c r="J642">
        <v>631</v>
      </c>
      <c r="K642" s="4">
        <v>3076951219.2455335</v>
      </c>
      <c r="L642">
        <f t="shared" si="12"/>
        <v>0</v>
      </c>
    </row>
    <row r="643" spans="10:12" x14ac:dyDescent="0.2">
      <c r="J643">
        <v>632</v>
      </c>
      <c r="K643" s="4">
        <v>2852755424.8975697</v>
      </c>
      <c r="L643">
        <f t="shared" si="12"/>
        <v>0</v>
      </c>
    </row>
    <row r="644" spans="10:12" x14ac:dyDescent="0.2">
      <c r="J644">
        <v>633</v>
      </c>
      <c r="K644" s="4">
        <v>2995863271.4635444</v>
      </c>
      <c r="L644">
        <f t="shared" si="12"/>
        <v>0</v>
      </c>
    </row>
    <row r="645" spans="10:12" x14ac:dyDescent="0.2">
      <c r="J645">
        <v>634</v>
      </c>
      <c r="K645" s="4">
        <v>3010276096.5827899</v>
      </c>
      <c r="L645">
        <f t="shared" si="12"/>
        <v>0</v>
      </c>
    </row>
    <row r="646" spans="10:12" x14ac:dyDescent="0.2">
      <c r="J646">
        <v>635</v>
      </c>
      <c r="K646" s="4">
        <v>2844248078.3649783</v>
      </c>
      <c r="L646">
        <f t="shared" si="12"/>
        <v>0</v>
      </c>
    </row>
    <row r="647" spans="10:12" x14ac:dyDescent="0.2">
      <c r="J647">
        <v>636</v>
      </c>
      <c r="K647" s="4">
        <v>3011484137.7657847</v>
      </c>
      <c r="L647">
        <f t="shared" si="12"/>
        <v>0</v>
      </c>
    </row>
    <row r="648" spans="10:12" x14ac:dyDescent="0.2">
      <c r="J648">
        <v>637</v>
      </c>
      <c r="K648" s="4">
        <v>3173810478.2779841</v>
      </c>
      <c r="L648">
        <f t="shared" si="12"/>
        <v>0</v>
      </c>
    </row>
    <row r="649" spans="10:12" x14ac:dyDescent="0.2">
      <c r="J649">
        <v>638</v>
      </c>
      <c r="K649" s="4">
        <v>2917796472.3169084</v>
      </c>
      <c r="L649">
        <f t="shared" si="12"/>
        <v>0</v>
      </c>
    </row>
    <row r="650" spans="10:12" x14ac:dyDescent="0.2">
      <c r="J650">
        <v>639</v>
      </c>
      <c r="K650" s="4">
        <v>2968315698.6966162</v>
      </c>
      <c r="L650">
        <f t="shared" si="12"/>
        <v>0</v>
      </c>
    </row>
    <row r="651" spans="10:12" x14ac:dyDescent="0.2">
      <c r="J651">
        <v>640</v>
      </c>
      <c r="K651" s="4">
        <v>2974609400.6335931</v>
      </c>
      <c r="L651">
        <f t="shared" si="12"/>
        <v>0</v>
      </c>
    </row>
    <row r="652" spans="10:12" x14ac:dyDescent="0.2">
      <c r="J652">
        <v>641</v>
      </c>
      <c r="K652" s="4">
        <v>2997661278.8187699</v>
      </c>
      <c r="L652">
        <f t="shared" si="12"/>
        <v>0</v>
      </c>
    </row>
    <row r="653" spans="10:12" x14ac:dyDescent="0.2">
      <c r="J653">
        <v>642</v>
      </c>
      <c r="K653" s="4">
        <v>3040454561.8965201</v>
      </c>
      <c r="L653">
        <f t="shared" ref="L653:L716" si="13">IF(K653&lt;1700000000,1,0)</f>
        <v>0</v>
      </c>
    </row>
    <row r="654" spans="10:12" x14ac:dyDescent="0.2">
      <c r="J654">
        <v>643</v>
      </c>
      <c r="K654" s="4">
        <v>2942559076.2758894</v>
      </c>
      <c r="L654">
        <f t="shared" si="13"/>
        <v>0</v>
      </c>
    </row>
    <row r="655" spans="10:12" x14ac:dyDescent="0.2">
      <c r="J655">
        <v>644</v>
      </c>
      <c r="K655" s="4">
        <v>2933584933.3410439</v>
      </c>
      <c r="L655">
        <f t="shared" si="13"/>
        <v>0</v>
      </c>
    </row>
    <row r="656" spans="10:12" x14ac:dyDescent="0.2">
      <c r="J656">
        <v>645</v>
      </c>
      <c r="K656" s="4">
        <v>3169286573.2777486</v>
      </c>
      <c r="L656">
        <f t="shared" si="13"/>
        <v>0</v>
      </c>
    </row>
    <row r="657" spans="10:12" x14ac:dyDescent="0.2">
      <c r="J657">
        <v>646</v>
      </c>
      <c r="K657" s="4">
        <v>2869150414.9021578</v>
      </c>
      <c r="L657">
        <f t="shared" si="13"/>
        <v>0</v>
      </c>
    </row>
    <row r="658" spans="10:12" x14ac:dyDescent="0.2">
      <c r="J658">
        <v>647</v>
      </c>
      <c r="K658" s="4">
        <v>2967982037.8923302</v>
      </c>
      <c r="L658">
        <f t="shared" si="13"/>
        <v>0</v>
      </c>
    </row>
    <row r="659" spans="10:12" x14ac:dyDescent="0.2">
      <c r="J659">
        <v>648</v>
      </c>
      <c r="K659" s="4">
        <v>2891589557.7671967</v>
      </c>
      <c r="L659">
        <f t="shared" si="13"/>
        <v>0</v>
      </c>
    </row>
    <row r="660" spans="10:12" x14ac:dyDescent="0.2">
      <c r="J660">
        <v>649</v>
      </c>
      <c r="K660" s="4">
        <v>2874225417.8346705</v>
      </c>
      <c r="L660">
        <f t="shared" si="13"/>
        <v>0</v>
      </c>
    </row>
    <row r="661" spans="10:12" x14ac:dyDescent="0.2">
      <c r="J661">
        <v>650</v>
      </c>
      <c r="K661" s="4">
        <v>2929905262.232305</v>
      </c>
      <c r="L661">
        <f t="shared" si="13"/>
        <v>0</v>
      </c>
    </row>
    <row r="662" spans="10:12" x14ac:dyDescent="0.2">
      <c r="J662">
        <v>651</v>
      </c>
      <c r="K662" s="4">
        <v>2796153862.7087288</v>
      </c>
      <c r="L662">
        <f t="shared" si="13"/>
        <v>0</v>
      </c>
    </row>
    <row r="663" spans="10:12" x14ac:dyDescent="0.2">
      <c r="J663">
        <v>652</v>
      </c>
      <c r="K663" s="4">
        <v>2818227647.2553897</v>
      </c>
      <c r="L663">
        <f t="shared" si="13"/>
        <v>0</v>
      </c>
    </row>
    <row r="664" spans="10:12" x14ac:dyDescent="0.2">
      <c r="J664">
        <v>653</v>
      </c>
      <c r="K664" s="4">
        <v>3107896385.780592</v>
      </c>
      <c r="L664">
        <f t="shared" si="13"/>
        <v>0</v>
      </c>
    </row>
    <row r="665" spans="10:12" x14ac:dyDescent="0.2">
      <c r="J665">
        <v>654</v>
      </c>
      <c r="K665" s="4">
        <v>2837972456.8854609</v>
      </c>
      <c r="L665">
        <f t="shared" si="13"/>
        <v>0</v>
      </c>
    </row>
    <row r="666" spans="10:12" x14ac:dyDescent="0.2">
      <c r="J666">
        <v>655</v>
      </c>
      <c r="K666" s="4">
        <v>2910128497.5117912</v>
      </c>
      <c r="L666">
        <f t="shared" si="13"/>
        <v>0</v>
      </c>
    </row>
    <row r="667" spans="10:12" x14ac:dyDescent="0.2">
      <c r="J667">
        <v>656</v>
      </c>
      <c r="K667" s="4">
        <v>3108787495.7753897</v>
      </c>
      <c r="L667">
        <f t="shared" si="13"/>
        <v>0</v>
      </c>
    </row>
    <row r="668" spans="10:12" x14ac:dyDescent="0.2">
      <c r="J668">
        <v>657</v>
      </c>
      <c r="K668" s="4">
        <v>2904516310.3236704</v>
      </c>
      <c r="L668">
        <f t="shared" si="13"/>
        <v>0</v>
      </c>
    </row>
    <row r="669" spans="10:12" x14ac:dyDescent="0.2">
      <c r="J669">
        <v>658</v>
      </c>
      <c r="K669" s="4">
        <v>2823105071.1391068</v>
      </c>
      <c r="L669">
        <f t="shared" si="13"/>
        <v>0</v>
      </c>
    </row>
    <row r="670" spans="10:12" x14ac:dyDescent="0.2">
      <c r="J670">
        <v>659</v>
      </c>
      <c r="K670" s="4">
        <v>3100654245.9259505</v>
      </c>
      <c r="L670">
        <f t="shared" si="13"/>
        <v>0</v>
      </c>
    </row>
    <row r="671" spans="10:12" x14ac:dyDescent="0.2">
      <c r="J671">
        <v>660</v>
      </c>
      <c r="K671" s="4">
        <v>2961653415.667768</v>
      </c>
      <c r="L671">
        <f t="shared" si="13"/>
        <v>0</v>
      </c>
    </row>
    <row r="672" spans="10:12" x14ac:dyDescent="0.2">
      <c r="J672">
        <v>661</v>
      </c>
      <c r="K672" s="4">
        <v>3015396118.5440035</v>
      </c>
      <c r="L672">
        <f t="shared" si="13"/>
        <v>0</v>
      </c>
    </row>
    <row r="673" spans="10:12" x14ac:dyDescent="0.2">
      <c r="J673">
        <v>662</v>
      </c>
      <c r="K673" s="4">
        <v>3105501794.6125212</v>
      </c>
      <c r="L673">
        <f t="shared" si="13"/>
        <v>0</v>
      </c>
    </row>
    <row r="674" spans="10:12" x14ac:dyDescent="0.2">
      <c r="J674">
        <v>663</v>
      </c>
      <c r="K674" s="4">
        <v>2979511835.5911136</v>
      </c>
      <c r="L674">
        <f t="shared" si="13"/>
        <v>0</v>
      </c>
    </row>
    <row r="675" spans="10:12" x14ac:dyDescent="0.2">
      <c r="J675">
        <v>664</v>
      </c>
      <c r="K675" s="4">
        <v>2856997329.1712804</v>
      </c>
      <c r="L675">
        <f t="shared" si="13"/>
        <v>0</v>
      </c>
    </row>
    <row r="676" spans="10:12" x14ac:dyDescent="0.2">
      <c r="J676">
        <v>665</v>
      </c>
      <c r="K676" s="4">
        <v>2972781874.1690707</v>
      </c>
      <c r="L676">
        <f t="shared" si="13"/>
        <v>0</v>
      </c>
    </row>
    <row r="677" spans="10:12" x14ac:dyDescent="0.2">
      <c r="J677">
        <v>666</v>
      </c>
      <c r="K677" s="4">
        <v>3085097522.6756001</v>
      </c>
      <c r="L677">
        <f t="shared" si="13"/>
        <v>0</v>
      </c>
    </row>
    <row r="678" spans="10:12" x14ac:dyDescent="0.2">
      <c r="J678">
        <v>667</v>
      </c>
      <c r="K678" s="4">
        <v>2887565395.5876412</v>
      </c>
      <c r="L678">
        <f t="shared" si="13"/>
        <v>0</v>
      </c>
    </row>
    <row r="679" spans="10:12" x14ac:dyDescent="0.2">
      <c r="J679">
        <v>668</v>
      </c>
      <c r="K679" s="4">
        <v>2736576612.5370121</v>
      </c>
      <c r="L679">
        <f t="shared" si="13"/>
        <v>0</v>
      </c>
    </row>
    <row r="680" spans="10:12" x14ac:dyDescent="0.2">
      <c r="J680">
        <v>669</v>
      </c>
      <c r="K680" s="4">
        <v>2864859040.5386853</v>
      </c>
      <c r="L680">
        <f t="shared" si="13"/>
        <v>0</v>
      </c>
    </row>
    <row r="681" spans="10:12" x14ac:dyDescent="0.2">
      <c r="J681">
        <v>670</v>
      </c>
      <c r="K681" s="4">
        <v>2956053593.740386</v>
      </c>
      <c r="L681">
        <f t="shared" si="13"/>
        <v>0</v>
      </c>
    </row>
    <row r="682" spans="10:12" x14ac:dyDescent="0.2">
      <c r="J682">
        <v>671</v>
      </c>
      <c r="K682" s="4">
        <v>3123924214.2700458</v>
      </c>
      <c r="L682">
        <f t="shared" si="13"/>
        <v>0</v>
      </c>
    </row>
    <row r="683" spans="10:12" x14ac:dyDescent="0.2">
      <c r="J683">
        <v>672</v>
      </c>
      <c r="K683" s="4">
        <v>2896524946.7440867</v>
      </c>
      <c r="L683">
        <f t="shared" si="13"/>
        <v>0</v>
      </c>
    </row>
    <row r="684" spans="10:12" x14ac:dyDescent="0.2">
      <c r="J684">
        <v>673</v>
      </c>
      <c r="K684" s="4">
        <v>2929835834.5350947</v>
      </c>
      <c r="L684">
        <f t="shared" si="13"/>
        <v>0</v>
      </c>
    </row>
    <row r="685" spans="10:12" x14ac:dyDescent="0.2">
      <c r="J685">
        <v>674</v>
      </c>
      <c r="K685" s="4">
        <v>2951858042.1535392</v>
      </c>
      <c r="L685">
        <f t="shared" si="13"/>
        <v>0</v>
      </c>
    </row>
    <row r="686" spans="10:12" x14ac:dyDescent="0.2">
      <c r="J686">
        <v>675</v>
      </c>
      <c r="K686" s="4">
        <v>3018577930.8663535</v>
      </c>
      <c r="L686">
        <f t="shared" si="13"/>
        <v>0</v>
      </c>
    </row>
    <row r="687" spans="10:12" x14ac:dyDescent="0.2">
      <c r="J687">
        <v>676</v>
      </c>
      <c r="K687" s="4">
        <v>2852070326.2386789</v>
      </c>
      <c r="L687">
        <f t="shared" si="13"/>
        <v>0</v>
      </c>
    </row>
    <row r="688" spans="10:12" x14ac:dyDescent="0.2">
      <c r="J688">
        <v>677</v>
      </c>
      <c r="K688" s="4">
        <v>3018613266.550015</v>
      </c>
      <c r="L688">
        <f t="shared" si="13"/>
        <v>0</v>
      </c>
    </row>
    <row r="689" spans="10:12" x14ac:dyDescent="0.2">
      <c r="J689">
        <v>678</v>
      </c>
      <c r="K689" s="4">
        <v>3252911357.6422954</v>
      </c>
      <c r="L689">
        <f t="shared" si="13"/>
        <v>0</v>
      </c>
    </row>
    <row r="690" spans="10:12" x14ac:dyDescent="0.2">
      <c r="J690">
        <v>679</v>
      </c>
      <c r="K690" s="4">
        <v>3041135005.984076</v>
      </c>
      <c r="L690">
        <f t="shared" si="13"/>
        <v>0</v>
      </c>
    </row>
    <row r="691" spans="10:12" x14ac:dyDescent="0.2">
      <c r="J691">
        <v>680</v>
      </c>
      <c r="K691" s="4">
        <v>3095261958.3914909</v>
      </c>
      <c r="L691">
        <f t="shared" si="13"/>
        <v>0</v>
      </c>
    </row>
    <row r="692" spans="10:12" x14ac:dyDescent="0.2">
      <c r="J692">
        <v>681</v>
      </c>
      <c r="K692" s="4">
        <v>3024559383.2296357</v>
      </c>
      <c r="L692">
        <f t="shared" si="13"/>
        <v>0</v>
      </c>
    </row>
    <row r="693" spans="10:12" x14ac:dyDescent="0.2">
      <c r="J693">
        <v>682</v>
      </c>
      <c r="K693" s="4">
        <v>3062814926.4325957</v>
      </c>
      <c r="L693">
        <f t="shared" si="13"/>
        <v>0</v>
      </c>
    </row>
    <row r="694" spans="10:12" x14ac:dyDescent="0.2">
      <c r="J694">
        <v>683</v>
      </c>
      <c r="K694" s="4">
        <v>2997648451.1760178</v>
      </c>
      <c r="L694">
        <f t="shared" si="13"/>
        <v>0</v>
      </c>
    </row>
    <row r="695" spans="10:12" x14ac:dyDescent="0.2">
      <c r="J695">
        <v>684</v>
      </c>
      <c r="K695" s="4">
        <v>3166866482.2265291</v>
      </c>
      <c r="L695">
        <f t="shared" si="13"/>
        <v>0</v>
      </c>
    </row>
    <row r="696" spans="10:12" x14ac:dyDescent="0.2">
      <c r="J696">
        <v>685</v>
      </c>
      <c r="K696" s="4">
        <v>3153696994.6033387</v>
      </c>
      <c r="L696">
        <f t="shared" si="13"/>
        <v>0</v>
      </c>
    </row>
    <row r="697" spans="10:12" x14ac:dyDescent="0.2">
      <c r="J697">
        <v>686</v>
      </c>
      <c r="K697" s="4">
        <v>3092895427.9265203</v>
      </c>
      <c r="L697">
        <f t="shared" si="13"/>
        <v>0</v>
      </c>
    </row>
    <row r="698" spans="10:12" x14ac:dyDescent="0.2">
      <c r="J698">
        <v>687</v>
      </c>
      <c r="K698" s="4">
        <v>2944688383.193428</v>
      </c>
      <c r="L698">
        <f t="shared" si="13"/>
        <v>0</v>
      </c>
    </row>
    <row r="699" spans="10:12" x14ac:dyDescent="0.2">
      <c r="J699">
        <v>688</v>
      </c>
      <c r="K699" s="4">
        <v>3144339352.8180385</v>
      </c>
      <c r="L699">
        <f t="shared" si="13"/>
        <v>0</v>
      </c>
    </row>
    <row r="700" spans="10:12" x14ac:dyDescent="0.2">
      <c r="J700">
        <v>689</v>
      </c>
      <c r="K700" s="4">
        <v>2997571072.2234726</v>
      </c>
      <c r="L700">
        <f t="shared" si="13"/>
        <v>0</v>
      </c>
    </row>
    <row r="701" spans="10:12" x14ac:dyDescent="0.2">
      <c r="J701">
        <v>690</v>
      </c>
      <c r="K701" s="4">
        <v>2888831078.1658406</v>
      </c>
      <c r="L701">
        <f t="shared" si="13"/>
        <v>0</v>
      </c>
    </row>
    <row r="702" spans="10:12" x14ac:dyDescent="0.2">
      <c r="J702">
        <v>691</v>
      </c>
      <c r="K702" s="4">
        <v>2710048405.3137598</v>
      </c>
      <c r="L702">
        <f t="shared" si="13"/>
        <v>0</v>
      </c>
    </row>
    <row r="703" spans="10:12" x14ac:dyDescent="0.2">
      <c r="J703">
        <v>692</v>
      </c>
      <c r="K703" s="4">
        <v>3100165222.3305683</v>
      </c>
      <c r="L703">
        <f t="shared" si="13"/>
        <v>0</v>
      </c>
    </row>
    <row r="704" spans="10:12" x14ac:dyDescent="0.2">
      <c r="J704">
        <v>693</v>
      </c>
      <c r="K704" s="4">
        <v>2987648209.2537079</v>
      </c>
      <c r="L704">
        <f t="shared" si="13"/>
        <v>0</v>
      </c>
    </row>
    <row r="705" spans="10:12" x14ac:dyDescent="0.2">
      <c r="J705">
        <v>694</v>
      </c>
      <c r="K705" s="4">
        <v>3146390218.9598784</v>
      </c>
      <c r="L705">
        <f t="shared" si="13"/>
        <v>0</v>
      </c>
    </row>
    <row r="706" spans="10:12" x14ac:dyDescent="0.2">
      <c r="J706">
        <v>695</v>
      </c>
      <c r="K706" s="4">
        <v>2720190354.0649991</v>
      </c>
      <c r="L706">
        <f t="shared" si="13"/>
        <v>0</v>
      </c>
    </row>
    <row r="707" spans="10:12" x14ac:dyDescent="0.2">
      <c r="J707">
        <v>696</v>
      </c>
      <c r="K707" s="4">
        <v>2907257402.827517</v>
      </c>
      <c r="L707">
        <f t="shared" si="13"/>
        <v>0</v>
      </c>
    </row>
    <row r="708" spans="10:12" x14ac:dyDescent="0.2">
      <c r="J708">
        <v>697</v>
      </c>
      <c r="K708" s="4">
        <v>3059263338.4774494</v>
      </c>
      <c r="L708">
        <f t="shared" si="13"/>
        <v>0</v>
      </c>
    </row>
    <row r="709" spans="10:12" x14ac:dyDescent="0.2">
      <c r="J709">
        <v>698</v>
      </c>
      <c r="K709" s="4">
        <v>3058008302.9835219</v>
      </c>
      <c r="L709">
        <f t="shared" si="13"/>
        <v>0</v>
      </c>
    </row>
    <row r="710" spans="10:12" x14ac:dyDescent="0.2">
      <c r="J710">
        <v>699</v>
      </c>
      <c r="K710" s="4">
        <v>3053761065.6403184</v>
      </c>
      <c r="L710">
        <f t="shared" si="13"/>
        <v>0</v>
      </c>
    </row>
    <row r="711" spans="10:12" x14ac:dyDescent="0.2">
      <c r="J711">
        <v>700</v>
      </c>
      <c r="K711" s="4">
        <v>2935392018.255259</v>
      </c>
      <c r="L711">
        <f t="shared" si="13"/>
        <v>0</v>
      </c>
    </row>
    <row r="712" spans="10:12" x14ac:dyDescent="0.2">
      <c r="J712">
        <v>701</v>
      </c>
      <c r="K712" s="4">
        <v>3175246731.7764759</v>
      </c>
      <c r="L712">
        <f t="shared" si="13"/>
        <v>0</v>
      </c>
    </row>
    <row r="713" spans="10:12" x14ac:dyDescent="0.2">
      <c r="J713">
        <v>702</v>
      </c>
      <c r="K713" s="4">
        <v>2747824013.2804575</v>
      </c>
      <c r="L713">
        <f t="shared" si="13"/>
        <v>0</v>
      </c>
    </row>
    <row r="714" spans="10:12" x14ac:dyDescent="0.2">
      <c r="J714">
        <v>703</v>
      </c>
      <c r="K714" s="4">
        <v>3005184399.1401</v>
      </c>
      <c r="L714">
        <f t="shared" si="13"/>
        <v>0</v>
      </c>
    </row>
    <row r="715" spans="10:12" x14ac:dyDescent="0.2">
      <c r="J715">
        <v>704</v>
      </c>
      <c r="K715" s="4">
        <v>2923763726.1081476</v>
      </c>
      <c r="L715">
        <f t="shared" si="13"/>
        <v>0</v>
      </c>
    </row>
    <row r="716" spans="10:12" x14ac:dyDescent="0.2">
      <c r="J716">
        <v>705</v>
      </c>
      <c r="K716" s="4">
        <v>2856808121.4396095</v>
      </c>
      <c r="L716">
        <f t="shared" si="13"/>
        <v>0</v>
      </c>
    </row>
    <row r="717" spans="10:12" x14ac:dyDescent="0.2">
      <c r="J717">
        <v>706</v>
      </c>
      <c r="K717" s="4">
        <v>2840623303.6388035</v>
      </c>
      <c r="L717">
        <f t="shared" ref="L717:L780" si="14">IF(K717&lt;1700000000,1,0)</f>
        <v>0</v>
      </c>
    </row>
    <row r="718" spans="10:12" x14ac:dyDescent="0.2">
      <c r="J718">
        <v>707</v>
      </c>
      <c r="K718" s="4">
        <v>2908089352.122725</v>
      </c>
      <c r="L718">
        <f t="shared" si="14"/>
        <v>0</v>
      </c>
    </row>
    <row r="719" spans="10:12" x14ac:dyDescent="0.2">
      <c r="J719">
        <v>708</v>
      </c>
      <c r="K719" s="4">
        <v>2993063694.3707118</v>
      </c>
      <c r="L719">
        <f t="shared" si="14"/>
        <v>0</v>
      </c>
    </row>
    <row r="720" spans="10:12" x14ac:dyDescent="0.2">
      <c r="J720">
        <v>709</v>
      </c>
      <c r="K720" s="4">
        <v>3186630975.0638094</v>
      </c>
      <c r="L720">
        <f t="shared" si="14"/>
        <v>0</v>
      </c>
    </row>
    <row r="721" spans="10:12" x14ac:dyDescent="0.2">
      <c r="J721">
        <v>710</v>
      </c>
      <c r="K721" s="4">
        <v>3059898753.4397845</v>
      </c>
      <c r="L721">
        <f t="shared" si="14"/>
        <v>0</v>
      </c>
    </row>
    <row r="722" spans="10:12" x14ac:dyDescent="0.2">
      <c r="J722">
        <v>711</v>
      </c>
      <c r="K722" s="4">
        <v>2897143121.5174427</v>
      </c>
      <c r="L722">
        <f t="shared" si="14"/>
        <v>0</v>
      </c>
    </row>
    <row r="723" spans="10:12" x14ac:dyDescent="0.2">
      <c r="J723">
        <v>712</v>
      </c>
      <c r="K723" s="4">
        <v>3154238577.3823538</v>
      </c>
      <c r="L723">
        <f t="shared" si="14"/>
        <v>0</v>
      </c>
    </row>
    <row r="724" spans="10:12" x14ac:dyDescent="0.2">
      <c r="J724">
        <v>713</v>
      </c>
      <c r="K724" s="4">
        <v>2779114344.7385654</v>
      </c>
      <c r="L724">
        <f t="shared" si="14"/>
        <v>0</v>
      </c>
    </row>
    <row r="725" spans="10:12" x14ac:dyDescent="0.2">
      <c r="J725">
        <v>714</v>
      </c>
      <c r="K725" s="4">
        <v>3024104682.0859404</v>
      </c>
      <c r="L725">
        <f t="shared" si="14"/>
        <v>0</v>
      </c>
    </row>
    <row r="726" spans="10:12" x14ac:dyDescent="0.2">
      <c r="J726">
        <v>715</v>
      </c>
      <c r="K726" s="4">
        <v>2833409778.5407023</v>
      </c>
      <c r="L726">
        <f t="shared" si="14"/>
        <v>0</v>
      </c>
    </row>
    <row r="727" spans="10:12" x14ac:dyDescent="0.2">
      <c r="J727">
        <v>716</v>
      </c>
      <c r="K727" s="4">
        <v>2853071134.8324027</v>
      </c>
      <c r="L727">
        <f t="shared" si="14"/>
        <v>0</v>
      </c>
    </row>
    <row r="728" spans="10:12" x14ac:dyDescent="0.2">
      <c r="J728">
        <v>717</v>
      </c>
      <c r="K728" s="4">
        <v>3097821239.9526153</v>
      </c>
      <c r="L728">
        <f t="shared" si="14"/>
        <v>0</v>
      </c>
    </row>
    <row r="729" spans="10:12" x14ac:dyDescent="0.2">
      <c r="J729">
        <v>718</v>
      </c>
      <c r="K729" s="4">
        <v>2960299995.7964525</v>
      </c>
      <c r="L729">
        <f t="shared" si="14"/>
        <v>0</v>
      </c>
    </row>
    <row r="730" spans="10:12" x14ac:dyDescent="0.2">
      <c r="J730">
        <v>719</v>
      </c>
      <c r="K730" s="4">
        <v>3198318793.2589355</v>
      </c>
      <c r="L730">
        <f t="shared" si="14"/>
        <v>0</v>
      </c>
    </row>
    <row r="731" spans="10:12" x14ac:dyDescent="0.2">
      <c r="J731">
        <v>720</v>
      </c>
      <c r="K731" s="4">
        <v>3202517080.3134141</v>
      </c>
      <c r="L731">
        <f t="shared" si="14"/>
        <v>0</v>
      </c>
    </row>
    <row r="732" spans="10:12" x14ac:dyDescent="0.2">
      <c r="J732">
        <v>721</v>
      </c>
      <c r="K732" s="4">
        <v>2632001870.5548806</v>
      </c>
      <c r="L732">
        <f t="shared" si="14"/>
        <v>0</v>
      </c>
    </row>
    <row r="733" spans="10:12" x14ac:dyDescent="0.2">
      <c r="J733">
        <v>722</v>
      </c>
      <c r="K733" s="4">
        <v>2964112138.8140864</v>
      </c>
      <c r="L733">
        <f t="shared" si="14"/>
        <v>0</v>
      </c>
    </row>
    <row r="734" spans="10:12" x14ac:dyDescent="0.2">
      <c r="J734">
        <v>723</v>
      </c>
      <c r="K734" s="4">
        <v>3188353860.8240232</v>
      </c>
      <c r="L734">
        <f t="shared" si="14"/>
        <v>0</v>
      </c>
    </row>
    <row r="735" spans="10:12" x14ac:dyDescent="0.2">
      <c r="J735">
        <v>724</v>
      </c>
      <c r="K735" s="4">
        <v>2962485294.3229513</v>
      </c>
      <c r="L735">
        <f t="shared" si="14"/>
        <v>0</v>
      </c>
    </row>
    <row r="736" spans="10:12" x14ac:dyDescent="0.2">
      <c r="J736">
        <v>725</v>
      </c>
      <c r="K736" s="4">
        <v>2882533193.1270456</v>
      </c>
      <c r="L736">
        <f t="shared" si="14"/>
        <v>0</v>
      </c>
    </row>
    <row r="737" spans="10:12" x14ac:dyDescent="0.2">
      <c r="J737">
        <v>726</v>
      </c>
      <c r="K737" s="4">
        <v>3220229585.1687555</v>
      </c>
      <c r="L737">
        <f t="shared" si="14"/>
        <v>0</v>
      </c>
    </row>
    <row r="738" spans="10:12" x14ac:dyDescent="0.2">
      <c r="J738">
        <v>727</v>
      </c>
      <c r="K738" s="4">
        <v>3106267758.3759298</v>
      </c>
      <c r="L738">
        <f t="shared" si="14"/>
        <v>0</v>
      </c>
    </row>
    <row r="739" spans="10:12" x14ac:dyDescent="0.2">
      <c r="J739">
        <v>728</v>
      </c>
      <c r="K739" s="4">
        <v>3018573659.2848511</v>
      </c>
      <c r="L739">
        <f t="shared" si="14"/>
        <v>0</v>
      </c>
    </row>
    <row r="740" spans="10:12" x14ac:dyDescent="0.2">
      <c r="J740">
        <v>729</v>
      </c>
      <c r="K740" s="4">
        <v>3041753644.9151397</v>
      </c>
      <c r="L740">
        <f t="shared" si="14"/>
        <v>0</v>
      </c>
    </row>
    <row r="741" spans="10:12" x14ac:dyDescent="0.2">
      <c r="J741">
        <v>730</v>
      </c>
      <c r="K741" s="4">
        <v>2883639319.5360222</v>
      </c>
      <c r="L741">
        <f t="shared" si="14"/>
        <v>0</v>
      </c>
    </row>
    <row r="742" spans="10:12" x14ac:dyDescent="0.2">
      <c r="J742">
        <v>731</v>
      </c>
      <c r="K742" s="4">
        <v>3128677578.4750814</v>
      </c>
      <c r="L742">
        <f t="shared" si="14"/>
        <v>0</v>
      </c>
    </row>
    <row r="743" spans="10:12" x14ac:dyDescent="0.2">
      <c r="J743">
        <v>732</v>
      </c>
      <c r="K743" s="4">
        <v>2878389763.0089812</v>
      </c>
      <c r="L743">
        <f t="shared" si="14"/>
        <v>0</v>
      </c>
    </row>
    <row r="744" spans="10:12" x14ac:dyDescent="0.2">
      <c r="J744">
        <v>733</v>
      </c>
      <c r="K744" s="4">
        <v>3043112550.3382258</v>
      </c>
      <c r="L744">
        <f t="shared" si="14"/>
        <v>0</v>
      </c>
    </row>
    <row r="745" spans="10:12" x14ac:dyDescent="0.2">
      <c r="J745">
        <v>734</v>
      </c>
      <c r="K745" s="4">
        <v>2893345143.3589625</v>
      </c>
      <c r="L745">
        <f t="shared" si="14"/>
        <v>0</v>
      </c>
    </row>
    <row r="746" spans="10:12" x14ac:dyDescent="0.2">
      <c r="J746">
        <v>735</v>
      </c>
      <c r="K746" s="4">
        <v>2747989411.0339742</v>
      </c>
      <c r="L746">
        <f t="shared" si="14"/>
        <v>0</v>
      </c>
    </row>
    <row r="747" spans="10:12" x14ac:dyDescent="0.2">
      <c r="J747">
        <v>736</v>
      </c>
      <c r="K747" s="4">
        <v>3055814686.8432407</v>
      </c>
      <c r="L747">
        <f t="shared" si="14"/>
        <v>0</v>
      </c>
    </row>
    <row r="748" spans="10:12" x14ac:dyDescent="0.2">
      <c r="J748">
        <v>737</v>
      </c>
      <c r="K748" s="4">
        <v>3202188434.4148078</v>
      </c>
      <c r="L748">
        <f t="shared" si="14"/>
        <v>0</v>
      </c>
    </row>
    <row r="749" spans="10:12" x14ac:dyDescent="0.2">
      <c r="J749">
        <v>738</v>
      </c>
      <c r="K749" s="4">
        <v>3152395375.8197546</v>
      </c>
      <c r="L749">
        <f t="shared" si="14"/>
        <v>0</v>
      </c>
    </row>
    <row r="750" spans="10:12" x14ac:dyDescent="0.2">
      <c r="J750">
        <v>739</v>
      </c>
      <c r="K750" s="4">
        <v>2771631235.6204481</v>
      </c>
      <c r="L750">
        <f t="shared" si="14"/>
        <v>0</v>
      </c>
    </row>
    <row r="751" spans="10:12" x14ac:dyDescent="0.2">
      <c r="J751">
        <v>740</v>
      </c>
      <c r="K751" s="4">
        <v>2832885287.4441409</v>
      </c>
      <c r="L751">
        <f t="shared" si="14"/>
        <v>0</v>
      </c>
    </row>
    <row r="752" spans="10:12" x14ac:dyDescent="0.2">
      <c r="J752">
        <v>741</v>
      </c>
      <c r="K752" s="4">
        <v>2857346310.1063046</v>
      </c>
      <c r="L752">
        <f t="shared" si="14"/>
        <v>0</v>
      </c>
    </row>
    <row r="753" spans="10:12" x14ac:dyDescent="0.2">
      <c r="J753">
        <v>742</v>
      </c>
      <c r="K753" s="4">
        <v>2925111721.9593873</v>
      </c>
      <c r="L753">
        <f t="shared" si="14"/>
        <v>0</v>
      </c>
    </row>
    <row r="754" spans="10:12" x14ac:dyDescent="0.2">
      <c r="J754">
        <v>743</v>
      </c>
      <c r="K754" s="4">
        <v>3436896341.1916971</v>
      </c>
      <c r="L754">
        <f t="shared" si="14"/>
        <v>0</v>
      </c>
    </row>
    <row r="755" spans="10:12" x14ac:dyDescent="0.2">
      <c r="J755">
        <v>744</v>
      </c>
      <c r="K755" s="4">
        <v>2844898233.3236074</v>
      </c>
      <c r="L755">
        <f t="shared" si="14"/>
        <v>0</v>
      </c>
    </row>
    <row r="756" spans="10:12" x14ac:dyDescent="0.2">
      <c r="J756">
        <v>745</v>
      </c>
      <c r="K756" s="4">
        <v>2842210087.8522253</v>
      </c>
      <c r="L756">
        <f t="shared" si="14"/>
        <v>0</v>
      </c>
    </row>
    <row r="757" spans="10:12" x14ac:dyDescent="0.2">
      <c r="J757">
        <v>746</v>
      </c>
      <c r="K757" s="4">
        <v>3111308945.3878932</v>
      </c>
      <c r="L757">
        <f t="shared" si="14"/>
        <v>0</v>
      </c>
    </row>
    <row r="758" spans="10:12" x14ac:dyDescent="0.2">
      <c r="J758">
        <v>747</v>
      </c>
      <c r="K758" s="4">
        <v>3093283559.3347468</v>
      </c>
      <c r="L758">
        <f t="shared" si="14"/>
        <v>0</v>
      </c>
    </row>
    <row r="759" spans="10:12" x14ac:dyDescent="0.2">
      <c r="J759">
        <v>748</v>
      </c>
      <c r="K759" s="4">
        <v>3020213264.5278168</v>
      </c>
      <c r="L759">
        <f t="shared" si="14"/>
        <v>0</v>
      </c>
    </row>
    <row r="760" spans="10:12" x14ac:dyDescent="0.2">
      <c r="J760">
        <v>749</v>
      </c>
      <c r="K760" s="4">
        <v>2989946490.3982701</v>
      </c>
      <c r="L760">
        <f t="shared" si="14"/>
        <v>0</v>
      </c>
    </row>
    <row r="761" spans="10:12" x14ac:dyDescent="0.2">
      <c r="J761">
        <v>750</v>
      </c>
      <c r="K761" s="4">
        <v>3200406019.8302274</v>
      </c>
      <c r="L761">
        <f t="shared" si="14"/>
        <v>0</v>
      </c>
    </row>
    <row r="762" spans="10:12" x14ac:dyDescent="0.2">
      <c r="J762">
        <v>751</v>
      </c>
      <c r="K762" s="4">
        <v>3024322744.9556365</v>
      </c>
      <c r="L762">
        <f t="shared" si="14"/>
        <v>0</v>
      </c>
    </row>
    <row r="763" spans="10:12" x14ac:dyDescent="0.2">
      <c r="J763">
        <v>752</v>
      </c>
      <c r="K763" s="4">
        <v>3113431468.2839708</v>
      </c>
      <c r="L763">
        <f t="shared" si="14"/>
        <v>0</v>
      </c>
    </row>
    <row r="764" spans="10:12" x14ac:dyDescent="0.2">
      <c r="J764">
        <v>753</v>
      </c>
      <c r="K764" s="4">
        <v>2947751631.6578288</v>
      </c>
      <c r="L764">
        <f t="shared" si="14"/>
        <v>0</v>
      </c>
    </row>
    <row r="765" spans="10:12" x14ac:dyDescent="0.2">
      <c r="J765">
        <v>754</v>
      </c>
      <c r="K765" s="4">
        <v>2971471633.3496823</v>
      </c>
      <c r="L765">
        <f t="shared" si="14"/>
        <v>0</v>
      </c>
    </row>
    <row r="766" spans="10:12" x14ac:dyDescent="0.2">
      <c r="J766">
        <v>755</v>
      </c>
      <c r="K766" s="4">
        <v>2827349258.2854776</v>
      </c>
      <c r="L766">
        <f t="shared" si="14"/>
        <v>0</v>
      </c>
    </row>
    <row r="767" spans="10:12" x14ac:dyDescent="0.2">
      <c r="J767">
        <v>756</v>
      </c>
      <c r="K767" s="4">
        <v>2821097429.6545167</v>
      </c>
      <c r="L767">
        <f t="shared" si="14"/>
        <v>0</v>
      </c>
    </row>
    <row r="768" spans="10:12" x14ac:dyDescent="0.2">
      <c r="J768">
        <v>757</v>
      </c>
      <c r="K768" s="4">
        <v>2734448643.3848581</v>
      </c>
      <c r="L768">
        <f t="shared" si="14"/>
        <v>0</v>
      </c>
    </row>
    <row r="769" spans="10:12" x14ac:dyDescent="0.2">
      <c r="J769">
        <v>758</v>
      </c>
      <c r="K769" s="4">
        <v>3264018222.3101668</v>
      </c>
      <c r="L769">
        <f t="shared" si="14"/>
        <v>0</v>
      </c>
    </row>
    <row r="770" spans="10:12" x14ac:dyDescent="0.2">
      <c r="J770">
        <v>759</v>
      </c>
      <c r="K770" s="4">
        <v>2728945489.4840097</v>
      </c>
      <c r="L770">
        <f t="shared" si="14"/>
        <v>0</v>
      </c>
    </row>
    <row r="771" spans="10:12" x14ac:dyDescent="0.2">
      <c r="J771">
        <v>760</v>
      </c>
      <c r="K771" s="4">
        <v>2974746057.5352845</v>
      </c>
      <c r="L771">
        <f t="shared" si="14"/>
        <v>0</v>
      </c>
    </row>
    <row r="772" spans="10:12" x14ac:dyDescent="0.2">
      <c r="J772">
        <v>761</v>
      </c>
      <c r="K772" s="4">
        <v>3085153053.4899278</v>
      </c>
      <c r="L772">
        <f t="shared" si="14"/>
        <v>0</v>
      </c>
    </row>
    <row r="773" spans="10:12" x14ac:dyDescent="0.2">
      <c r="J773">
        <v>762</v>
      </c>
      <c r="K773" s="4">
        <v>2895058127.9308262</v>
      </c>
      <c r="L773">
        <f t="shared" si="14"/>
        <v>0</v>
      </c>
    </row>
    <row r="774" spans="10:12" x14ac:dyDescent="0.2">
      <c r="J774">
        <v>763</v>
      </c>
      <c r="K774" s="4">
        <v>3056872402.8097854</v>
      </c>
      <c r="L774">
        <f t="shared" si="14"/>
        <v>0</v>
      </c>
    </row>
    <row r="775" spans="10:12" x14ac:dyDescent="0.2">
      <c r="J775">
        <v>764</v>
      </c>
      <c r="K775" s="4">
        <v>2809192185.1180973</v>
      </c>
      <c r="L775">
        <f t="shared" si="14"/>
        <v>0</v>
      </c>
    </row>
    <row r="776" spans="10:12" x14ac:dyDescent="0.2">
      <c r="J776">
        <v>765</v>
      </c>
      <c r="K776" s="4">
        <v>2657203032.2929606</v>
      </c>
      <c r="L776">
        <f t="shared" si="14"/>
        <v>0</v>
      </c>
    </row>
    <row r="777" spans="10:12" x14ac:dyDescent="0.2">
      <c r="J777">
        <v>766</v>
      </c>
      <c r="K777" s="4">
        <v>2677650217.4750056</v>
      </c>
      <c r="L777">
        <f t="shared" si="14"/>
        <v>0</v>
      </c>
    </row>
    <row r="778" spans="10:12" x14ac:dyDescent="0.2">
      <c r="J778">
        <v>767</v>
      </c>
      <c r="K778" s="4">
        <v>2878393575.985456</v>
      </c>
      <c r="L778">
        <f t="shared" si="14"/>
        <v>0</v>
      </c>
    </row>
    <row r="779" spans="10:12" x14ac:dyDescent="0.2">
      <c r="J779">
        <v>768</v>
      </c>
      <c r="K779" s="4">
        <v>3046831703.6314421</v>
      </c>
      <c r="L779">
        <f t="shared" si="14"/>
        <v>0</v>
      </c>
    </row>
    <row r="780" spans="10:12" x14ac:dyDescent="0.2">
      <c r="J780">
        <v>769</v>
      </c>
      <c r="K780" s="4">
        <v>3018546762.5286074</v>
      </c>
      <c r="L780">
        <f t="shared" si="14"/>
        <v>0</v>
      </c>
    </row>
    <row r="781" spans="10:12" x14ac:dyDescent="0.2">
      <c r="J781">
        <v>770</v>
      </c>
      <c r="K781" s="4">
        <v>3398971196.0790458</v>
      </c>
      <c r="L781">
        <f t="shared" ref="L781:L844" si="15">IF(K781&lt;1700000000,1,0)</f>
        <v>0</v>
      </c>
    </row>
    <row r="782" spans="10:12" x14ac:dyDescent="0.2">
      <c r="J782">
        <v>771</v>
      </c>
      <c r="K782" s="4">
        <v>2854870814.6891718</v>
      </c>
      <c r="L782">
        <f t="shared" si="15"/>
        <v>0</v>
      </c>
    </row>
    <row r="783" spans="10:12" x14ac:dyDescent="0.2">
      <c r="J783">
        <v>772</v>
      </c>
      <c r="K783" s="4">
        <v>3055088984.4393368</v>
      </c>
      <c r="L783">
        <f t="shared" si="15"/>
        <v>0</v>
      </c>
    </row>
    <row r="784" spans="10:12" x14ac:dyDescent="0.2">
      <c r="J784">
        <v>773</v>
      </c>
      <c r="K784" s="4">
        <v>2830289869.9957852</v>
      </c>
      <c r="L784">
        <f t="shared" si="15"/>
        <v>0</v>
      </c>
    </row>
    <row r="785" spans="10:12" x14ac:dyDescent="0.2">
      <c r="J785">
        <v>774</v>
      </c>
      <c r="K785" s="4">
        <v>3093123572.6004295</v>
      </c>
      <c r="L785">
        <f t="shared" si="15"/>
        <v>0</v>
      </c>
    </row>
    <row r="786" spans="10:12" x14ac:dyDescent="0.2">
      <c r="J786">
        <v>775</v>
      </c>
      <c r="K786" s="4">
        <v>2890115107.4651732</v>
      </c>
      <c r="L786">
        <f t="shared" si="15"/>
        <v>0</v>
      </c>
    </row>
    <row r="787" spans="10:12" x14ac:dyDescent="0.2">
      <c r="J787">
        <v>776</v>
      </c>
      <c r="K787" s="4">
        <v>2922065239.7699318</v>
      </c>
      <c r="L787">
        <f t="shared" si="15"/>
        <v>0</v>
      </c>
    </row>
    <row r="788" spans="10:12" x14ac:dyDescent="0.2">
      <c r="J788">
        <v>777</v>
      </c>
      <c r="K788" s="4">
        <v>2765101476.6505308</v>
      </c>
      <c r="L788">
        <f t="shared" si="15"/>
        <v>0</v>
      </c>
    </row>
    <row r="789" spans="10:12" x14ac:dyDescent="0.2">
      <c r="J789">
        <v>778</v>
      </c>
      <c r="K789" s="4">
        <v>2846152336.3691983</v>
      </c>
      <c r="L789">
        <f t="shared" si="15"/>
        <v>0</v>
      </c>
    </row>
    <row r="790" spans="10:12" x14ac:dyDescent="0.2">
      <c r="J790">
        <v>779</v>
      </c>
      <c r="K790" s="4">
        <v>3041255111.2735629</v>
      </c>
      <c r="L790">
        <f t="shared" si="15"/>
        <v>0</v>
      </c>
    </row>
    <row r="791" spans="10:12" x14ac:dyDescent="0.2">
      <c r="J791">
        <v>780</v>
      </c>
      <c r="K791" s="4">
        <v>2890977516.5525713</v>
      </c>
      <c r="L791">
        <f t="shared" si="15"/>
        <v>0</v>
      </c>
    </row>
    <row r="792" spans="10:12" x14ac:dyDescent="0.2">
      <c r="J792">
        <v>781</v>
      </c>
      <c r="K792" s="4">
        <v>3325018128.3333077</v>
      </c>
      <c r="L792">
        <f t="shared" si="15"/>
        <v>0</v>
      </c>
    </row>
    <row r="793" spans="10:12" x14ac:dyDescent="0.2">
      <c r="J793">
        <v>782</v>
      </c>
      <c r="K793" s="4">
        <v>3400735069.3595634</v>
      </c>
      <c r="L793">
        <f t="shared" si="15"/>
        <v>0</v>
      </c>
    </row>
    <row r="794" spans="10:12" x14ac:dyDescent="0.2">
      <c r="J794">
        <v>783</v>
      </c>
      <c r="K794" s="4">
        <v>2951964226.6317873</v>
      </c>
      <c r="L794">
        <f t="shared" si="15"/>
        <v>0</v>
      </c>
    </row>
    <row r="795" spans="10:12" x14ac:dyDescent="0.2">
      <c r="J795">
        <v>784</v>
      </c>
      <c r="K795" s="4">
        <v>2774900791.2481089</v>
      </c>
      <c r="L795">
        <f t="shared" si="15"/>
        <v>0</v>
      </c>
    </row>
    <row r="796" spans="10:12" x14ac:dyDescent="0.2">
      <c r="J796">
        <v>785</v>
      </c>
      <c r="K796" s="4">
        <v>3128945158.4008446</v>
      </c>
      <c r="L796">
        <f t="shared" si="15"/>
        <v>0</v>
      </c>
    </row>
    <row r="797" spans="10:12" x14ac:dyDescent="0.2">
      <c r="J797">
        <v>786</v>
      </c>
      <c r="K797" s="4">
        <v>2893207288.4303913</v>
      </c>
      <c r="L797">
        <f t="shared" si="15"/>
        <v>0</v>
      </c>
    </row>
    <row r="798" spans="10:12" x14ac:dyDescent="0.2">
      <c r="J798">
        <v>787</v>
      </c>
      <c r="K798" s="4">
        <v>2918301404.4715109</v>
      </c>
      <c r="L798">
        <f t="shared" si="15"/>
        <v>0</v>
      </c>
    </row>
    <row r="799" spans="10:12" x14ac:dyDescent="0.2">
      <c r="J799">
        <v>788</v>
      </c>
      <c r="K799" s="4">
        <v>2884345407.2037497</v>
      </c>
      <c r="L799">
        <f t="shared" si="15"/>
        <v>0</v>
      </c>
    </row>
    <row r="800" spans="10:12" x14ac:dyDescent="0.2">
      <c r="J800">
        <v>789</v>
      </c>
      <c r="K800" s="4">
        <v>2826402880.87639</v>
      </c>
      <c r="L800">
        <f t="shared" si="15"/>
        <v>0</v>
      </c>
    </row>
    <row r="801" spans="10:12" x14ac:dyDescent="0.2">
      <c r="J801">
        <v>790</v>
      </c>
      <c r="K801" s="4">
        <v>2914881831.4191718</v>
      </c>
      <c r="L801">
        <f t="shared" si="15"/>
        <v>0</v>
      </c>
    </row>
    <row r="802" spans="10:12" x14ac:dyDescent="0.2">
      <c r="J802">
        <v>791</v>
      </c>
      <c r="K802" s="4">
        <v>3123559104.6060777</v>
      </c>
      <c r="L802">
        <f t="shared" si="15"/>
        <v>0</v>
      </c>
    </row>
    <row r="803" spans="10:12" x14ac:dyDescent="0.2">
      <c r="J803">
        <v>792</v>
      </c>
      <c r="K803" s="4">
        <v>2863371462.4879913</v>
      </c>
      <c r="L803">
        <f t="shared" si="15"/>
        <v>0</v>
      </c>
    </row>
    <row r="804" spans="10:12" x14ac:dyDescent="0.2">
      <c r="J804">
        <v>793</v>
      </c>
      <c r="K804" s="4">
        <v>3034672425.3810639</v>
      </c>
      <c r="L804">
        <f t="shared" si="15"/>
        <v>0</v>
      </c>
    </row>
    <row r="805" spans="10:12" x14ac:dyDescent="0.2">
      <c r="J805">
        <v>794</v>
      </c>
      <c r="K805" s="4">
        <v>2911847913.7198024</v>
      </c>
      <c r="L805">
        <f t="shared" si="15"/>
        <v>0</v>
      </c>
    </row>
    <row r="806" spans="10:12" x14ac:dyDescent="0.2">
      <c r="J806">
        <v>795</v>
      </c>
      <c r="K806" s="4">
        <v>2730800574.2802463</v>
      </c>
      <c r="L806">
        <f t="shared" si="15"/>
        <v>0</v>
      </c>
    </row>
    <row r="807" spans="10:12" x14ac:dyDescent="0.2">
      <c r="J807">
        <v>796</v>
      </c>
      <c r="K807" s="4">
        <v>2868571900.4450049</v>
      </c>
      <c r="L807">
        <f t="shared" si="15"/>
        <v>0</v>
      </c>
    </row>
    <row r="808" spans="10:12" x14ac:dyDescent="0.2">
      <c r="J808">
        <v>797</v>
      </c>
      <c r="K808" s="4">
        <v>3097358596.6229186</v>
      </c>
      <c r="L808">
        <f t="shared" si="15"/>
        <v>0</v>
      </c>
    </row>
    <row r="809" spans="10:12" x14ac:dyDescent="0.2">
      <c r="J809">
        <v>798</v>
      </c>
      <c r="K809" s="4">
        <v>2909826543.3222337</v>
      </c>
      <c r="L809">
        <f t="shared" si="15"/>
        <v>0</v>
      </c>
    </row>
    <row r="810" spans="10:12" x14ac:dyDescent="0.2">
      <c r="J810">
        <v>799</v>
      </c>
      <c r="K810" s="4">
        <v>2971558711.2863741</v>
      </c>
      <c r="L810">
        <f t="shared" si="15"/>
        <v>0</v>
      </c>
    </row>
    <row r="811" spans="10:12" x14ac:dyDescent="0.2">
      <c r="J811">
        <v>800</v>
      </c>
      <c r="K811" s="4">
        <v>2893137489.4170928</v>
      </c>
      <c r="L811">
        <f t="shared" si="15"/>
        <v>0</v>
      </c>
    </row>
    <row r="812" spans="10:12" x14ac:dyDescent="0.2">
      <c r="J812">
        <v>801</v>
      </c>
      <c r="K812" s="4">
        <v>2956972439.0062265</v>
      </c>
      <c r="L812">
        <f t="shared" si="15"/>
        <v>0</v>
      </c>
    </row>
    <row r="813" spans="10:12" x14ac:dyDescent="0.2">
      <c r="J813">
        <v>802</v>
      </c>
      <c r="K813" s="4">
        <v>2808415763.7809606</v>
      </c>
      <c r="L813">
        <f t="shared" si="15"/>
        <v>0</v>
      </c>
    </row>
    <row r="814" spans="10:12" x14ac:dyDescent="0.2">
      <c r="J814">
        <v>803</v>
      </c>
      <c r="K814" s="4">
        <v>2866339246.8553953</v>
      </c>
      <c r="L814">
        <f t="shared" si="15"/>
        <v>0</v>
      </c>
    </row>
    <row r="815" spans="10:12" x14ac:dyDescent="0.2">
      <c r="J815">
        <v>804</v>
      </c>
      <c r="K815" s="4">
        <v>2930598301.4377966</v>
      </c>
      <c r="L815">
        <f t="shared" si="15"/>
        <v>0</v>
      </c>
    </row>
    <row r="816" spans="10:12" x14ac:dyDescent="0.2">
      <c r="J816">
        <v>805</v>
      </c>
      <c r="K816" s="4">
        <v>2943648095.528944</v>
      </c>
      <c r="L816">
        <f t="shared" si="15"/>
        <v>0</v>
      </c>
    </row>
    <row r="817" spans="10:12" x14ac:dyDescent="0.2">
      <c r="J817">
        <v>806</v>
      </c>
      <c r="K817" s="4">
        <v>2929505981.1294761</v>
      </c>
      <c r="L817">
        <f t="shared" si="15"/>
        <v>0</v>
      </c>
    </row>
    <row r="818" spans="10:12" x14ac:dyDescent="0.2">
      <c r="J818">
        <v>807</v>
      </c>
      <c r="K818" s="4">
        <v>2835273554.6680622</v>
      </c>
      <c r="L818">
        <f t="shared" si="15"/>
        <v>0</v>
      </c>
    </row>
    <row r="819" spans="10:12" x14ac:dyDescent="0.2">
      <c r="J819">
        <v>808</v>
      </c>
      <c r="K819" s="4">
        <v>2904993042.8268499</v>
      </c>
      <c r="L819">
        <f t="shared" si="15"/>
        <v>0</v>
      </c>
    </row>
    <row r="820" spans="10:12" x14ac:dyDescent="0.2">
      <c r="J820">
        <v>809</v>
      </c>
      <c r="K820" s="4">
        <v>2899527364.893065</v>
      </c>
      <c r="L820">
        <f t="shared" si="15"/>
        <v>0</v>
      </c>
    </row>
    <row r="821" spans="10:12" x14ac:dyDescent="0.2">
      <c r="J821">
        <v>810</v>
      </c>
      <c r="K821" s="4">
        <v>2879854635.1970935</v>
      </c>
      <c r="L821">
        <f t="shared" si="15"/>
        <v>0</v>
      </c>
    </row>
    <row r="822" spans="10:12" x14ac:dyDescent="0.2">
      <c r="J822">
        <v>811</v>
      </c>
      <c r="K822" s="4">
        <v>2984572552.0685139</v>
      </c>
      <c r="L822">
        <f t="shared" si="15"/>
        <v>0</v>
      </c>
    </row>
    <row r="823" spans="10:12" x14ac:dyDescent="0.2">
      <c r="J823">
        <v>812</v>
      </c>
      <c r="K823" s="4">
        <v>3041316709.7788444</v>
      </c>
      <c r="L823">
        <f t="shared" si="15"/>
        <v>0</v>
      </c>
    </row>
    <row r="824" spans="10:12" x14ac:dyDescent="0.2">
      <c r="J824">
        <v>813</v>
      </c>
      <c r="K824" s="4">
        <v>2897877341.171268</v>
      </c>
      <c r="L824">
        <f t="shared" si="15"/>
        <v>0</v>
      </c>
    </row>
    <row r="825" spans="10:12" x14ac:dyDescent="0.2">
      <c r="J825">
        <v>814</v>
      </c>
      <c r="K825" s="4">
        <v>3056333896.258183</v>
      </c>
      <c r="L825">
        <f t="shared" si="15"/>
        <v>0</v>
      </c>
    </row>
    <row r="826" spans="10:12" x14ac:dyDescent="0.2">
      <c r="J826">
        <v>815</v>
      </c>
      <c r="K826" s="4">
        <v>3128282429.4874501</v>
      </c>
      <c r="L826">
        <f t="shared" si="15"/>
        <v>0</v>
      </c>
    </row>
    <row r="827" spans="10:12" x14ac:dyDescent="0.2">
      <c r="J827">
        <v>816</v>
      </c>
      <c r="K827" s="4">
        <v>3167970693.0218177</v>
      </c>
      <c r="L827">
        <f t="shared" si="15"/>
        <v>0</v>
      </c>
    </row>
    <row r="828" spans="10:12" x14ac:dyDescent="0.2">
      <c r="J828">
        <v>817</v>
      </c>
      <c r="K828" s="4">
        <v>2706255797.3913479</v>
      </c>
      <c r="L828">
        <f t="shared" si="15"/>
        <v>0</v>
      </c>
    </row>
    <row r="829" spans="10:12" x14ac:dyDescent="0.2">
      <c r="J829">
        <v>818</v>
      </c>
      <c r="K829" s="4">
        <v>2800524707.2109594</v>
      </c>
      <c r="L829">
        <f t="shared" si="15"/>
        <v>0</v>
      </c>
    </row>
    <row r="830" spans="10:12" x14ac:dyDescent="0.2">
      <c r="J830">
        <v>819</v>
      </c>
      <c r="K830" s="4">
        <v>3024372387.8708987</v>
      </c>
      <c r="L830">
        <f t="shared" si="15"/>
        <v>0</v>
      </c>
    </row>
    <row r="831" spans="10:12" x14ac:dyDescent="0.2">
      <c r="J831">
        <v>820</v>
      </c>
      <c r="K831" s="4">
        <v>3067206644.5207949</v>
      </c>
      <c r="L831">
        <f t="shared" si="15"/>
        <v>0</v>
      </c>
    </row>
    <row r="832" spans="10:12" x14ac:dyDescent="0.2">
      <c r="J832">
        <v>821</v>
      </c>
      <c r="K832" s="4">
        <v>3224089497.7764797</v>
      </c>
      <c r="L832">
        <f t="shared" si="15"/>
        <v>0</v>
      </c>
    </row>
    <row r="833" spans="10:12" x14ac:dyDescent="0.2">
      <c r="J833">
        <v>822</v>
      </c>
      <c r="K833" s="4">
        <v>3148064648.6306868</v>
      </c>
      <c r="L833">
        <f t="shared" si="15"/>
        <v>0</v>
      </c>
    </row>
    <row r="834" spans="10:12" x14ac:dyDescent="0.2">
      <c r="J834">
        <v>823</v>
      </c>
      <c r="K834" s="4">
        <v>3276927204.2842216</v>
      </c>
      <c r="L834">
        <f t="shared" si="15"/>
        <v>0</v>
      </c>
    </row>
    <row r="835" spans="10:12" x14ac:dyDescent="0.2">
      <c r="J835">
        <v>824</v>
      </c>
      <c r="K835" s="4">
        <v>3150500036.3994837</v>
      </c>
      <c r="L835">
        <f t="shared" si="15"/>
        <v>0</v>
      </c>
    </row>
    <row r="836" spans="10:12" x14ac:dyDescent="0.2">
      <c r="J836">
        <v>825</v>
      </c>
      <c r="K836" s="4">
        <v>2849581688.3242073</v>
      </c>
      <c r="L836">
        <f t="shared" si="15"/>
        <v>0</v>
      </c>
    </row>
    <row r="837" spans="10:12" x14ac:dyDescent="0.2">
      <c r="J837">
        <v>826</v>
      </c>
      <c r="K837" s="4">
        <v>2933354982.6233497</v>
      </c>
      <c r="L837">
        <f t="shared" si="15"/>
        <v>0</v>
      </c>
    </row>
    <row r="838" spans="10:12" x14ac:dyDescent="0.2">
      <c r="J838">
        <v>827</v>
      </c>
      <c r="K838" s="4">
        <v>2896653903.0600905</v>
      </c>
      <c r="L838">
        <f t="shared" si="15"/>
        <v>0</v>
      </c>
    </row>
    <row r="839" spans="10:12" x14ac:dyDescent="0.2">
      <c r="J839">
        <v>828</v>
      </c>
      <c r="K839" s="4">
        <v>2832531731.6399293</v>
      </c>
      <c r="L839">
        <f t="shared" si="15"/>
        <v>0</v>
      </c>
    </row>
    <row r="840" spans="10:12" x14ac:dyDescent="0.2">
      <c r="J840">
        <v>829</v>
      </c>
      <c r="K840" s="4">
        <v>3111761431.253159</v>
      </c>
      <c r="L840">
        <f t="shared" si="15"/>
        <v>0</v>
      </c>
    </row>
    <row r="841" spans="10:12" x14ac:dyDescent="0.2">
      <c r="J841">
        <v>830</v>
      </c>
      <c r="K841" s="4">
        <v>3113721615.354126</v>
      </c>
      <c r="L841">
        <f t="shared" si="15"/>
        <v>0</v>
      </c>
    </row>
    <row r="842" spans="10:12" x14ac:dyDescent="0.2">
      <c r="J842">
        <v>831</v>
      </c>
      <c r="K842" s="4">
        <v>2817467639.6403646</v>
      </c>
      <c r="L842">
        <f t="shared" si="15"/>
        <v>0</v>
      </c>
    </row>
    <row r="843" spans="10:12" x14ac:dyDescent="0.2">
      <c r="J843">
        <v>832</v>
      </c>
      <c r="K843" s="4">
        <v>3013654423.5024428</v>
      </c>
      <c r="L843">
        <f t="shared" si="15"/>
        <v>0</v>
      </c>
    </row>
    <row r="844" spans="10:12" x14ac:dyDescent="0.2">
      <c r="J844">
        <v>833</v>
      </c>
      <c r="K844" s="4">
        <v>2632393633.4684153</v>
      </c>
      <c r="L844">
        <f t="shared" si="15"/>
        <v>0</v>
      </c>
    </row>
    <row r="845" spans="10:12" x14ac:dyDescent="0.2">
      <c r="J845">
        <v>834</v>
      </c>
      <c r="K845" s="4">
        <v>2954111941.23352</v>
      </c>
      <c r="L845">
        <f t="shared" ref="L845:L908" si="16">IF(K845&lt;1700000000,1,0)</f>
        <v>0</v>
      </c>
    </row>
    <row r="846" spans="10:12" x14ac:dyDescent="0.2">
      <c r="J846">
        <v>835</v>
      </c>
      <c r="K846" s="4">
        <v>2902144115.7256212</v>
      </c>
      <c r="L846">
        <f t="shared" si="16"/>
        <v>0</v>
      </c>
    </row>
    <row r="847" spans="10:12" x14ac:dyDescent="0.2">
      <c r="J847">
        <v>836</v>
      </c>
      <c r="K847" s="4">
        <v>2796803719.942503</v>
      </c>
      <c r="L847">
        <f t="shared" si="16"/>
        <v>0</v>
      </c>
    </row>
    <row r="848" spans="10:12" x14ac:dyDescent="0.2">
      <c r="J848">
        <v>837</v>
      </c>
      <c r="K848" s="4">
        <v>2777445793.7527094</v>
      </c>
      <c r="L848">
        <f t="shared" si="16"/>
        <v>0</v>
      </c>
    </row>
    <row r="849" spans="10:12" x14ac:dyDescent="0.2">
      <c r="J849">
        <v>838</v>
      </c>
      <c r="K849" s="4">
        <v>3005878875.9542789</v>
      </c>
      <c r="L849">
        <f t="shared" si="16"/>
        <v>0</v>
      </c>
    </row>
    <row r="850" spans="10:12" x14ac:dyDescent="0.2">
      <c r="J850">
        <v>839</v>
      </c>
      <c r="K850" s="4">
        <v>2932866876.6523333</v>
      </c>
      <c r="L850">
        <f t="shared" si="16"/>
        <v>0</v>
      </c>
    </row>
    <row r="851" spans="10:12" x14ac:dyDescent="0.2">
      <c r="J851">
        <v>840</v>
      </c>
      <c r="K851" s="4">
        <v>2978094232.2582989</v>
      </c>
      <c r="L851">
        <f t="shared" si="16"/>
        <v>0</v>
      </c>
    </row>
    <row r="852" spans="10:12" x14ac:dyDescent="0.2">
      <c r="J852">
        <v>841</v>
      </c>
      <c r="K852" s="4">
        <v>3118221533.9952388</v>
      </c>
      <c r="L852">
        <f t="shared" si="16"/>
        <v>0</v>
      </c>
    </row>
    <row r="853" spans="10:12" x14ac:dyDescent="0.2">
      <c r="J853">
        <v>842</v>
      </c>
      <c r="K853" s="4">
        <v>3129887656.5186992</v>
      </c>
      <c r="L853">
        <f t="shared" si="16"/>
        <v>0</v>
      </c>
    </row>
    <row r="854" spans="10:12" x14ac:dyDescent="0.2">
      <c r="J854">
        <v>843</v>
      </c>
      <c r="K854" s="4">
        <v>2811880705.927495</v>
      </c>
      <c r="L854">
        <f t="shared" si="16"/>
        <v>0</v>
      </c>
    </row>
    <row r="855" spans="10:12" x14ac:dyDescent="0.2">
      <c r="J855">
        <v>844</v>
      </c>
      <c r="K855" s="4">
        <v>3111082458.704565</v>
      </c>
      <c r="L855">
        <f t="shared" si="16"/>
        <v>0</v>
      </c>
    </row>
    <row r="856" spans="10:12" x14ac:dyDescent="0.2">
      <c r="J856">
        <v>845</v>
      </c>
      <c r="K856" s="4">
        <v>3009256698.4418721</v>
      </c>
      <c r="L856">
        <f t="shared" si="16"/>
        <v>0</v>
      </c>
    </row>
    <row r="857" spans="10:12" x14ac:dyDescent="0.2">
      <c r="J857">
        <v>846</v>
      </c>
      <c r="K857" s="4">
        <v>3053690603.2993674</v>
      </c>
      <c r="L857">
        <f t="shared" si="16"/>
        <v>0</v>
      </c>
    </row>
    <row r="858" spans="10:12" x14ac:dyDescent="0.2">
      <c r="J858">
        <v>847</v>
      </c>
      <c r="K858" s="4">
        <v>2935890581.0556216</v>
      </c>
      <c r="L858">
        <f t="shared" si="16"/>
        <v>0</v>
      </c>
    </row>
    <row r="859" spans="10:12" x14ac:dyDescent="0.2">
      <c r="J859">
        <v>848</v>
      </c>
      <c r="K859" s="4">
        <v>2714301648.6198597</v>
      </c>
      <c r="L859">
        <f t="shared" si="16"/>
        <v>0</v>
      </c>
    </row>
    <row r="860" spans="10:12" x14ac:dyDescent="0.2">
      <c r="J860">
        <v>849</v>
      </c>
      <c r="K860" s="4">
        <v>3062568131.3491874</v>
      </c>
      <c r="L860">
        <f t="shared" si="16"/>
        <v>0</v>
      </c>
    </row>
    <row r="861" spans="10:12" x14ac:dyDescent="0.2">
      <c r="J861">
        <v>850</v>
      </c>
      <c r="K861" s="4">
        <v>2822222253.5015354</v>
      </c>
      <c r="L861">
        <f t="shared" si="16"/>
        <v>0</v>
      </c>
    </row>
    <row r="862" spans="10:12" x14ac:dyDescent="0.2">
      <c r="J862">
        <v>851</v>
      </c>
      <c r="K862" s="4">
        <v>2927935227.9114709</v>
      </c>
      <c r="L862">
        <f t="shared" si="16"/>
        <v>0</v>
      </c>
    </row>
    <row r="863" spans="10:12" x14ac:dyDescent="0.2">
      <c r="J863">
        <v>852</v>
      </c>
      <c r="K863" s="4">
        <v>3049146140.9821968</v>
      </c>
      <c r="L863">
        <f t="shared" si="16"/>
        <v>0</v>
      </c>
    </row>
    <row r="864" spans="10:12" x14ac:dyDescent="0.2">
      <c r="J864">
        <v>853</v>
      </c>
      <c r="K864" s="4">
        <v>3088778058.4231386</v>
      </c>
      <c r="L864">
        <f t="shared" si="16"/>
        <v>0</v>
      </c>
    </row>
    <row r="865" spans="10:12" x14ac:dyDescent="0.2">
      <c r="J865">
        <v>854</v>
      </c>
      <c r="K865" s="4">
        <v>2719998727.5775566</v>
      </c>
      <c r="L865">
        <f t="shared" si="16"/>
        <v>0</v>
      </c>
    </row>
    <row r="866" spans="10:12" x14ac:dyDescent="0.2">
      <c r="J866">
        <v>855</v>
      </c>
      <c r="K866" s="4">
        <v>3108663694.2536488</v>
      </c>
      <c r="L866">
        <f t="shared" si="16"/>
        <v>0</v>
      </c>
    </row>
    <row r="867" spans="10:12" x14ac:dyDescent="0.2">
      <c r="J867">
        <v>856</v>
      </c>
      <c r="K867" s="4">
        <v>2821364104.9343605</v>
      </c>
      <c r="L867">
        <f t="shared" si="16"/>
        <v>0</v>
      </c>
    </row>
    <row r="868" spans="10:12" x14ac:dyDescent="0.2">
      <c r="J868">
        <v>857</v>
      </c>
      <c r="K868" s="4">
        <v>2906259967.0625091</v>
      </c>
      <c r="L868">
        <f t="shared" si="16"/>
        <v>0</v>
      </c>
    </row>
    <row r="869" spans="10:12" x14ac:dyDescent="0.2">
      <c r="J869">
        <v>858</v>
      </c>
      <c r="K869" s="4">
        <v>2973682520.7947206</v>
      </c>
      <c r="L869">
        <f t="shared" si="16"/>
        <v>0</v>
      </c>
    </row>
    <row r="870" spans="10:12" x14ac:dyDescent="0.2">
      <c r="J870">
        <v>859</v>
      </c>
      <c r="K870" s="4">
        <v>2894990036.8709006</v>
      </c>
      <c r="L870">
        <f t="shared" si="16"/>
        <v>0</v>
      </c>
    </row>
    <row r="871" spans="10:12" x14ac:dyDescent="0.2">
      <c r="J871">
        <v>860</v>
      </c>
      <c r="K871" s="4">
        <v>2700026049.8613477</v>
      </c>
      <c r="L871">
        <f t="shared" si="16"/>
        <v>0</v>
      </c>
    </row>
    <row r="872" spans="10:12" x14ac:dyDescent="0.2">
      <c r="J872">
        <v>861</v>
      </c>
      <c r="K872" s="4">
        <v>3091503315.7503142</v>
      </c>
      <c r="L872">
        <f t="shared" si="16"/>
        <v>0</v>
      </c>
    </row>
    <row r="873" spans="10:12" x14ac:dyDescent="0.2">
      <c r="J873">
        <v>862</v>
      </c>
      <c r="K873" s="4">
        <v>2961646693.9138217</v>
      </c>
      <c r="L873">
        <f t="shared" si="16"/>
        <v>0</v>
      </c>
    </row>
    <row r="874" spans="10:12" x14ac:dyDescent="0.2">
      <c r="J874">
        <v>863</v>
      </c>
      <c r="K874" s="4">
        <v>2915856043.9515934</v>
      </c>
      <c r="L874">
        <f t="shared" si="16"/>
        <v>0</v>
      </c>
    </row>
    <row r="875" spans="10:12" x14ac:dyDescent="0.2">
      <c r="J875">
        <v>864</v>
      </c>
      <c r="K875" s="4">
        <v>3067678707.8561788</v>
      </c>
      <c r="L875">
        <f t="shared" si="16"/>
        <v>0</v>
      </c>
    </row>
    <row r="876" spans="10:12" x14ac:dyDescent="0.2">
      <c r="J876">
        <v>865</v>
      </c>
      <c r="K876" s="4">
        <v>3110641592.8736944</v>
      </c>
      <c r="L876">
        <f t="shared" si="16"/>
        <v>0</v>
      </c>
    </row>
    <row r="877" spans="10:12" x14ac:dyDescent="0.2">
      <c r="J877">
        <v>866</v>
      </c>
      <c r="K877" s="4">
        <v>3198373918.9006858</v>
      </c>
      <c r="L877">
        <f t="shared" si="16"/>
        <v>0</v>
      </c>
    </row>
    <row r="878" spans="10:12" x14ac:dyDescent="0.2">
      <c r="J878">
        <v>867</v>
      </c>
      <c r="K878" s="4">
        <v>2829875292.1507778</v>
      </c>
      <c r="L878">
        <f t="shared" si="16"/>
        <v>0</v>
      </c>
    </row>
    <row r="879" spans="10:12" x14ac:dyDescent="0.2">
      <c r="J879">
        <v>868</v>
      </c>
      <c r="K879" s="4">
        <v>2963288448.5907388</v>
      </c>
      <c r="L879">
        <f t="shared" si="16"/>
        <v>0</v>
      </c>
    </row>
    <row r="880" spans="10:12" x14ac:dyDescent="0.2">
      <c r="J880">
        <v>869</v>
      </c>
      <c r="K880" s="4">
        <v>2975221772.8571806</v>
      </c>
      <c r="L880">
        <f t="shared" si="16"/>
        <v>0</v>
      </c>
    </row>
    <row r="881" spans="10:12" x14ac:dyDescent="0.2">
      <c r="J881">
        <v>870</v>
      </c>
      <c r="K881" s="4">
        <v>2712483814.7030153</v>
      </c>
      <c r="L881">
        <f t="shared" si="16"/>
        <v>0</v>
      </c>
    </row>
    <row r="882" spans="10:12" x14ac:dyDescent="0.2">
      <c r="J882">
        <v>871</v>
      </c>
      <c r="K882" s="4">
        <v>3041215420.5431609</v>
      </c>
      <c r="L882">
        <f t="shared" si="16"/>
        <v>0</v>
      </c>
    </row>
    <row r="883" spans="10:12" x14ac:dyDescent="0.2">
      <c r="J883">
        <v>872</v>
      </c>
      <c r="K883" s="4">
        <v>2991929181.7927108</v>
      </c>
      <c r="L883">
        <f t="shared" si="16"/>
        <v>0</v>
      </c>
    </row>
    <row r="884" spans="10:12" x14ac:dyDescent="0.2">
      <c r="J884">
        <v>873</v>
      </c>
      <c r="K884" s="4">
        <v>3111495529.6123948</v>
      </c>
      <c r="L884">
        <f t="shared" si="16"/>
        <v>0</v>
      </c>
    </row>
    <row r="885" spans="10:12" x14ac:dyDescent="0.2">
      <c r="J885">
        <v>874</v>
      </c>
      <c r="K885" s="4">
        <v>3261531566.2896538</v>
      </c>
      <c r="L885">
        <f t="shared" si="16"/>
        <v>0</v>
      </c>
    </row>
    <row r="886" spans="10:12" x14ac:dyDescent="0.2">
      <c r="J886">
        <v>875</v>
      </c>
      <c r="K886" s="4">
        <v>3116564517.2832079</v>
      </c>
      <c r="L886">
        <f t="shared" si="16"/>
        <v>0</v>
      </c>
    </row>
    <row r="887" spans="10:12" x14ac:dyDescent="0.2">
      <c r="J887">
        <v>876</v>
      </c>
      <c r="K887" s="4">
        <v>2723095100.0179195</v>
      </c>
      <c r="L887">
        <f t="shared" si="16"/>
        <v>0</v>
      </c>
    </row>
    <row r="888" spans="10:12" x14ac:dyDescent="0.2">
      <c r="J888">
        <v>877</v>
      </c>
      <c r="K888" s="4">
        <v>2748342666.7894311</v>
      </c>
      <c r="L888">
        <f t="shared" si="16"/>
        <v>0</v>
      </c>
    </row>
    <row r="889" spans="10:12" x14ac:dyDescent="0.2">
      <c r="J889">
        <v>878</v>
      </c>
      <c r="K889" s="4">
        <v>3007281103.9491887</v>
      </c>
      <c r="L889">
        <f t="shared" si="16"/>
        <v>0</v>
      </c>
    </row>
    <row r="890" spans="10:12" x14ac:dyDescent="0.2">
      <c r="J890">
        <v>879</v>
      </c>
      <c r="K890" s="4">
        <v>3020252314.8439713</v>
      </c>
      <c r="L890">
        <f t="shared" si="16"/>
        <v>0</v>
      </c>
    </row>
    <row r="891" spans="10:12" x14ac:dyDescent="0.2">
      <c r="J891">
        <v>880</v>
      </c>
      <c r="K891" s="4">
        <v>2663271387.0570083</v>
      </c>
      <c r="L891">
        <f t="shared" si="16"/>
        <v>0</v>
      </c>
    </row>
    <row r="892" spans="10:12" x14ac:dyDescent="0.2">
      <c r="J892">
        <v>881</v>
      </c>
      <c r="K892" s="4">
        <v>2927658203.0880861</v>
      </c>
      <c r="L892">
        <f t="shared" si="16"/>
        <v>0</v>
      </c>
    </row>
    <row r="893" spans="10:12" x14ac:dyDescent="0.2">
      <c r="J893">
        <v>882</v>
      </c>
      <c r="K893" s="4">
        <v>2883768284.3479099</v>
      </c>
      <c r="L893">
        <f t="shared" si="16"/>
        <v>0</v>
      </c>
    </row>
    <row r="894" spans="10:12" x14ac:dyDescent="0.2">
      <c r="J894">
        <v>883</v>
      </c>
      <c r="K894" s="4">
        <v>2858280527.6413341</v>
      </c>
      <c r="L894">
        <f t="shared" si="16"/>
        <v>0</v>
      </c>
    </row>
    <row r="895" spans="10:12" x14ac:dyDescent="0.2">
      <c r="J895">
        <v>884</v>
      </c>
      <c r="K895" s="4">
        <v>2900211467.5949426</v>
      </c>
      <c r="L895">
        <f t="shared" si="16"/>
        <v>0</v>
      </c>
    </row>
    <row r="896" spans="10:12" x14ac:dyDescent="0.2">
      <c r="J896">
        <v>885</v>
      </c>
      <c r="K896" s="4">
        <v>3043936064.0789237</v>
      </c>
      <c r="L896">
        <f t="shared" si="16"/>
        <v>0</v>
      </c>
    </row>
    <row r="897" spans="10:12" x14ac:dyDescent="0.2">
      <c r="J897">
        <v>886</v>
      </c>
      <c r="K897" s="4">
        <v>2952815480.8437996</v>
      </c>
      <c r="L897">
        <f t="shared" si="16"/>
        <v>0</v>
      </c>
    </row>
    <row r="898" spans="10:12" x14ac:dyDescent="0.2">
      <c r="J898">
        <v>887</v>
      </c>
      <c r="K898" s="4">
        <v>3031763197.6661186</v>
      </c>
      <c r="L898">
        <f t="shared" si="16"/>
        <v>0</v>
      </c>
    </row>
    <row r="899" spans="10:12" x14ac:dyDescent="0.2">
      <c r="J899">
        <v>888</v>
      </c>
      <c r="K899" s="4">
        <v>3159318766.5294838</v>
      </c>
      <c r="L899">
        <f t="shared" si="16"/>
        <v>0</v>
      </c>
    </row>
    <row r="900" spans="10:12" x14ac:dyDescent="0.2">
      <c r="J900">
        <v>889</v>
      </c>
      <c r="K900" s="4">
        <v>2682418043.2045546</v>
      </c>
      <c r="L900">
        <f t="shared" si="16"/>
        <v>0</v>
      </c>
    </row>
    <row r="901" spans="10:12" x14ac:dyDescent="0.2">
      <c r="J901">
        <v>890</v>
      </c>
      <c r="K901" s="4">
        <v>2851332545.218914</v>
      </c>
      <c r="L901">
        <f t="shared" si="16"/>
        <v>0</v>
      </c>
    </row>
    <row r="902" spans="10:12" x14ac:dyDescent="0.2">
      <c r="J902">
        <v>891</v>
      </c>
      <c r="K902" s="4">
        <v>2931664747.7557468</v>
      </c>
      <c r="L902">
        <f t="shared" si="16"/>
        <v>0</v>
      </c>
    </row>
    <row r="903" spans="10:12" x14ac:dyDescent="0.2">
      <c r="J903">
        <v>892</v>
      </c>
      <c r="K903" s="4">
        <v>3160111605.5490508</v>
      </c>
      <c r="L903">
        <f t="shared" si="16"/>
        <v>0</v>
      </c>
    </row>
    <row r="904" spans="10:12" x14ac:dyDescent="0.2">
      <c r="J904">
        <v>893</v>
      </c>
      <c r="K904" s="4">
        <v>2730328361.8130279</v>
      </c>
      <c r="L904">
        <f t="shared" si="16"/>
        <v>0</v>
      </c>
    </row>
    <row r="905" spans="10:12" x14ac:dyDescent="0.2">
      <c r="J905">
        <v>894</v>
      </c>
      <c r="K905" s="4">
        <v>2969209438.5277472</v>
      </c>
      <c r="L905">
        <f t="shared" si="16"/>
        <v>0</v>
      </c>
    </row>
    <row r="906" spans="10:12" x14ac:dyDescent="0.2">
      <c r="J906">
        <v>895</v>
      </c>
      <c r="K906" s="4">
        <v>2894433210.0109916</v>
      </c>
      <c r="L906">
        <f t="shared" si="16"/>
        <v>0</v>
      </c>
    </row>
    <row r="907" spans="10:12" x14ac:dyDescent="0.2">
      <c r="J907">
        <v>896</v>
      </c>
      <c r="K907" s="4">
        <v>2894302832.4379473</v>
      </c>
      <c r="L907">
        <f t="shared" si="16"/>
        <v>0</v>
      </c>
    </row>
    <row r="908" spans="10:12" x14ac:dyDescent="0.2">
      <c r="J908">
        <v>897</v>
      </c>
      <c r="K908" s="4">
        <v>3057358385.6916957</v>
      </c>
      <c r="L908">
        <f t="shared" si="16"/>
        <v>0</v>
      </c>
    </row>
    <row r="909" spans="10:12" x14ac:dyDescent="0.2">
      <c r="J909">
        <v>898</v>
      </c>
      <c r="K909" s="4">
        <v>2992893427.7369533</v>
      </c>
      <c r="L909">
        <f t="shared" ref="L909:L972" si="17">IF(K909&lt;1700000000,1,0)</f>
        <v>0</v>
      </c>
    </row>
    <row r="910" spans="10:12" x14ac:dyDescent="0.2">
      <c r="J910">
        <v>899</v>
      </c>
      <c r="K910" s="4">
        <v>2724611909.5429282</v>
      </c>
      <c r="L910">
        <f t="shared" si="17"/>
        <v>0</v>
      </c>
    </row>
    <row r="911" spans="10:12" x14ac:dyDescent="0.2">
      <c r="J911">
        <v>900</v>
      </c>
      <c r="K911" s="4">
        <v>2938991933.1202779</v>
      </c>
      <c r="L911">
        <f t="shared" si="17"/>
        <v>0</v>
      </c>
    </row>
    <row r="912" spans="10:12" x14ac:dyDescent="0.2">
      <c r="J912">
        <v>901</v>
      </c>
      <c r="K912" s="4">
        <v>2961818668.9438238</v>
      </c>
      <c r="L912">
        <f t="shared" si="17"/>
        <v>0</v>
      </c>
    </row>
    <row r="913" spans="10:12" x14ac:dyDescent="0.2">
      <c r="J913">
        <v>902</v>
      </c>
      <c r="K913" s="4">
        <v>3030029077.0575342</v>
      </c>
      <c r="L913">
        <f t="shared" si="17"/>
        <v>0</v>
      </c>
    </row>
    <row r="914" spans="10:12" x14ac:dyDescent="0.2">
      <c r="J914">
        <v>903</v>
      </c>
      <c r="K914" s="4">
        <v>2927332768.6915197</v>
      </c>
      <c r="L914">
        <f t="shared" si="17"/>
        <v>0</v>
      </c>
    </row>
    <row r="915" spans="10:12" x14ac:dyDescent="0.2">
      <c r="J915">
        <v>904</v>
      </c>
      <c r="K915" s="4">
        <v>3184806952.5292177</v>
      </c>
      <c r="L915">
        <f t="shared" si="17"/>
        <v>0</v>
      </c>
    </row>
    <row r="916" spans="10:12" x14ac:dyDescent="0.2">
      <c r="J916">
        <v>905</v>
      </c>
      <c r="K916" s="4">
        <v>2875366894.0622253</v>
      </c>
      <c r="L916">
        <f t="shared" si="17"/>
        <v>0</v>
      </c>
    </row>
    <row r="917" spans="10:12" x14ac:dyDescent="0.2">
      <c r="J917">
        <v>906</v>
      </c>
      <c r="K917" s="4">
        <v>3063881951.9690828</v>
      </c>
      <c r="L917">
        <f t="shared" si="17"/>
        <v>0</v>
      </c>
    </row>
    <row r="918" spans="10:12" x14ac:dyDescent="0.2">
      <c r="J918">
        <v>907</v>
      </c>
      <c r="K918" s="4">
        <v>2854421231.2973447</v>
      </c>
      <c r="L918">
        <f t="shared" si="17"/>
        <v>0</v>
      </c>
    </row>
    <row r="919" spans="10:12" x14ac:dyDescent="0.2">
      <c r="J919">
        <v>908</v>
      </c>
      <c r="K919" s="4">
        <v>3012108756.5910239</v>
      </c>
      <c r="L919">
        <f t="shared" si="17"/>
        <v>0</v>
      </c>
    </row>
    <row r="920" spans="10:12" x14ac:dyDescent="0.2">
      <c r="J920">
        <v>909</v>
      </c>
      <c r="K920" s="4">
        <v>2814762394.0631051</v>
      </c>
      <c r="L920">
        <f t="shared" si="17"/>
        <v>0</v>
      </c>
    </row>
    <row r="921" spans="10:12" x14ac:dyDescent="0.2">
      <c r="J921">
        <v>910</v>
      </c>
      <c r="K921" s="4">
        <v>2775775680.2830129</v>
      </c>
      <c r="L921">
        <f t="shared" si="17"/>
        <v>0</v>
      </c>
    </row>
    <row r="922" spans="10:12" x14ac:dyDescent="0.2">
      <c r="J922">
        <v>911</v>
      </c>
      <c r="K922" s="4">
        <v>3044227011.734673</v>
      </c>
      <c r="L922">
        <f t="shared" si="17"/>
        <v>0</v>
      </c>
    </row>
    <row r="923" spans="10:12" x14ac:dyDescent="0.2">
      <c r="J923">
        <v>912</v>
      </c>
      <c r="K923" s="4">
        <v>3023859103.3189921</v>
      </c>
      <c r="L923">
        <f t="shared" si="17"/>
        <v>0</v>
      </c>
    </row>
    <row r="924" spans="10:12" x14ac:dyDescent="0.2">
      <c r="J924">
        <v>913</v>
      </c>
      <c r="K924" s="4">
        <v>2971719378.2427573</v>
      </c>
      <c r="L924">
        <f t="shared" si="17"/>
        <v>0</v>
      </c>
    </row>
    <row r="925" spans="10:12" x14ac:dyDescent="0.2">
      <c r="J925">
        <v>914</v>
      </c>
      <c r="K925" s="4">
        <v>2962391820.2303534</v>
      </c>
      <c r="L925">
        <f t="shared" si="17"/>
        <v>0</v>
      </c>
    </row>
    <row r="926" spans="10:12" x14ac:dyDescent="0.2">
      <c r="J926">
        <v>915</v>
      </c>
      <c r="K926" s="4">
        <v>2972318764.9118342</v>
      </c>
      <c r="L926">
        <f t="shared" si="17"/>
        <v>0</v>
      </c>
    </row>
    <row r="927" spans="10:12" x14ac:dyDescent="0.2">
      <c r="J927">
        <v>916</v>
      </c>
      <c r="K927" s="4">
        <v>2816474375.7030654</v>
      </c>
      <c r="L927">
        <f t="shared" si="17"/>
        <v>0</v>
      </c>
    </row>
    <row r="928" spans="10:12" x14ac:dyDescent="0.2">
      <c r="J928">
        <v>917</v>
      </c>
      <c r="K928" s="4">
        <v>2895480330.540319</v>
      </c>
      <c r="L928">
        <f t="shared" si="17"/>
        <v>0</v>
      </c>
    </row>
    <row r="929" spans="10:12" x14ac:dyDescent="0.2">
      <c r="J929">
        <v>918</v>
      </c>
      <c r="K929" s="4">
        <v>2747756640.7377648</v>
      </c>
      <c r="L929">
        <f t="shared" si="17"/>
        <v>0</v>
      </c>
    </row>
    <row r="930" spans="10:12" x14ac:dyDescent="0.2">
      <c r="J930">
        <v>919</v>
      </c>
      <c r="K930" s="4">
        <v>2980988724.6304269</v>
      </c>
      <c r="L930">
        <f t="shared" si="17"/>
        <v>0</v>
      </c>
    </row>
    <row r="931" spans="10:12" x14ac:dyDescent="0.2">
      <c r="J931">
        <v>920</v>
      </c>
      <c r="K931" s="4">
        <v>3036477453.8744278</v>
      </c>
      <c r="L931">
        <f t="shared" si="17"/>
        <v>0</v>
      </c>
    </row>
    <row r="932" spans="10:12" x14ac:dyDescent="0.2">
      <c r="J932">
        <v>921</v>
      </c>
      <c r="K932" s="4">
        <v>3054577502.2079525</v>
      </c>
      <c r="L932">
        <f t="shared" si="17"/>
        <v>0</v>
      </c>
    </row>
    <row r="933" spans="10:12" x14ac:dyDescent="0.2">
      <c r="J933">
        <v>922</v>
      </c>
      <c r="K933" s="4">
        <v>2890636514.0778503</v>
      </c>
      <c r="L933">
        <f t="shared" si="17"/>
        <v>0</v>
      </c>
    </row>
    <row r="934" spans="10:12" x14ac:dyDescent="0.2">
      <c r="J934">
        <v>923</v>
      </c>
      <c r="K934" s="4">
        <v>3112285424.2860079</v>
      </c>
      <c r="L934">
        <f t="shared" si="17"/>
        <v>0</v>
      </c>
    </row>
    <row r="935" spans="10:12" x14ac:dyDescent="0.2">
      <c r="J935">
        <v>924</v>
      </c>
      <c r="K935" s="4">
        <v>2753183432.3937998</v>
      </c>
      <c r="L935">
        <f t="shared" si="17"/>
        <v>0</v>
      </c>
    </row>
    <row r="936" spans="10:12" x14ac:dyDescent="0.2">
      <c r="J936">
        <v>925</v>
      </c>
      <c r="K936" s="4">
        <v>2904288443.9035192</v>
      </c>
      <c r="L936">
        <f t="shared" si="17"/>
        <v>0</v>
      </c>
    </row>
    <row r="937" spans="10:12" x14ac:dyDescent="0.2">
      <c r="J937">
        <v>926</v>
      </c>
      <c r="K937" s="4">
        <v>2959470359.0400047</v>
      </c>
      <c r="L937">
        <f t="shared" si="17"/>
        <v>0</v>
      </c>
    </row>
    <row r="938" spans="10:12" x14ac:dyDescent="0.2">
      <c r="J938">
        <v>927</v>
      </c>
      <c r="K938" s="4">
        <v>2941557818.5054898</v>
      </c>
      <c r="L938">
        <f t="shared" si="17"/>
        <v>0</v>
      </c>
    </row>
    <row r="939" spans="10:12" x14ac:dyDescent="0.2">
      <c r="J939">
        <v>928</v>
      </c>
      <c r="K939" s="4">
        <v>3140132937.6681728</v>
      </c>
      <c r="L939">
        <f t="shared" si="17"/>
        <v>0</v>
      </c>
    </row>
    <row r="940" spans="10:12" x14ac:dyDescent="0.2">
      <c r="J940">
        <v>929</v>
      </c>
      <c r="K940" s="4">
        <v>3201922559.8688312</v>
      </c>
      <c r="L940">
        <f t="shared" si="17"/>
        <v>0</v>
      </c>
    </row>
    <row r="941" spans="10:12" x14ac:dyDescent="0.2">
      <c r="J941">
        <v>930</v>
      </c>
      <c r="K941" s="4">
        <v>3066948485.888566</v>
      </c>
      <c r="L941">
        <f t="shared" si="17"/>
        <v>0</v>
      </c>
    </row>
    <row r="942" spans="10:12" x14ac:dyDescent="0.2">
      <c r="J942">
        <v>931</v>
      </c>
      <c r="K942" s="4">
        <v>2908414768.5732646</v>
      </c>
      <c r="L942">
        <f t="shared" si="17"/>
        <v>0</v>
      </c>
    </row>
    <row r="943" spans="10:12" x14ac:dyDescent="0.2">
      <c r="J943">
        <v>932</v>
      </c>
      <c r="K943" s="4">
        <v>2987734083.3409863</v>
      </c>
      <c r="L943">
        <f t="shared" si="17"/>
        <v>0</v>
      </c>
    </row>
    <row r="944" spans="10:12" x14ac:dyDescent="0.2">
      <c r="J944">
        <v>933</v>
      </c>
      <c r="K944" s="4">
        <v>3153536670.5410361</v>
      </c>
      <c r="L944">
        <f t="shared" si="17"/>
        <v>0</v>
      </c>
    </row>
    <row r="945" spans="10:12" x14ac:dyDescent="0.2">
      <c r="J945">
        <v>934</v>
      </c>
      <c r="K945" s="4">
        <v>2871051474.0904751</v>
      </c>
      <c r="L945">
        <f t="shared" si="17"/>
        <v>0</v>
      </c>
    </row>
    <row r="946" spans="10:12" x14ac:dyDescent="0.2">
      <c r="J946">
        <v>935</v>
      </c>
      <c r="K946" s="4">
        <v>2779074205.1106429</v>
      </c>
      <c r="L946">
        <f t="shared" si="17"/>
        <v>0</v>
      </c>
    </row>
    <row r="947" spans="10:12" x14ac:dyDescent="0.2">
      <c r="J947">
        <v>936</v>
      </c>
      <c r="K947" s="4">
        <v>2976991482.071857</v>
      </c>
      <c r="L947">
        <f t="shared" si="17"/>
        <v>0</v>
      </c>
    </row>
    <row r="948" spans="10:12" x14ac:dyDescent="0.2">
      <c r="J948">
        <v>937</v>
      </c>
      <c r="K948" s="4">
        <v>3046580399.9326296</v>
      </c>
      <c r="L948">
        <f t="shared" si="17"/>
        <v>0</v>
      </c>
    </row>
    <row r="949" spans="10:12" x14ac:dyDescent="0.2">
      <c r="J949">
        <v>938</v>
      </c>
      <c r="K949" s="4">
        <v>3006198760.347178</v>
      </c>
      <c r="L949">
        <f t="shared" si="17"/>
        <v>0</v>
      </c>
    </row>
    <row r="950" spans="10:12" x14ac:dyDescent="0.2">
      <c r="J950">
        <v>939</v>
      </c>
      <c r="K950" s="4">
        <v>2888347064.0336065</v>
      </c>
      <c r="L950">
        <f t="shared" si="17"/>
        <v>0</v>
      </c>
    </row>
    <row r="951" spans="10:12" x14ac:dyDescent="0.2">
      <c r="J951">
        <v>940</v>
      </c>
      <c r="K951" s="4">
        <v>2730251194.9920373</v>
      </c>
      <c r="L951">
        <f t="shared" si="17"/>
        <v>0</v>
      </c>
    </row>
    <row r="952" spans="10:12" x14ac:dyDescent="0.2">
      <c r="J952">
        <v>941</v>
      </c>
      <c r="K952" s="4">
        <v>2939941428.4630423</v>
      </c>
      <c r="L952">
        <f t="shared" si="17"/>
        <v>0</v>
      </c>
    </row>
    <row r="953" spans="10:12" x14ac:dyDescent="0.2">
      <c r="J953">
        <v>942</v>
      </c>
      <c r="K953" s="4">
        <v>2947644002.3609223</v>
      </c>
      <c r="L953">
        <f t="shared" si="17"/>
        <v>0</v>
      </c>
    </row>
    <row r="954" spans="10:12" x14ac:dyDescent="0.2">
      <c r="J954">
        <v>943</v>
      </c>
      <c r="K954" s="4">
        <v>3032969729.961978</v>
      </c>
      <c r="L954">
        <f t="shared" si="17"/>
        <v>0</v>
      </c>
    </row>
    <row r="955" spans="10:12" x14ac:dyDescent="0.2">
      <c r="J955">
        <v>944</v>
      </c>
      <c r="K955" s="4">
        <v>2792882708.0915918</v>
      </c>
      <c r="L955">
        <f t="shared" si="17"/>
        <v>0</v>
      </c>
    </row>
    <row r="956" spans="10:12" x14ac:dyDescent="0.2">
      <c r="J956">
        <v>945</v>
      </c>
      <c r="K956" s="4">
        <v>3040382137.6736321</v>
      </c>
      <c r="L956">
        <f t="shared" si="17"/>
        <v>0</v>
      </c>
    </row>
    <row r="957" spans="10:12" x14ac:dyDescent="0.2">
      <c r="J957">
        <v>946</v>
      </c>
      <c r="K957" s="4">
        <v>2881672438.5420923</v>
      </c>
      <c r="L957">
        <f t="shared" si="17"/>
        <v>0</v>
      </c>
    </row>
    <row r="958" spans="10:12" x14ac:dyDescent="0.2">
      <c r="J958">
        <v>947</v>
      </c>
      <c r="K958" s="4">
        <v>2807523592.7552557</v>
      </c>
      <c r="L958">
        <f t="shared" si="17"/>
        <v>0</v>
      </c>
    </row>
    <row r="959" spans="10:12" x14ac:dyDescent="0.2">
      <c r="J959">
        <v>948</v>
      </c>
      <c r="K959" s="4">
        <v>2911312348.5695729</v>
      </c>
      <c r="L959">
        <f t="shared" si="17"/>
        <v>0</v>
      </c>
    </row>
    <row r="960" spans="10:12" x14ac:dyDescent="0.2">
      <c r="J960">
        <v>949</v>
      </c>
      <c r="K960" s="4">
        <v>2674971928.5553141</v>
      </c>
      <c r="L960">
        <f t="shared" si="17"/>
        <v>0</v>
      </c>
    </row>
    <row r="961" spans="10:12" x14ac:dyDescent="0.2">
      <c r="J961">
        <v>950</v>
      </c>
      <c r="K961" s="4">
        <v>2969602573.1142182</v>
      </c>
      <c r="L961">
        <f t="shared" si="17"/>
        <v>0</v>
      </c>
    </row>
    <row r="962" spans="10:12" x14ac:dyDescent="0.2">
      <c r="J962">
        <v>951</v>
      </c>
      <c r="K962" s="4">
        <v>2816203826.3522606</v>
      </c>
      <c r="L962">
        <f t="shared" si="17"/>
        <v>0</v>
      </c>
    </row>
    <row r="963" spans="10:12" x14ac:dyDescent="0.2">
      <c r="J963">
        <v>952</v>
      </c>
      <c r="K963" s="4">
        <v>2911748114.123641</v>
      </c>
      <c r="L963">
        <f t="shared" si="17"/>
        <v>0</v>
      </c>
    </row>
    <row r="964" spans="10:12" x14ac:dyDescent="0.2">
      <c r="J964">
        <v>953</v>
      </c>
      <c r="K964" s="4">
        <v>2854884374.0293732</v>
      </c>
      <c r="L964">
        <f t="shared" si="17"/>
        <v>0</v>
      </c>
    </row>
    <row r="965" spans="10:12" x14ac:dyDescent="0.2">
      <c r="J965">
        <v>954</v>
      </c>
      <c r="K965" s="4">
        <v>2943526993.1276608</v>
      </c>
      <c r="L965">
        <f t="shared" si="17"/>
        <v>0</v>
      </c>
    </row>
    <row r="966" spans="10:12" x14ac:dyDescent="0.2">
      <c r="J966">
        <v>955</v>
      </c>
      <c r="K966" s="4">
        <v>2888444011.1173058</v>
      </c>
      <c r="L966">
        <f t="shared" si="17"/>
        <v>0</v>
      </c>
    </row>
    <row r="967" spans="10:12" x14ac:dyDescent="0.2">
      <c r="J967">
        <v>956</v>
      </c>
      <c r="K967" s="4">
        <v>2949643385.2652135</v>
      </c>
      <c r="L967">
        <f t="shared" si="17"/>
        <v>0</v>
      </c>
    </row>
    <row r="968" spans="10:12" x14ac:dyDescent="0.2">
      <c r="J968">
        <v>957</v>
      </c>
      <c r="K968" s="4">
        <v>2923512023.1596227</v>
      </c>
      <c r="L968">
        <f t="shared" si="17"/>
        <v>0</v>
      </c>
    </row>
    <row r="969" spans="10:12" x14ac:dyDescent="0.2">
      <c r="J969">
        <v>958</v>
      </c>
      <c r="K969" s="4">
        <v>3115065053.5426192</v>
      </c>
      <c r="L969">
        <f t="shared" si="17"/>
        <v>0</v>
      </c>
    </row>
    <row r="970" spans="10:12" x14ac:dyDescent="0.2">
      <c r="J970">
        <v>959</v>
      </c>
      <c r="K970" s="4">
        <v>2843589441.7598262</v>
      </c>
      <c r="L970">
        <f t="shared" si="17"/>
        <v>0</v>
      </c>
    </row>
    <row r="971" spans="10:12" x14ac:dyDescent="0.2">
      <c r="J971">
        <v>960</v>
      </c>
      <c r="K971" s="4">
        <v>2992780031.9945965</v>
      </c>
      <c r="L971">
        <f t="shared" si="17"/>
        <v>0</v>
      </c>
    </row>
    <row r="972" spans="10:12" x14ac:dyDescent="0.2">
      <c r="J972">
        <v>961</v>
      </c>
      <c r="K972" s="4">
        <v>2771277458.2667861</v>
      </c>
      <c r="L972">
        <f t="shared" si="17"/>
        <v>0</v>
      </c>
    </row>
    <row r="973" spans="10:12" x14ac:dyDescent="0.2">
      <c r="J973">
        <v>962</v>
      </c>
      <c r="K973" s="4">
        <v>3065949028.1234179</v>
      </c>
      <c r="L973">
        <f t="shared" ref="L973:L1011" si="18">IF(K973&lt;1700000000,1,0)</f>
        <v>0</v>
      </c>
    </row>
    <row r="974" spans="10:12" x14ac:dyDescent="0.2">
      <c r="J974">
        <v>963</v>
      </c>
      <c r="K974" s="4">
        <v>2896638630.2442536</v>
      </c>
      <c r="L974">
        <f t="shared" si="18"/>
        <v>0</v>
      </c>
    </row>
    <row r="975" spans="10:12" x14ac:dyDescent="0.2">
      <c r="J975">
        <v>964</v>
      </c>
      <c r="K975" s="4">
        <v>3173500474.5481257</v>
      </c>
      <c r="L975">
        <f t="shared" si="18"/>
        <v>0</v>
      </c>
    </row>
    <row r="976" spans="10:12" x14ac:dyDescent="0.2">
      <c r="J976">
        <v>965</v>
      </c>
      <c r="K976" s="4">
        <v>2997623054.5687304</v>
      </c>
      <c r="L976">
        <f t="shared" si="18"/>
        <v>0</v>
      </c>
    </row>
    <row r="977" spans="10:12" x14ac:dyDescent="0.2">
      <c r="J977">
        <v>966</v>
      </c>
      <c r="K977" s="4">
        <v>2768419121.7619038</v>
      </c>
      <c r="L977">
        <f t="shared" si="18"/>
        <v>0</v>
      </c>
    </row>
    <row r="978" spans="10:12" x14ac:dyDescent="0.2">
      <c r="J978">
        <v>967</v>
      </c>
      <c r="K978" s="4">
        <v>2640686353.5343342</v>
      </c>
      <c r="L978">
        <f t="shared" si="18"/>
        <v>0</v>
      </c>
    </row>
    <row r="979" spans="10:12" x14ac:dyDescent="0.2">
      <c r="J979">
        <v>968</v>
      </c>
      <c r="K979" s="4">
        <v>2655510409.0482879</v>
      </c>
      <c r="L979">
        <f t="shared" si="18"/>
        <v>0</v>
      </c>
    </row>
    <row r="980" spans="10:12" x14ac:dyDescent="0.2">
      <c r="J980">
        <v>969</v>
      </c>
      <c r="K980" s="4">
        <v>2932910752.1662679</v>
      </c>
      <c r="L980">
        <f t="shared" si="18"/>
        <v>0</v>
      </c>
    </row>
    <row r="981" spans="10:12" x14ac:dyDescent="0.2">
      <c r="J981">
        <v>970</v>
      </c>
      <c r="K981" s="4">
        <v>3200561378.2883492</v>
      </c>
      <c r="L981">
        <f t="shared" si="18"/>
        <v>0</v>
      </c>
    </row>
    <row r="982" spans="10:12" x14ac:dyDescent="0.2">
      <c r="J982">
        <v>971</v>
      </c>
      <c r="K982" s="4">
        <v>3203892904.7808142</v>
      </c>
      <c r="L982">
        <f t="shared" si="18"/>
        <v>0</v>
      </c>
    </row>
    <row r="983" spans="10:12" x14ac:dyDescent="0.2">
      <c r="J983">
        <v>972</v>
      </c>
      <c r="K983" s="4">
        <v>2896730951.6881232</v>
      </c>
      <c r="L983">
        <f t="shared" si="18"/>
        <v>0</v>
      </c>
    </row>
    <row r="984" spans="10:12" x14ac:dyDescent="0.2">
      <c r="J984">
        <v>973</v>
      </c>
      <c r="K984" s="4">
        <v>3177065559.6075807</v>
      </c>
      <c r="L984">
        <f t="shared" si="18"/>
        <v>0</v>
      </c>
    </row>
    <row r="985" spans="10:12" x14ac:dyDescent="0.2">
      <c r="J985">
        <v>974</v>
      </c>
      <c r="K985" s="4">
        <v>3169844915.0829759</v>
      </c>
      <c r="L985">
        <f t="shared" si="18"/>
        <v>0</v>
      </c>
    </row>
    <row r="986" spans="10:12" x14ac:dyDescent="0.2">
      <c r="J986">
        <v>975</v>
      </c>
      <c r="K986" s="4">
        <v>2968706069.1588616</v>
      </c>
      <c r="L986">
        <f t="shared" si="18"/>
        <v>0</v>
      </c>
    </row>
    <row r="987" spans="10:12" x14ac:dyDescent="0.2">
      <c r="J987">
        <v>976</v>
      </c>
      <c r="K987" s="4">
        <v>2846990324.3277497</v>
      </c>
      <c r="L987">
        <f t="shared" si="18"/>
        <v>0</v>
      </c>
    </row>
    <row r="988" spans="10:12" x14ac:dyDescent="0.2">
      <c r="J988">
        <v>977</v>
      </c>
      <c r="K988" s="4">
        <v>3115405018.3291912</v>
      </c>
      <c r="L988">
        <f t="shared" si="18"/>
        <v>0</v>
      </c>
    </row>
    <row r="989" spans="10:12" x14ac:dyDescent="0.2">
      <c r="J989">
        <v>978</v>
      </c>
      <c r="K989" s="4">
        <v>3159896462.2695951</v>
      </c>
      <c r="L989">
        <f t="shared" si="18"/>
        <v>0</v>
      </c>
    </row>
    <row r="990" spans="10:12" x14ac:dyDescent="0.2">
      <c r="J990">
        <v>979</v>
      </c>
      <c r="K990" s="4">
        <v>2821347495.5936084</v>
      </c>
      <c r="L990">
        <f t="shared" si="18"/>
        <v>0</v>
      </c>
    </row>
    <row r="991" spans="10:12" x14ac:dyDescent="0.2">
      <c r="J991">
        <v>980</v>
      </c>
      <c r="K991" s="4">
        <v>2873162880.6926856</v>
      </c>
      <c r="L991">
        <f t="shared" si="18"/>
        <v>0</v>
      </c>
    </row>
    <row r="992" spans="10:12" x14ac:dyDescent="0.2">
      <c r="J992">
        <v>981</v>
      </c>
      <c r="K992" s="4">
        <v>3040540114.1785092</v>
      </c>
      <c r="L992">
        <f t="shared" si="18"/>
        <v>0</v>
      </c>
    </row>
    <row r="993" spans="10:12" x14ac:dyDescent="0.2">
      <c r="J993">
        <v>982</v>
      </c>
      <c r="K993" s="4">
        <v>2974050874.0068378</v>
      </c>
      <c r="L993">
        <f t="shared" si="18"/>
        <v>0</v>
      </c>
    </row>
    <row r="994" spans="10:12" x14ac:dyDescent="0.2">
      <c r="J994">
        <v>983</v>
      </c>
      <c r="K994" s="4">
        <v>2902877575.030694</v>
      </c>
      <c r="L994">
        <f t="shared" si="18"/>
        <v>0</v>
      </c>
    </row>
    <row r="995" spans="10:12" x14ac:dyDescent="0.2">
      <c r="J995">
        <v>984</v>
      </c>
      <c r="K995" s="4">
        <v>2931876571.8712935</v>
      </c>
      <c r="L995">
        <f t="shared" si="18"/>
        <v>0</v>
      </c>
    </row>
    <row r="996" spans="10:12" x14ac:dyDescent="0.2">
      <c r="J996">
        <v>985</v>
      </c>
      <c r="K996" s="4">
        <v>2754456769.4841514</v>
      </c>
      <c r="L996">
        <f t="shared" si="18"/>
        <v>0</v>
      </c>
    </row>
    <row r="997" spans="10:12" x14ac:dyDescent="0.2">
      <c r="J997">
        <v>986</v>
      </c>
      <c r="K997" s="4">
        <v>2798921528.4929042</v>
      </c>
      <c r="L997">
        <f t="shared" si="18"/>
        <v>0</v>
      </c>
    </row>
    <row r="998" spans="10:12" x14ac:dyDescent="0.2">
      <c r="J998">
        <v>987</v>
      </c>
      <c r="K998" s="4">
        <v>2801377947.4495764</v>
      </c>
      <c r="L998">
        <f t="shared" si="18"/>
        <v>0</v>
      </c>
    </row>
    <row r="999" spans="10:12" x14ac:dyDescent="0.2">
      <c r="J999">
        <v>988</v>
      </c>
      <c r="K999" s="4">
        <v>2960849223.1658549</v>
      </c>
      <c r="L999">
        <f t="shared" si="18"/>
        <v>0</v>
      </c>
    </row>
    <row r="1000" spans="10:12" x14ac:dyDescent="0.2">
      <c r="J1000">
        <v>989</v>
      </c>
      <c r="K1000" s="4">
        <v>2953143837.2359595</v>
      </c>
      <c r="L1000">
        <f t="shared" si="18"/>
        <v>0</v>
      </c>
    </row>
    <row r="1001" spans="10:12" x14ac:dyDescent="0.2">
      <c r="J1001">
        <v>990</v>
      </c>
      <c r="K1001" s="4">
        <v>2941838762.3101521</v>
      </c>
      <c r="L1001">
        <f t="shared" si="18"/>
        <v>0</v>
      </c>
    </row>
    <row r="1002" spans="10:12" x14ac:dyDescent="0.2">
      <c r="J1002">
        <v>991</v>
      </c>
      <c r="K1002" s="4">
        <v>3113801912.8438411</v>
      </c>
      <c r="L1002">
        <f t="shared" si="18"/>
        <v>0</v>
      </c>
    </row>
    <row r="1003" spans="10:12" x14ac:dyDescent="0.2">
      <c r="J1003">
        <v>992</v>
      </c>
      <c r="K1003" s="4">
        <v>2981941007.1511893</v>
      </c>
      <c r="L1003">
        <f t="shared" si="18"/>
        <v>0</v>
      </c>
    </row>
    <row r="1004" spans="10:12" x14ac:dyDescent="0.2">
      <c r="J1004">
        <v>993</v>
      </c>
      <c r="K1004" s="4">
        <v>2998573098.9675741</v>
      </c>
      <c r="L1004">
        <f t="shared" si="18"/>
        <v>0</v>
      </c>
    </row>
    <row r="1005" spans="10:12" x14ac:dyDescent="0.2">
      <c r="J1005">
        <v>994</v>
      </c>
      <c r="K1005" s="4">
        <v>3106839060.5859351</v>
      </c>
      <c r="L1005">
        <f t="shared" si="18"/>
        <v>0</v>
      </c>
    </row>
    <row r="1006" spans="10:12" x14ac:dyDescent="0.2">
      <c r="J1006">
        <v>995</v>
      </c>
      <c r="K1006" s="4">
        <v>3059595592.0017285</v>
      </c>
      <c r="L1006">
        <f t="shared" si="18"/>
        <v>0</v>
      </c>
    </row>
    <row r="1007" spans="10:12" x14ac:dyDescent="0.2">
      <c r="J1007">
        <v>996</v>
      </c>
      <c r="K1007" s="4">
        <v>2964204079.3731675</v>
      </c>
      <c r="L1007">
        <f t="shared" si="18"/>
        <v>0</v>
      </c>
    </row>
    <row r="1008" spans="10:12" x14ac:dyDescent="0.2">
      <c r="J1008">
        <v>997</v>
      </c>
      <c r="K1008" s="4">
        <v>2808862997.2199903</v>
      </c>
      <c r="L1008">
        <f t="shared" si="18"/>
        <v>0</v>
      </c>
    </row>
    <row r="1009" spans="10:12" x14ac:dyDescent="0.2">
      <c r="J1009">
        <v>998</v>
      </c>
      <c r="K1009" s="4">
        <v>2797476291.0164695</v>
      </c>
      <c r="L1009">
        <f t="shared" si="18"/>
        <v>0</v>
      </c>
    </row>
    <row r="1010" spans="10:12" x14ac:dyDescent="0.2">
      <c r="J1010">
        <v>999</v>
      </c>
      <c r="K1010" s="4">
        <v>2952849300.5652146</v>
      </c>
      <c r="L1010">
        <f t="shared" si="18"/>
        <v>0</v>
      </c>
    </row>
    <row r="1011" spans="10:12" x14ac:dyDescent="0.2">
      <c r="J1011">
        <v>1000</v>
      </c>
      <c r="K1011" s="4">
        <v>2667095099.2283101</v>
      </c>
      <c r="L1011">
        <f t="shared" si="18"/>
        <v>0</v>
      </c>
    </row>
  </sheetData>
  <sortState xmlns:xlrd2="http://schemas.microsoft.com/office/spreadsheetml/2017/richdata2" ref="U12:V43">
    <sortCondition descending="1" ref="V12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1503-FC1F-D344-8E2A-D70F82C7855C}">
  <dimension ref="B5:X1010"/>
  <sheetViews>
    <sheetView zoomScale="118" workbookViewId="0">
      <selection activeCell="X7" sqref="X7"/>
    </sheetView>
  </sheetViews>
  <sheetFormatPr baseColWidth="10" defaultRowHeight="16" x14ac:dyDescent="0.2"/>
  <cols>
    <col min="3" max="6" width="18.33203125" bestFit="1" customWidth="1"/>
    <col min="7" max="7" width="19.33203125" bestFit="1" customWidth="1"/>
    <col min="9" max="9" width="12.1640625" bestFit="1" customWidth="1"/>
    <col min="10" max="10" width="19.83203125" bestFit="1" customWidth="1"/>
    <col min="11" max="11" width="13.5" bestFit="1" customWidth="1"/>
    <col min="12" max="12" width="35.1640625" bestFit="1" customWidth="1"/>
    <col min="13" max="13" width="20" bestFit="1" customWidth="1"/>
    <col min="14" max="14" width="27.1640625" bestFit="1" customWidth="1"/>
    <col min="15" max="15" width="20" bestFit="1" customWidth="1"/>
    <col min="16" max="16" width="27.1640625" bestFit="1" customWidth="1"/>
    <col min="17" max="17" width="16.83203125" bestFit="1" customWidth="1"/>
    <col min="18" max="18" width="19.6640625" bestFit="1" customWidth="1"/>
    <col min="19" max="19" width="11" bestFit="1" customWidth="1"/>
    <col min="21" max="21" width="12" bestFit="1" customWidth="1"/>
    <col min="22" max="22" width="11" bestFit="1" customWidth="1"/>
  </cols>
  <sheetData>
    <row r="5" spans="2:24" x14ac:dyDescent="0.2">
      <c r="I5" s="10" t="s">
        <v>75</v>
      </c>
      <c r="J5" s="35">
        <v>0.06</v>
      </c>
    </row>
    <row r="6" spans="2:24" ht="17" thickBot="1" x14ac:dyDescent="0.25"/>
    <row r="7" spans="2:24" ht="17" thickBot="1" x14ac:dyDescent="0.25">
      <c r="I7" s="10" t="s">
        <v>76</v>
      </c>
      <c r="J7" s="4">
        <f ca="1">NPV(J5,G13:G32)</f>
        <v>2812033104.2259059</v>
      </c>
      <c r="X7" s="84" t="s">
        <v>137</v>
      </c>
    </row>
    <row r="8" spans="2:24" ht="17" thickBot="1" x14ac:dyDescent="0.25">
      <c r="R8" s="54"/>
      <c r="S8" s="54"/>
    </row>
    <row r="9" spans="2:24" ht="17" thickBot="1" x14ac:dyDescent="0.25">
      <c r="I9" s="10" t="s">
        <v>107</v>
      </c>
      <c r="J9" s="10"/>
      <c r="N9" s="49" t="s">
        <v>111</v>
      </c>
      <c r="O9" s="48"/>
      <c r="P9" s="10" t="s">
        <v>103</v>
      </c>
      <c r="Q9" s="63" t="s">
        <v>114</v>
      </c>
      <c r="R9" s="61">
        <f>O11</f>
        <v>2960814212.9061594</v>
      </c>
      <c r="S9" s="55"/>
    </row>
    <row r="10" spans="2:24" x14ac:dyDescent="0.2">
      <c r="I10" s="47" t="s">
        <v>99</v>
      </c>
      <c r="J10" s="47" t="s">
        <v>76</v>
      </c>
      <c r="K10" s="10" t="s">
        <v>112</v>
      </c>
      <c r="L10" s="10" t="s">
        <v>124</v>
      </c>
      <c r="Q10" s="63" t="s">
        <v>82</v>
      </c>
      <c r="R10">
        <f>O15</f>
        <v>161605351.62901437</v>
      </c>
      <c r="S10" s="51"/>
      <c r="U10" s="56" t="s">
        <v>110</v>
      </c>
      <c r="V10" s="56" t="s">
        <v>101</v>
      </c>
    </row>
    <row r="11" spans="2:24" x14ac:dyDescent="0.2">
      <c r="I11">
        <v>1</v>
      </c>
      <c r="J11" s="4">
        <f ca="1">J7</f>
        <v>2812033104.2259059</v>
      </c>
      <c r="K11">
        <f ca="1">IF(J11&lt;1700000000,1,0)</f>
        <v>0</v>
      </c>
      <c r="L11" s="58">
        <f ca="1">SUM(K11:K1010)/1000</f>
        <v>0</v>
      </c>
      <c r="N11" s="1" t="s">
        <v>1</v>
      </c>
      <c r="O11" s="38">
        <v>2960814212.9061594</v>
      </c>
      <c r="P11" s="4">
        <f ca="1">J7-O11</f>
        <v>-148781108.68025351</v>
      </c>
      <c r="Q11" s="63" t="s">
        <v>115</v>
      </c>
      <c r="R11" s="51">
        <v>1000</v>
      </c>
      <c r="S11" s="51"/>
      <c r="U11" s="51">
        <v>2422784017.2604389</v>
      </c>
      <c r="V11" s="51">
        <v>0</v>
      </c>
    </row>
    <row r="12" spans="2:24" x14ac:dyDescent="0.2">
      <c r="C12" s="10" t="s">
        <v>57</v>
      </c>
      <c r="D12" s="10" t="s">
        <v>66</v>
      </c>
      <c r="E12" s="10" t="s">
        <v>94</v>
      </c>
      <c r="F12" s="10" t="s">
        <v>97</v>
      </c>
      <c r="G12" s="10" t="s">
        <v>98</v>
      </c>
      <c r="I12">
        <v>2</v>
      </c>
      <c r="J12" s="4">
        <f t="dataTable" ref="J12:J1010" dt2D="0" dtr="0" r1="J10" ca="1"/>
        <v>2966249398.17203</v>
      </c>
      <c r="K12">
        <f t="shared" ref="K12:K75" si="0">IF(J12&lt;1700000000,1,0)</f>
        <v>0</v>
      </c>
      <c r="N12" t="s">
        <v>79</v>
      </c>
      <c r="O12">
        <v>5110409.9322008779</v>
      </c>
      <c r="Q12" s="63" t="s">
        <v>116</v>
      </c>
      <c r="R12" s="62">
        <v>0.95</v>
      </c>
      <c r="S12" s="51"/>
      <c r="U12" s="51">
        <v>2455836118.0391889</v>
      </c>
      <c r="V12" s="51">
        <v>1</v>
      </c>
    </row>
    <row r="13" spans="2:24" x14ac:dyDescent="0.2">
      <c r="B13">
        <v>1</v>
      </c>
      <c r="C13" s="4">
        <f ca="1">'Varity B - Cabarnet Savignon'!AW12</f>
        <v>301463380.63893253</v>
      </c>
      <c r="D13" s="4">
        <f ca="1">'Varity C - Syrah'!AU10</f>
        <v>209184368.22279817</v>
      </c>
      <c r="E13" s="4">
        <f ca="1">C13/2</f>
        <v>150731690.31946626</v>
      </c>
      <c r="F13" s="4">
        <f ca="1">D13/2</f>
        <v>104592184.11139908</v>
      </c>
      <c r="G13" s="4">
        <f ca="1">E13+F13</f>
        <v>255323874.43086535</v>
      </c>
      <c r="I13">
        <v>3</v>
      </c>
      <c r="J13" s="4">
        <v>2846020233.1376977</v>
      </c>
      <c r="K13">
        <f t="shared" si="0"/>
        <v>0</v>
      </c>
      <c r="N13" t="s">
        <v>80</v>
      </c>
      <c r="O13">
        <v>2960706082.8953462</v>
      </c>
      <c r="Q13" s="63"/>
      <c r="R13" s="51"/>
      <c r="S13" s="51"/>
      <c r="U13" s="51">
        <v>2488888218.8179388</v>
      </c>
      <c r="V13" s="51">
        <v>0</v>
      </c>
    </row>
    <row r="14" spans="2:24" x14ac:dyDescent="0.2">
      <c r="B14">
        <v>2</v>
      </c>
      <c r="C14" s="4">
        <f ca="1">'Varity B - Cabarnet Savignon'!AW13</f>
        <v>299794339.73693544</v>
      </c>
      <c r="D14" s="4">
        <f ca="1">'Varity C - Syrah'!AU11</f>
        <v>388935872.55145568</v>
      </c>
      <c r="E14" s="4">
        <f t="shared" ref="E14:E32" ca="1" si="1">C14/2</f>
        <v>149897169.86846772</v>
      </c>
      <c r="F14" s="4">
        <f t="shared" ref="F14:F32" ca="1" si="2">D14/2</f>
        <v>194467936.27572784</v>
      </c>
      <c r="G14" s="4">
        <f t="shared" ref="G14:G32" ca="1" si="3">E14+F14</f>
        <v>344365106.14419556</v>
      </c>
      <c r="I14">
        <v>4</v>
      </c>
      <c r="J14" s="4">
        <v>2997453830.5384855</v>
      </c>
      <c r="K14">
        <f t="shared" si="0"/>
        <v>0</v>
      </c>
      <c r="N14" t="s">
        <v>81</v>
      </c>
      <c r="O14" t="e">
        <v>#N/A</v>
      </c>
      <c r="Q14" s="47" t="s">
        <v>117</v>
      </c>
      <c r="R14" s="61">
        <f>_xlfn.CONFIDENCE.NORM(1-R12,R10,R11)</f>
        <v>10016219.413349498</v>
      </c>
      <c r="S14" s="51"/>
      <c r="U14" s="51">
        <v>2521940319.5966887</v>
      </c>
      <c r="V14" s="51">
        <v>0</v>
      </c>
    </row>
    <row r="15" spans="2:24" x14ac:dyDescent="0.2">
      <c r="B15">
        <v>3</v>
      </c>
      <c r="C15" s="4">
        <f ca="1">'Varity B - Cabarnet Savignon'!AW14</f>
        <v>446257302.53055692</v>
      </c>
      <c r="D15" s="4">
        <f ca="1">'Varity C - Syrah'!AU12</f>
        <v>146763577.01820379</v>
      </c>
      <c r="E15" s="4">
        <f t="shared" ca="1" si="1"/>
        <v>223128651.26527846</v>
      </c>
      <c r="F15" s="4">
        <f t="shared" ca="1" si="2"/>
        <v>73381788.509101897</v>
      </c>
      <c r="G15" s="4">
        <f t="shared" ca="1" si="3"/>
        <v>296510439.77438033</v>
      </c>
      <c r="I15">
        <v>5</v>
      </c>
      <c r="J15" s="4">
        <v>3139118445.8514953</v>
      </c>
      <c r="K15">
        <f t="shared" si="0"/>
        <v>0</v>
      </c>
      <c r="N15" s="1" t="s">
        <v>82</v>
      </c>
      <c r="O15" s="1">
        <v>161605351.62901437</v>
      </c>
      <c r="Q15" s="63" t="s">
        <v>118</v>
      </c>
      <c r="R15" s="61">
        <f>R9-R14</f>
        <v>2950797993.4928098</v>
      </c>
      <c r="S15" s="51"/>
      <c r="U15" s="51">
        <v>2554992420.3754387</v>
      </c>
      <c r="V15" s="51">
        <v>4</v>
      </c>
    </row>
    <row r="16" spans="2:24" x14ac:dyDescent="0.2">
      <c r="B16">
        <v>4</v>
      </c>
      <c r="C16" s="4">
        <f ca="1">'Varity B - Cabarnet Savignon'!AW15</f>
        <v>200615021.92580125</v>
      </c>
      <c r="D16" s="4">
        <f ca="1">'Varity C - Syrah'!AU13</f>
        <v>262904225.21342003</v>
      </c>
      <c r="E16" s="4">
        <f t="shared" ca="1" si="1"/>
        <v>100307510.96290062</v>
      </c>
      <c r="F16" s="4">
        <f t="shared" ca="1" si="2"/>
        <v>131452112.60671002</v>
      </c>
      <c r="G16" s="4">
        <f t="shared" ca="1" si="3"/>
        <v>231759623.56961066</v>
      </c>
      <c r="I16">
        <v>6</v>
      </c>
      <c r="J16" s="4">
        <v>2723939469.2779217</v>
      </c>
      <c r="K16">
        <f t="shared" si="0"/>
        <v>0</v>
      </c>
      <c r="N16" t="s">
        <v>83</v>
      </c>
      <c r="O16">
        <v>2.6116289675137376E+16</v>
      </c>
      <c r="Q16" s="63" t="s">
        <v>119</v>
      </c>
      <c r="R16" s="61">
        <f>R9+R14</f>
        <v>2970830432.319509</v>
      </c>
      <c r="S16" s="51"/>
      <c r="U16" s="51">
        <v>2588044521.1541886</v>
      </c>
      <c r="V16" s="51">
        <v>5</v>
      </c>
    </row>
    <row r="17" spans="2:22" x14ac:dyDescent="0.2">
      <c r="B17">
        <v>5</v>
      </c>
      <c r="C17" s="4">
        <f ca="1">'Varity B - Cabarnet Savignon'!AW16</f>
        <v>207043874.88933572</v>
      </c>
      <c r="D17" s="4">
        <f ca="1">'Varity C - Syrah'!AU14</f>
        <v>488000229.85759228</v>
      </c>
      <c r="E17" s="4">
        <f t="shared" ca="1" si="1"/>
        <v>103521937.44466786</v>
      </c>
      <c r="F17" s="4">
        <f t="shared" ca="1" si="2"/>
        <v>244000114.92879614</v>
      </c>
      <c r="G17" s="4">
        <f t="shared" ca="1" si="3"/>
        <v>347522052.37346399</v>
      </c>
      <c r="I17">
        <v>7</v>
      </c>
      <c r="J17" s="4">
        <v>2925708878.8469801</v>
      </c>
      <c r="K17">
        <f t="shared" si="0"/>
        <v>0</v>
      </c>
      <c r="N17" s="1" t="s">
        <v>84</v>
      </c>
      <c r="O17" s="1">
        <v>-0.10752432153238844</v>
      </c>
      <c r="Q17" s="47" t="s">
        <v>134</v>
      </c>
      <c r="R17" s="61">
        <f>R16-R15</f>
        <v>20032438.826699257</v>
      </c>
      <c r="S17" s="51"/>
      <c r="U17" s="51">
        <v>2621096621.9329386</v>
      </c>
      <c r="V17" s="51">
        <v>5</v>
      </c>
    </row>
    <row r="18" spans="2:22" x14ac:dyDescent="0.2">
      <c r="B18">
        <v>6</v>
      </c>
      <c r="C18" s="4">
        <f ca="1">'Varity B - Cabarnet Savignon'!AW17</f>
        <v>225197093.88611296</v>
      </c>
      <c r="D18" s="4">
        <f ca="1">'Varity C - Syrah'!AU15</f>
        <v>306242381.82856083</v>
      </c>
      <c r="E18" s="4">
        <f t="shared" ca="1" si="1"/>
        <v>112598546.94305648</v>
      </c>
      <c r="F18" s="4">
        <f t="shared" ca="1" si="2"/>
        <v>153121190.91428041</v>
      </c>
      <c r="G18" s="4">
        <f t="shared" ca="1" si="3"/>
        <v>265719737.85733688</v>
      </c>
      <c r="I18">
        <v>8</v>
      </c>
      <c r="J18" s="4">
        <v>2814078142.5792065</v>
      </c>
      <c r="K18">
        <f t="shared" si="0"/>
        <v>0</v>
      </c>
      <c r="N18" s="1" t="s">
        <v>85</v>
      </c>
      <c r="O18" s="1">
        <v>0.11203522562239281</v>
      </c>
      <c r="R18" s="51"/>
      <c r="S18" s="51"/>
      <c r="U18" s="51">
        <v>2654148722.7116885</v>
      </c>
      <c r="V18" s="51">
        <v>7</v>
      </c>
    </row>
    <row r="19" spans="2:22" x14ac:dyDescent="0.2">
      <c r="B19">
        <v>7</v>
      </c>
      <c r="C19" s="4">
        <f ca="1">'Varity B - Cabarnet Savignon'!AW18</f>
        <v>235762853.54101309</v>
      </c>
      <c r="D19" s="4">
        <f ca="1">'Varity C - Syrah'!AU16</f>
        <v>159000776.91198897</v>
      </c>
      <c r="E19" s="4">
        <f t="shared" ca="1" si="1"/>
        <v>117881426.77050655</v>
      </c>
      <c r="F19" s="4">
        <f t="shared" ca="1" si="2"/>
        <v>79500388.455994487</v>
      </c>
      <c r="G19" s="4">
        <f t="shared" ca="1" si="3"/>
        <v>197381815.22650105</v>
      </c>
      <c r="I19">
        <v>9</v>
      </c>
      <c r="J19" s="4">
        <v>2784002310.7392583</v>
      </c>
      <c r="K19">
        <f t="shared" si="0"/>
        <v>0</v>
      </c>
      <c r="N19" s="1" t="s">
        <v>86</v>
      </c>
      <c r="O19" s="38">
        <v>1046563627.6855459</v>
      </c>
      <c r="R19" s="51"/>
      <c r="S19" s="51"/>
      <c r="U19" s="51">
        <v>2687200823.4904385</v>
      </c>
      <c r="V19" s="51">
        <v>15</v>
      </c>
    </row>
    <row r="20" spans="2:22" x14ac:dyDescent="0.2">
      <c r="B20">
        <v>8</v>
      </c>
      <c r="C20" s="4">
        <f ca="1">'Varity B - Cabarnet Savignon'!AW19</f>
        <v>234314489.4026379</v>
      </c>
      <c r="D20" s="4">
        <f ca="1">'Varity C - Syrah'!AU17</f>
        <v>348816366.88180315</v>
      </c>
      <c r="E20" s="4">
        <f t="shared" ca="1" si="1"/>
        <v>117157244.70131895</v>
      </c>
      <c r="F20" s="4">
        <f t="shared" ca="1" si="2"/>
        <v>174408183.44090158</v>
      </c>
      <c r="G20" s="4">
        <f t="shared" ca="1" si="3"/>
        <v>291565428.1422205</v>
      </c>
      <c r="I20">
        <v>10</v>
      </c>
      <c r="J20" s="4">
        <v>2990995482.0715046</v>
      </c>
      <c r="K20">
        <f t="shared" si="0"/>
        <v>0</v>
      </c>
      <c r="N20" s="1" t="s">
        <v>87</v>
      </c>
      <c r="O20" s="38">
        <v>2420457532.3720794</v>
      </c>
      <c r="R20" s="51"/>
      <c r="S20" s="51"/>
      <c r="U20" s="51">
        <v>2720252924.2691889</v>
      </c>
      <c r="V20" s="51">
        <v>24</v>
      </c>
    </row>
    <row r="21" spans="2:22" x14ac:dyDescent="0.2">
      <c r="B21">
        <v>9</v>
      </c>
      <c r="C21" s="4">
        <f ca="1">'Varity B - Cabarnet Savignon'!AW20</f>
        <v>254822957.26242509</v>
      </c>
      <c r="D21" s="4">
        <f ca="1">'Varity C - Syrah'!AU18</f>
        <v>90235928.896359771</v>
      </c>
      <c r="E21" s="4">
        <f t="shared" ca="1" si="1"/>
        <v>127411478.63121255</v>
      </c>
      <c r="F21" s="4">
        <f t="shared" ca="1" si="2"/>
        <v>45117964.448179886</v>
      </c>
      <c r="G21" s="4">
        <f t="shared" ca="1" si="3"/>
        <v>172529443.07939243</v>
      </c>
      <c r="I21">
        <v>11</v>
      </c>
      <c r="J21" s="4">
        <v>2991710378.9516034</v>
      </c>
      <c r="K21">
        <f t="shared" si="0"/>
        <v>0</v>
      </c>
      <c r="N21" s="1" t="s">
        <v>88</v>
      </c>
      <c r="O21" s="38">
        <v>3467021160.0576253</v>
      </c>
      <c r="R21" s="51"/>
      <c r="S21" s="51"/>
      <c r="U21" s="51">
        <v>2753305025.0479388</v>
      </c>
      <c r="V21" s="51">
        <v>39</v>
      </c>
    </row>
    <row r="22" spans="2:22" x14ac:dyDescent="0.2">
      <c r="B22">
        <v>10</v>
      </c>
      <c r="C22" s="4">
        <f ca="1">'Varity B - Cabarnet Savignon'!AW21</f>
        <v>83084122.702670336</v>
      </c>
      <c r="D22" s="4">
        <f ca="1">'Varity C - Syrah'!AU19</f>
        <v>250055666.26354805</v>
      </c>
      <c r="E22" s="4">
        <f t="shared" ca="1" si="1"/>
        <v>41542061.351335168</v>
      </c>
      <c r="F22" s="4">
        <f t="shared" ca="1" si="2"/>
        <v>125027833.13177402</v>
      </c>
      <c r="G22" s="4">
        <f t="shared" ca="1" si="3"/>
        <v>166569894.48310918</v>
      </c>
      <c r="I22">
        <v>12</v>
      </c>
      <c r="J22" s="4">
        <v>2960500408.6600456</v>
      </c>
      <c r="K22">
        <f t="shared" si="0"/>
        <v>0</v>
      </c>
      <c r="N22" t="s">
        <v>89</v>
      </c>
      <c r="O22">
        <v>2960814212906.1592</v>
      </c>
      <c r="R22" s="51"/>
      <c r="S22" s="51"/>
      <c r="U22" s="51">
        <v>2786357125.8266888</v>
      </c>
      <c r="V22" s="51">
        <v>41</v>
      </c>
    </row>
    <row r="23" spans="2:22" ht="17" thickBot="1" x14ac:dyDescent="0.25">
      <c r="B23">
        <v>11</v>
      </c>
      <c r="C23" s="4">
        <f ca="1">'Varity B - Cabarnet Savignon'!AW22</f>
        <v>161255327.5276978</v>
      </c>
      <c r="D23" s="4">
        <f ca="1">'Varity C - Syrah'!AU20</f>
        <v>176211565.15721992</v>
      </c>
      <c r="E23" s="4">
        <f t="shared" ca="1" si="1"/>
        <v>80627663.763848901</v>
      </c>
      <c r="F23" s="4">
        <f t="shared" ca="1" si="2"/>
        <v>88105782.578609958</v>
      </c>
      <c r="G23" s="4">
        <f t="shared" ca="1" si="3"/>
        <v>168733446.34245884</v>
      </c>
      <c r="I23">
        <v>13</v>
      </c>
      <c r="J23" s="4">
        <v>3068176565.7828641</v>
      </c>
      <c r="K23">
        <f t="shared" si="0"/>
        <v>0</v>
      </c>
      <c r="N23" s="37" t="s">
        <v>90</v>
      </c>
      <c r="O23" s="37">
        <v>1000</v>
      </c>
      <c r="R23" s="51"/>
      <c r="S23" s="51"/>
      <c r="U23" s="51">
        <v>2819409226.6054387</v>
      </c>
      <c r="V23" s="51">
        <v>57</v>
      </c>
    </row>
    <row r="24" spans="2:22" x14ac:dyDescent="0.2">
      <c r="B24">
        <v>12</v>
      </c>
      <c r="C24" s="4">
        <f ca="1">'Varity B - Cabarnet Savignon'!AW23</f>
        <v>279770798.23679602</v>
      </c>
      <c r="D24" s="4">
        <f ca="1">'Varity C - Syrah'!AU21</f>
        <v>305785294.6659354</v>
      </c>
      <c r="E24" s="4">
        <f t="shared" ca="1" si="1"/>
        <v>139885399.11839801</v>
      </c>
      <c r="F24" s="4">
        <f t="shared" ca="1" si="2"/>
        <v>152892647.3329677</v>
      </c>
      <c r="G24" s="4">
        <f t="shared" ca="1" si="3"/>
        <v>292778046.45136571</v>
      </c>
      <c r="I24">
        <v>14</v>
      </c>
      <c r="J24" s="4">
        <v>2967113453.1852612</v>
      </c>
      <c r="K24">
        <f t="shared" si="0"/>
        <v>0</v>
      </c>
      <c r="R24" s="51"/>
      <c r="S24" s="51"/>
      <c r="U24" s="51">
        <v>2852461327.3841887</v>
      </c>
      <c r="V24" s="51">
        <v>57</v>
      </c>
    </row>
    <row r="25" spans="2:22" x14ac:dyDescent="0.2">
      <c r="B25">
        <v>13</v>
      </c>
      <c r="C25" s="4">
        <f ca="1">'Varity B - Cabarnet Savignon'!AW24</f>
        <v>277923953.09556866</v>
      </c>
      <c r="D25" s="4">
        <f ca="1">'Varity C - Syrah'!AU22</f>
        <v>209264267.98595262</v>
      </c>
      <c r="E25" s="4">
        <f t="shared" ca="1" si="1"/>
        <v>138961976.54778433</v>
      </c>
      <c r="F25" s="4">
        <f t="shared" ca="1" si="2"/>
        <v>104632133.99297631</v>
      </c>
      <c r="G25" s="4">
        <f t="shared" ca="1" si="3"/>
        <v>243594110.54076064</v>
      </c>
      <c r="I25">
        <v>15</v>
      </c>
      <c r="J25" s="4">
        <v>2866444846.3070679</v>
      </c>
      <c r="K25">
        <f t="shared" si="0"/>
        <v>0</v>
      </c>
      <c r="R25" s="51"/>
      <c r="S25" s="51"/>
      <c r="U25" s="51">
        <v>2885513428.1629386</v>
      </c>
      <c r="V25" s="51">
        <v>77</v>
      </c>
    </row>
    <row r="26" spans="2:22" x14ac:dyDescent="0.2">
      <c r="B26">
        <v>14</v>
      </c>
      <c r="C26" s="4">
        <f ca="1">'Varity B - Cabarnet Savignon'!AW25</f>
        <v>90595401.599369824</v>
      </c>
      <c r="D26" s="4">
        <f ca="1">'Varity C - Syrah'!AU23</f>
        <v>196114888.79109278</v>
      </c>
      <c r="E26" s="4">
        <f t="shared" ca="1" si="1"/>
        <v>45297700.799684912</v>
      </c>
      <c r="F26" s="4">
        <f t="shared" ca="1" si="2"/>
        <v>98057444.395546392</v>
      </c>
      <c r="G26" s="4">
        <f t="shared" ca="1" si="3"/>
        <v>143355145.19523132</v>
      </c>
      <c r="I26">
        <v>16</v>
      </c>
      <c r="J26" s="4">
        <v>2985736382.721303</v>
      </c>
      <c r="K26">
        <f t="shared" si="0"/>
        <v>0</v>
      </c>
      <c r="R26" s="51"/>
      <c r="S26" s="51"/>
      <c r="U26" s="51">
        <v>2918565528.9416885</v>
      </c>
      <c r="V26" s="51">
        <v>70</v>
      </c>
    </row>
    <row r="27" spans="2:22" x14ac:dyDescent="0.2">
      <c r="B27">
        <v>15</v>
      </c>
      <c r="C27" s="4">
        <f ca="1">'Varity B - Cabarnet Savignon'!AW26</f>
        <v>257154875.49750674</v>
      </c>
      <c r="D27" s="4">
        <f ca="1">'Varity C - Syrah'!AU24</f>
        <v>245488744.31717837</v>
      </c>
      <c r="E27" s="4">
        <f t="shared" ca="1" si="1"/>
        <v>128577437.74875337</v>
      </c>
      <c r="F27" s="4">
        <f t="shared" ca="1" si="2"/>
        <v>122744372.15858918</v>
      </c>
      <c r="G27" s="4">
        <f t="shared" ca="1" si="3"/>
        <v>251321809.90734255</v>
      </c>
      <c r="I27">
        <v>17</v>
      </c>
      <c r="J27" s="4">
        <v>2976394133.5694652</v>
      </c>
      <c r="K27">
        <f t="shared" si="0"/>
        <v>0</v>
      </c>
      <c r="R27" s="51"/>
      <c r="S27" s="51"/>
      <c r="U27" s="51">
        <v>2951617629.7204385</v>
      </c>
      <c r="V27" s="51">
        <v>90</v>
      </c>
    </row>
    <row r="28" spans="2:22" x14ac:dyDescent="0.2">
      <c r="B28">
        <v>16</v>
      </c>
      <c r="C28" s="4">
        <f ca="1">'Varity B - Cabarnet Savignon'!AW27</f>
        <v>155876364.41425735</v>
      </c>
      <c r="D28" s="4">
        <f ca="1">'Varity C - Syrah'!AU25</f>
        <v>261714151.38940558</v>
      </c>
      <c r="E28" s="4">
        <f t="shared" ca="1" si="1"/>
        <v>77938182.207128674</v>
      </c>
      <c r="F28" s="4">
        <f t="shared" ca="1" si="2"/>
        <v>130857075.69470279</v>
      </c>
      <c r="G28" s="4">
        <f t="shared" ca="1" si="3"/>
        <v>208795257.90183145</v>
      </c>
      <c r="I28">
        <v>18</v>
      </c>
      <c r="J28" s="4">
        <v>3167917003.8312154</v>
      </c>
      <c r="K28">
        <f t="shared" si="0"/>
        <v>0</v>
      </c>
      <c r="R28" s="51"/>
      <c r="S28" s="51"/>
      <c r="U28" s="51">
        <v>2984669730.4991884</v>
      </c>
      <c r="V28" s="51">
        <v>95</v>
      </c>
    </row>
    <row r="29" spans="2:22" x14ac:dyDescent="0.2">
      <c r="B29">
        <v>17</v>
      </c>
      <c r="C29" s="4">
        <f ca="1">'Varity B - Cabarnet Savignon'!AW28</f>
        <v>140575187.24233654</v>
      </c>
      <c r="D29" s="4">
        <f ca="1">'Varity C - Syrah'!AU26</f>
        <v>130458842.38677961</v>
      </c>
      <c r="E29" s="4">
        <f t="shared" ca="1" si="1"/>
        <v>70287593.621168271</v>
      </c>
      <c r="F29" s="4">
        <f t="shared" ca="1" si="2"/>
        <v>65229421.193389803</v>
      </c>
      <c r="G29" s="4">
        <f t="shared" ca="1" si="3"/>
        <v>135517014.81455809</v>
      </c>
      <c r="I29">
        <v>19</v>
      </c>
      <c r="J29" s="4">
        <v>2697016128.4226971</v>
      </c>
      <c r="K29">
        <f t="shared" si="0"/>
        <v>0</v>
      </c>
      <c r="R29" s="51"/>
      <c r="S29" s="51"/>
      <c r="U29" s="51">
        <v>3017721831.2779384</v>
      </c>
      <c r="V29" s="51">
        <v>74</v>
      </c>
    </row>
    <row r="30" spans="2:22" x14ac:dyDescent="0.2">
      <c r="B30">
        <v>18</v>
      </c>
      <c r="C30" s="4">
        <f ca="1">'Varity B - Cabarnet Savignon'!AW29</f>
        <v>316630544.8679564</v>
      </c>
      <c r="D30" s="4">
        <f ca="1">'Varity C - Syrah'!AU27</f>
        <v>154598987.39482883</v>
      </c>
      <c r="E30" s="4">
        <f t="shared" ca="1" si="1"/>
        <v>158315272.4339782</v>
      </c>
      <c r="F30" s="4">
        <f t="shared" ca="1" si="2"/>
        <v>77299493.697414413</v>
      </c>
      <c r="G30" s="4">
        <f t="shared" ca="1" si="3"/>
        <v>235614766.1313926</v>
      </c>
      <c r="I30">
        <v>20</v>
      </c>
      <c r="J30" s="4">
        <v>2971428305.0526586</v>
      </c>
      <c r="K30">
        <f t="shared" si="0"/>
        <v>0</v>
      </c>
      <c r="R30" s="51"/>
      <c r="S30" s="51"/>
      <c r="U30" s="51">
        <v>3050773932.0566883</v>
      </c>
      <c r="V30" s="51">
        <v>77</v>
      </c>
    </row>
    <row r="31" spans="2:22" x14ac:dyDescent="0.2">
      <c r="B31">
        <v>19</v>
      </c>
      <c r="C31" s="4">
        <f ca="1">'Varity B - Cabarnet Savignon'!AW30</f>
        <v>182601119.66348588</v>
      </c>
      <c r="D31" s="4">
        <f ca="1">'Varity C - Syrah'!AU28</f>
        <v>236556665.61773461</v>
      </c>
      <c r="E31" s="4">
        <f t="shared" ca="1" si="1"/>
        <v>91300559.831742942</v>
      </c>
      <c r="F31" s="4">
        <f t="shared" ca="1" si="2"/>
        <v>118278332.80886731</v>
      </c>
      <c r="G31" s="4">
        <f t="shared" ca="1" si="3"/>
        <v>209578892.64061025</v>
      </c>
      <c r="I31">
        <v>21</v>
      </c>
      <c r="J31" s="4">
        <v>3126125856.2111287</v>
      </c>
      <c r="K31">
        <f t="shared" si="0"/>
        <v>0</v>
      </c>
      <c r="R31" s="51"/>
      <c r="S31" s="51"/>
      <c r="U31" s="51">
        <v>3083826032.8354383</v>
      </c>
      <c r="V31" s="51">
        <v>76</v>
      </c>
    </row>
    <row r="32" spans="2:22" x14ac:dyDescent="0.2">
      <c r="B32">
        <v>20</v>
      </c>
      <c r="C32" s="4">
        <f ca="1">'Varity B - Cabarnet Savignon'!AW31</f>
        <v>249886763.73798978</v>
      </c>
      <c r="D32" s="4">
        <f ca="1">'Varity C - Syrah'!AU29</f>
        <v>228625660.77051014</v>
      </c>
      <c r="E32" s="4">
        <f t="shared" ca="1" si="1"/>
        <v>124943381.86899489</v>
      </c>
      <c r="F32" s="4">
        <f t="shared" ca="1" si="2"/>
        <v>114312830.38525507</v>
      </c>
      <c r="G32" s="4">
        <f t="shared" ca="1" si="3"/>
        <v>239256212.25424996</v>
      </c>
      <c r="I32">
        <v>22</v>
      </c>
      <c r="J32" s="4">
        <v>2865337733.3000708</v>
      </c>
      <c r="K32">
        <f t="shared" si="0"/>
        <v>0</v>
      </c>
      <c r="R32" s="51"/>
      <c r="S32" s="51"/>
      <c r="U32" s="51">
        <v>3116878133.6141882</v>
      </c>
      <c r="V32" s="51">
        <v>51</v>
      </c>
    </row>
    <row r="33" spans="9:22" x14ac:dyDescent="0.2">
      <c r="I33">
        <v>23</v>
      </c>
      <c r="J33" s="4">
        <v>3012284453.3928175</v>
      </c>
      <c r="K33">
        <f t="shared" si="0"/>
        <v>0</v>
      </c>
      <c r="R33" s="51"/>
      <c r="S33" s="51"/>
      <c r="U33" s="51">
        <v>3149930234.3929386</v>
      </c>
      <c r="V33" s="51">
        <v>30</v>
      </c>
    </row>
    <row r="34" spans="9:22" x14ac:dyDescent="0.2">
      <c r="I34">
        <v>24</v>
      </c>
      <c r="J34" s="4">
        <v>2895133795.2685437</v>
      </c>
      <c r="K34">
        <f t="shared" si="0"/>
        <v>0</v>
      </c>
      <c r="R34" s="51"/>
      <c r="S34" s="51"/>
      <c r="U34" s="51">
        <v>3182982335.1716881</v>
      </c>
      <c r="V34" s="51">
        <v>33</v>
      </c>
    </row>
    <row r="35" spans="9:22" x14ac:dyDescent="0.2">
      <c r="I35">
        <v>25</v>
      </c>
      <c r="J35" s="4">
        <v>2854161754.7585077</v>
      </c>
      <c r="K35">
        <f t="shared" si="0"/>
        <v>0</v>
      </c>
      <c r="R35" s="51"/>
      <c r="S35" s="51"/>
      <c r="U35" s="51">
        <v>3216034435.9504385</v>
      </c>
      <c r="V35" s="51">
        <v>25</v>
      </c>
    </row>
    <row r="36" spans="9:22" x14ac:dyDescent="0.2">
      <c r="I36">
        <v>26</v>
      </c>
      <c r="J36" s="4">
        <v>3041029438.4504151</v>
      </c>
      <c r="K36">
        <f t="shared" si="0"/>
        <v>0</v>
      </c>
      <c r="R36" s="51"/>
      <c r="S36" s="51"/>
      <c r="U36" s="51">
        <v>3249086536.729188</v>
      </c>
      <c r="V36" s="51">
        <v>16</v>
      </c>
    </row>
    <row r="37" spans="9:22" x14ac:dyDescent="0.2">
      <c r="I37">
        <v>27</v>
      </c>
      <c r="J37" s="4">
        <v>2643492474.1909671</v>
      </c>
      <c r="K37">
        <f t="shared" si="0"/>
        <v>0</v>
      </c>
      <c r="Q37" s="54"/>
      <c r="R37" s="51"/>
      <c r="S37" s="51"/>
      <c r="U37" s="51">
        <v>3282138637.5079384</v>
      </c>
      <c r="V37" s="51">
        <v>9</v>
      </c>
    </row>
    <row r="38" spans="9:22" x14ac:dyDescent="0.2">
      <c r="I38">
        <v>28</v>
      </c>
      <c r="J38" s="4">
        <v>3136771814.1566515</v>
      </c>
      <c r="K38">
        <f t="shared" si="0"/>
        <v>0</v>
      </c>
      <c r="Q38" s="54"/>
      <c r="R38" s="51"/>
      <c r="S38" s="51"/>
      <c r="U38" s="51">
        <v>3315190738.2866883</v>
      </c>
      <c r="V38" s="51">
        <v>9</v>
      </c>
    </row>
    <row r="39" spans="9:22" x14ac:dyDescent="0.2">
      <c r="I39">
        <v>29</v>
      </c>
      <c r="J39" s="4">
        <v>3036289728.9501977</v>
      </c>
      <c r="K39">
        <f t="shared" si="0"/>
        <v>0</v>
      </c>
      <c r="Q39" s="54"/>
      <c r="R39" s="51"/>
      <c r="S39" s="51"/>
      <c r="U39" s="51">
        <v>3348242839.0654383</v>
      </c>
      <c r="V39" s="51">
        <v>4</v>
      </c>
    </row>
    <row r="40" spans="9:22" x14ac:dyDescent="0.2">
      <c r="I40">
        <v>30</v>
      </c>
      <c r="J40" s="4">
        <v>2972048408.7831931</v>
      </c>
      <c r="K40">
        <f t="shared" si="0"/>
        <v>0</v>
      </c>
      <c r="Q40" s="54"/>
      <c r="R40" s="51"/>
      <c r="S40" s="51"/>
      <c r="U40" s="51">
        <v>3381294939.8441882</v>
      </c>
      <c r="V40" s="51">
        <v>5</v>
      </c>
    </row>
    <row r="41" spans="9:22" x14ac:dyDescent="0.2">
      <c r="I41">
        <v>31</v>
      </c>
      <c r="J41" s="4">
        <v>2869728085.771822</v>
      </c>
      <c r="K41">
        <f t="shared" si="0"/>
        <v>0</v>
      </c>
      <c r="Q41" s="54"/>
      <c r="R41" s="51"/>
      <c r="S41" s="51"/>
      <c r="U41" s="51">
        <v>3414347040.6229382</v>
      </c>
      <c r="V41" s="51">
        <v>2</v>
      </c>
    </row>
    <row r="42" spans="9:22" ht="17" thickBot="1" x14ac:dyDescent="0.25">
      <c r="I42">
        <v>32</v>
      </c>
      <c r="J42" s="4">
        <v>3035360650.6960516</v>
      </c>
      <c r="K42">
        <f t="shared" si="0"/>
        <v>0</v>
      </c>
      <c r="Q42" s="54"/>
      <c r="R42" s="54"/>
      <c r="S42" s="54"/>
      <c r="U42" s="52" t="s">
        <v>100</v>
      </c>
      <c r="V42" s="52">
        <v>2</v>
      </c>
    </row>
    <row r="43" spans="9:22" x14ac:dyDescent="0.2">
      <c r="I43">
        <v>33</v>
      </c>
      <c r="J43" s="4">
        <v>2784208627.2992496</v>
      </c>
      <c r="K43">
        <f t="shared" si="0"/>
        <v>0</v>
      </c>
      <c r="Q43" s="54"/>
      <c r="R43" s="54"/>
      <c r="S43" s="54"/>
    </row>
    <row r="44" spans="9:22" x14ac:dyDescent="0.2">
      <c r="I44">
        <v>34</v>
      </c>
      <c r="J44" s="4">
        <v>2832168744.8228641</v>
      </c>
      <c r="K44">
        <f t="shared" si="0"/>
        <v>0</v>
      </c>
    </row>
    <row r="45" spans="9:22" x14ac:dyDescent="0.2">
      <c r="I45">
        <v>35</v>
      </c>
      <c r="J45" s="4">
        <v>2850724686.7397628</v>
      </c>
      <c r="K45">
        <f t="shared" si="0"/>
        <v>0</v>
      </c>
    </row>
    <row r="46" spans="9:22" x14ac:dyDescent="0.2">
      <c r="I46">
        <v>36</v>
      </c>
      <c r="J46" s="4">
        <v>2955022719.7412181</v>
      </c>
      <c r="K46">
        <f t="shared" si="0"/>
        <v>0</v>
      </c>
    </row>
    <row r="47" spans="9:22" x14ac:dyDescent="0.2">
      <c r="I47">
        <v>37</v>
      </c>
      <c r="J47" s="4">
        <v>2916496763.0107899</v>
      </c>
      <c r="K47">
        <f t="shared" si="0"/>
        <v>0</v>
      </c>
    </row>
    <row r="48" spans="9:22" x14ac:dyDescent="0.2">
      <c r="I48">
        <v>38</v>
      </c>
      <c r="J48" s="4">
        <v>3035952519.9375801</v>
      </c>
      <c r="K48">
        <f t="shared" si="0"/>
        <v>0</v>
      </c>
    </row>
    <row r="49" spans="9:11" x14ac:dyDescent="0.2">
      <c r="I49">
        <v>39</v>
      </c>
      <c r="J49" s="4">
        <v>2920963376.011096</v>
      </c>
      <c r="K49">
        <f t="shared" si="0"/>
        <v>0</v>
      </c>
    </row>
    <row r="50" spans="9:11" x14ac:dyDescent="0.2">
      <c r="I50">
        <v>40</v>
      </c>
      <c r="J50" s="4">
        <v>3052908206.705339</v>
      </c>
      <c r="K50">
        <f t="shared" si="0"/>
        <v>0</v>
      </c>
    </row>
    <row r="51" spans="9:11" x14ac:dyDescent="0.2">
      <c r="I51">
        <v>41</v>
      </c>
      <c r="J51" s="4">
        <v>2971053708.6943192</v>
      </c>
      <c r="K51">
        <f t="shared" si="0"/>
        <v>0</v>
      </c>
    </row>
    <row r="52" spans="9:11" x14ac:dyDescent="0.2">
      <c r="I52">
        <v>42</v>
      </c>
      <c r="J52" s="4">
        <v>2712513803.4958758</v>
      </c>
      <c r="K52">
        <f t="shared" si="0"/>
        <v>0</v>
      </c>
    </row>
    <row r="53" spans="9:11" x14ac:dyDescent="0.2">
      <c r="I53">
        <v>43</v>
      </c>
      <c r="J53" s="4">
        <v>3137990285.5092635</v>
      </c>
      <c r="K53">
        <f t="shared" si="0"/>
        <v>0</v>
      </c>
    </row>
    <row r="54" spans="9:11" x14ac:dyDescent="0.2">
      <c r="I54">
        <v>44</v>
      </c>
      <c r="J54" s="4">
        <v>2868727143.7122045</v>
      </c>
      <c r="K54">
        <f t="shared" si="0"/>
        <v>0</v>
      </c>
    </row>
    <row r="55" spans="9:11" x14ac:dyDescent="0.2">
      <c r="I55">
        <v>45</v>
      </c>
      <c r="J55" s="4">
        <v>2980318146.5311904</v>
      </c>
      <c r="K55">
        <f t="shared" si="0"/>
        <v>0</v>
      </c>
    </row>
    <row r="56" spans="9:11" x14ac:dyDescent="0.2">
      <c r="I56">
        <v>46</v>
      </c>
      <c r="J56" s="4">
        <v>3058588946.6936889</v>
      </c>
      <c r="K56">
        <f t="shared" si="0"/>
        <v>0</v>
      </c>
    </row>
    <row r="57" spans="9:11" x14ac:dyDescent="0.2">
      <c r="I57">
        <v>47</v>
      </c>
      <c r="J57" s="4">
        <v>2833947345.8109879</v>
      </c>
      <c r="K57">
        <f t="shared" si="0"/>
        <v>0</v>
      </c>
    </row>
    <row r="58" spans="9:11" x14ac:dyDescent="0.2">
      <c r="I58">
        <v>48</v>
      </c>
      <c r="J58" s="4">
        <v>3101347774.5366807</v>
      </c>
      <c r="K58">
        <f t="shared" si="0"/>
        <v>0</v>
      </c>
    </row>
    <row r="59" spans="9:11" x14ac:dyDescent="0.2">
      <c r="I59">
        <v>49</v>
      </c>
      <c r="J59" s="4">
        <v>2833862414.5831747</v>
      </c>
      <c r="K59">
        <f t="shared" si="0"/>
        <v>0</v>
      </c>
    </row>
    <row r="60" spans="9:11" x14ac:dyDescent="0.2">
      <c r="I60">
        <v>50</v>
      </c>
      <c r="J60" s="4">
        <v>3055082739.640574</v>
      </c>
      <c r="K60">
        <f t="shared" si="0"/>
        <v>0</v>
      </c>
    </row>
    <row r="61" spans="9:11" x14ac:dyDescent="0.2">
      <c r="I61">
        <v>51</v>
      </c>
      <c r="J61" s="4">
        <v>2723853650.9694328</v>
      </c>
      <c r="K61">
        <f t="shared" si="0"/>
        <v>0</v>
      </c>
    </row>
    <row r="62" spans="9:11" x14ac:dyDescent="0.2">
      <c r="I62">
        <v>52</v>
      </c>
      <c r="J62" s="4">
        <v>2759439702.1882634</v>
      </c>
      <c r="K62">
        <f t="shared" si="0"/>
        <v>0</v>
      </c>
    </row>
    <row r="63" spans="9:11" x14ac:dyDescent="0.2">
      <c r="I63">
        <v>53</v>
      </c>
      <c r="J63" s="4">
        <v>2972427262.0401859</v>
      </c>
      <c r="K63">
        <f t="shared" si="0"/>
        <v>0</v>
      </c>
    </row>
    <row r="64" spans="9:11" x14ac:dyDescent="0.2">
      <c r="I64">
        <v>54</v>
      </c>
      <c r="J64" s="4">
        <v>3126384009.0360241</v>
      </c>
      <c r="K64">
        <f t="shared" si="0"/>
        <v>0</v>
      </c>
    </row>
    <row r="65" spans="9:11" x14ac:dyDescent="0.2">
      <c r="I65">
        <v>55</v>
      </c>
      <c r="J65" s="4">
        <v>2944322601.4650979</v>
      </c>
      <c r="K65">
        <f t="shared" si="0"/>
        <v>0</v>
      </c>
    </row>
    <row r="66" spans="9:11" x14ac:dyDescent="0.2">
      <c r="I66">
        <v>56</v>
      </c>
      <c r="J66" s="4">
        <v>2905334646.4340191</v>
      </c>
      <c r="K66">
        <f t="shared" si="0"/>
        <v>0</v>
      </c>
    </row>
    <row r="67" spans="9:11" x14ac:dyDescent="0.2">
      <c r="I67">
        <v>57</v>
      </c>
      <c r="J67" s="4">
        <v>2778225202.9816217</v>
      </c>
      <c r="K67">
        <f t="shared" si="0"/>
        <v>0</v>
      </c>
    </row>
    <row r="68" spans="9:11" x14ac:dyDescent="0.2">
      <c r="I68">
        <v>58</v>
      </c>
      <c r="J68" s="4">
        <v>2667361273.0062017</v>
      </c>
      <c r="K68">
        <f t="shared" si="0"/>
        <v>0</v>
      </c>
    </row>
    <row r="69" spans="9:11" x14ac:dyDescent="0.2">
      <c r="I69">
        <v>59</v>
      </c>
      <c r="J69" s="4">
        <v>2909873191.840096</v>
      </c>
      <c r="K69">
        <f t="shared" si="0"/>
        <v>0</v>
      </c>
    </row>
    <row r="70" spans="9:11" x14ac:dyDescent="0.2">
      <c r="I70">
        <v>60</v>
      </c>
      <c r="J70" s="4">
        <v>2923924683.0559144</v>
      </c>
      <c r="K70">
        <f t="shared" si="0"/>
        <v>0</v>
      </c>
    </row>
    <row r="71" spans="9:11" x14ac:dyDescent="0.2">
      <c r="I71">
        <v>61</v>
      </c>
      <c r="J71" s="4">
        <v>2704938618.4921842</v>
      </c>
      <c r="K71">
        <f t="shared" si="0"/>
        <v>0</v>
      </c>
    </row>
    <row r="72" spans="9:11" x14ac:dyDescent="0.2">
      <c r="I72">
        <v>62</v>
      </c>
      <c r="J72" s="4">
        <v>3061455298.0295038</v>
      </c>
      <c r="K72">
        <f t="shared" si="0"/>
        <v>0</v>
      </c>
    </row>
    <row r="73" spans="9:11" x14ac:dyDescent="0.2">
      <c r="I73">
        <v>63</v>
      </c>
      <c r="J73" s="4">
        <v>3075450597.2608447</v>
      </c>
      <c r="K73">
        <f t="shared" si="0"/>
        <v>0</v>
      </c>
    </row>
    <row r="74" spans="9:11" x14ac:dyDescent="0.2">
      <c r="I74">
        <v>64</v>
      </c>
      <c r="J74" s="4">
        <v>2959544669.4563732</v>
      </c>
      <c r="K74">
        <f t="shared" si="0"/>
        <v>0</v>
      </c>
    </row>
    <row r="75" spans="9:11" x14ac:dyDescent="0.2">
      <c r="I75">
        <v>65</v>
      </c>
      <c r="J75" s="4">
        <v>2644989654.834547</v>
      </c>
      <c r="K75">
        <f t="shared" si="0"/>
        <v>0</v>
      </c>
    </row>
    <row r="76" spans="9:11" x14ac:dyDescent="0.2">
      <c r="I76">
        <v>66</v>
      </c>
      <c r="J76" s="4">
        <v>3030694104.6806898</v>
      </c>
      <c r="K76">
        <f t="shared" ref="K76:K139" si="4">IF(J76&lt;1700000000,1,0)</f>
        <v>0</v>
      </c>
    </row>
    <row r="77" spans="9:11" x14ac:dyDescent="0.2">
      <c r="I77">
        <v>67</v>
      </c>
      <c r="J77" s="4">
        <v>2792839287.4570661</v>
      </c>
      <c r="K77">
        <f t="shared" si="4"/>
        <v>0</v>
      </c>
    </row>
    <row r="78" spans="9:11" x14ac:dyDescent="0.2">
      <c r="I78">
        <v>68</v>
      </c>
      <c r="J78" s="4">
        <v>2972523340.7414055</v>
      </c>
      <c r="K78">
        <f t="shared" si="4"/>
        <v>0</v>
      </c>
    </row>
    <row r="79" spans="9:11" x14ac:dyDescent="0.2">
      <c r="I79">
        <v>69</v>
      </c>
      <c r="J79" s="4">
        <v>3169572575.079433</v>
      </c>
      <c r="K79">
        <f t="shared" si="4"/>
        <v>0</v>
      </c>
    </row>
    <row r="80" spans="9:11" x14ac:dyDescent="0.2">
      <c r="I80">
        <v>70</v>
      </c>
      <c r="J80" s="4">
        <v>3098147172.6814189</v>
      </c>
      <c r="K80">
        <f t="shared" si="4"/>
        <v>0</v>
      </c>
    </row>
    <row r="81" spans="9:11" x14ac:dyDescent="0.2">
      <c r="I81">
        <v>71</v>
      </c>
      <c r="J81" s="4">
        <v>2738771264.4271388</v>
      </c>
      <c r="K81">
        <f t="shared" si="4"/>
        <v>0</v>
      </c>
    </row>
    <row r="82" spans="9:11" x14ac:dyDescent="0.2">
      <c r="I82">
        <v>72</v>
      </c>
      <c r="J82" s="4">
        <v>2830220947.089819</v>
      </c>
      <c r="K82">
        <f t="shared" si="4"/>
        <v>0</v>
      </c>
    </row>
    <row r="83" spans="9:11" x14ac:dyDescent="0.2">
      <c r="I83">
        <v>73</v>
      </c>
      <c r="J83" s="4">
        <v>3044296773.0014911</v>
      </c>
      <c r="K83">
        <f t="shared" si="4"/>
        <v>0</v>
      </c>
    </row>
    <row r="84" spans="9:11" x14ac:dyDescent="0.2">
      <c r="I84">
        <v>74</v>
      </c>
      <c r="J84" s="4">
        <v>3110352139.739964</v>
      </c>
      <c r="K84">
        <f t="shared" si="4"/>
        <v>0</v>
      </c>
    </row>
    <row r="85" spans="9:11" x14ac:dyDescent="0.2">
      <c r="I85">
        <v>75</v>
      </c>
      <c r="J85" s="4">
        <v>2951788023.2486506</v>
      </c>
      <c r="K85">
        <f t="shared" si="4"/>
        <v>0</v>
      </c>
    </row>
    <row r="86" spans="9:11" x14ac:dyDescent="0.2">
      <c r="I86">
        <v>76</v>
      </c>
      <c r="J86" s="4">
        <v>3080046912.336503</v>
      </c>
      <c r="K86">
        <f t="shared" si="4"/>
        <v>0</v>
      </c>
    </row>
    <row r="87" spans="9:11" x14ac:dyDescent="0.2">
      <c r="I87">
        <v>77</v>
      </c>
      <c r="J87" s="4">
        <v>3035498841.1830215</v>
      </c>
      <c r="K87">
        <f t="shared" si="4"/>
        <v>0</v>
      </c>
    </row>
    <row r="88" spans="9:11" x14ac:dyDescent="0.2">
      <c r="I88">
        <v>78</v>
      </c>
      <c r="J88" s="4">
        <v>2977023945.9575419</v>
      </c>
      <c r="K88">
        <f t="shared" si="4"/>
        <v>0</v>
      </c>
    </row>
    <row r="89" spans="9:11" x14ac:dyDescent="0.2">
      <c r="I89">
        <v>79</v>
      </c>
      <c r="J89" s="4">
        <v>2681008190.8938999</v>
      </c>
      <c r="K89">
        <f t="shared" si="4"/>
        <v>0</v>
      </c>
    </row>
    <row r="90" spans="9:11" x14ac:dyDescent="0.2">
      <c r="I90">
        <v>80</v>
      </c>
      <c r="J90" s="4">
        <v>2778257792.9223313</v>
      </c>
      <c r="K90">
        <f t="shared" si="4"/>
        <v>0</v>
      </c>
    </row>
    <row r="91" spans="9:11" x14ac:dyDescent="0.2">
      <c r="I91">
        <v>81</v>
      </c>
      <c r="J91" s="4">
        <v>2985367409.2403584</v>
      </c>
      <c r="K91">
        <f t="shared" si="4"/>
        <v>0</v>
      </c>
    </row>
    <row r="92" spans="9:11" x14ac:dyDescent="0.2">
      <c r="I92">
        <v>82</v>
      </c>
      <c r="J92" s="4">
        <v>3180762284.9793763</v>
      </c>
      <c r="K92">
        <f t="shared" si="4"/>
        <v>0</v>
      </c>
    </row>
    <row r="93" spans="9:11" x14ac:dyDescent="0.2">
      <c r="I93">
        <v>83</v>
      </c>
      <c r="J93" s="4">
        <v>2943038476.8730264</v>
      </c>
      <c r="K93">
        <f t="shared" si="4"/>
        <v>0</v>
      </c>
    </row>
    <row r="94" spans="9:11" x14ac:dyDescent="0.2">
      <c r="I94">
        <v>84</v>
      </c>
      <c r="J94" s="4">
        <v>3126847791.1809444</v>
      </c>
      <c r="K94">
        <f t="shared" si="4"/>
        <v>0</v>
      </c>
    </row>
    <row r="95" spans="9:11" x14ac:dyDescent="0.2">
      <c r="I95">
        <v>85</v>
      </c>
      <c r="J95" s="4">
        <v>2657470183.3854098</v>
      </c>
      <c r="K95">
        <f t="shared" si="4"/>
        <v>0</v>
      </c>
    </row>
    <row r="96" spans="9:11" x14ac:dyDescent="0.2">
      <c r="I96">
        <v>86</v>
      </c>
      <c r="J96" s="4">
        <v>3089278572.6588645</v>
      </c>
      <c r="K96">
        <f t="shared" si="4"/>
        <v>0</v>
      </c>
    </row>
    <row r="97" spans="9:11" x14ac:dyDescent="0.2">
      <c r="I97">
        <v>87</v>
      </c>
      <c r="J97" s="4">
        <v>2852886358.2691641</v>
      </c>
      <c r="K97">
        <f t="shared" si="4"/>
        <v>0</v>
      </c>
    </row>
    <row r="98" spans="9:11" x14ac:dyDescent="0.2">
      <c r="I98">
        <v>88</v>
      </c>
      <c r="J98" s="4">
        <v>2918197118.8583298</v>
      </c>
      <c r="K98">
        <f t="shared" si="4"/>
        <v>0</v>
      </c>
    </row>
    <row r="99" spans="9:11" x14ac:dyDescent="0.2">
      <c r="I99">
        <v>89</v>
      </c>
      <c r="J99" s="4">
        <v>2873501766.4576578</v>
      </c>
      <c r="K99">
        <f t="shared" si="4"/>
        <v>0</v>
      </c>
    </row>
    <row r="100" spans="9:11" x14ac:dyDescent="0.2">
      <c r="I100">
        <v>90</v>
      </c>
      <c r="J100" s="4">
        <v>3043510592.2045908</v>
      </c>
      <c r="K100">
        <f t="shared" si="4"/>
        <v>0</v>
      </c>
    </row>
    <row r="101" spans="9:11" x14ac:dyDescent="0.2">
      <c r="I101">
        <v>91</v>
      </c>
      <c r="J101" s="4">
        <v>2810788507.9254665</v>
      </c>
      <c r="K101">
        <f t="shared" si="4"/>
        <v>0</v>
      </c>
    </row>
    <row r="102" spans="9:11" x14ac:dyDescent="0.2">
      <c r="I102">
        <v>92</v>
      </c>
      <c r="J102" s="4">
        <v>2855036515.2171574</v>
      </c>
      <c r="K102">
        <f t="shared" si="4"/>
        <v>0</v>
      </c>
    </row>
    <row r="103" spans="9:11" x14ac:dyDescent="0.2">
      <c r="I103">
        <v>93</v>
      </c>
      <c r="J103" s="4">
        <v>2807363077.4114027</v>
      </c>
      <c r="K103">
        <f t="shared" si="4"/>
        <v>0</v>
      </c>
    </row>
    <row r="104" spans="9:11" x14ac:dyDescent="0.2">
      <c r="I104">
        <v>94</v>
      </c>
      <c r="J104" s="4">
        <v>2722712335.9440613</v>
      </c>
      <c r="K104">
        <f t="shared" si="4"/>
        <v>0</v>
      </c>
    </row>
    <row r="105" spans="9:11" x14ac:dyDescent="0.2">
      <c r="I105">
        <v>95</v>
      </c>
      <c r="J105" s="4">
        <v>2823319512.2946153</v>
      </c>
      <c r="K105">
        <f t="shared" si="4"/>
        <v>0</v>
      </c>
    </row>
    <row r="106" spans="9:11" x14ac:dyDescent="0.2">
      <c r="I106">
        <v>96</v>
      </c>
      <c r="J106" s="4">
        <v>2889692955.7333803</v>
      </c>
      <c r="K106">
        <f t="shared" si="4"/>
        <v>0</v>
      </c>
    </row>
    <row r="107" spans="9:11" x14ac:dyDescent="0.2">
      <c r="I107">
        <v>97</v>
      </c>
      <c r="J107" s="4">
        <v>3083887980.1291223</v>
      </c>
      <c r="K107">
        <f t="shared" si="4"/>
        <v>0</v>
      </c>
    </row>
    <row r="108" spans="9:11" x14ac:dyDescent="0.2">
      <c r="I108">
        <v>98</v>
      </c>
      <c r="J108" s="4">
        <v>2644715664.5696487</v>
      </c>
      <c r="K108">
        <f t="shared" si="4"/>
        <v>0</v>
      </c>
    </row>
    <row r="109" spans="9:11" x14ac:dyDescent="0.2">
      <c r="I109">
        <v>99</v>
      </c>
      <c r="J109" s="4">
        <v>2731197494.7912803</v>
      </c>
      <c r="K109">
        <f t="shared" si="4"/>
        <v>0</v>
      </c>
    </row>
    <row r="110" spans="9:11" x14ac:dyDescent="0.2">
      <c r="I110">
        <v>100</v>
      </c>
      <c r="J110" s="4">
        <v>2799314278.3574753</v>
      </c>
      <c r="K110">
        <f t="shared" si="4"/>
        <v>0</v>
      </c>
    </row>
    <row r="111" spans="9:11" x14ac:dyDescent="0.2">
      <c r="I111">
        <v>101</v>
      </c>
      <c r="J111" s="4">
        <v>2902227759.8571076</v>
      </c>
      <c r="K111">
        <f t="shared" si="4"/>
        <v>0</v>
      </c>
    </row>
    <row r="112" spans="9:11" x14ac:dyDescent="0.2">
      <c r="I112">
        <v>102</v>
      </c>
      <c r="J112" s="4">
        <v>2922326012.8459716</v>
      </c>
      <c r="K112">
        <f t="shared" si="4"/>
        <v>0</v>
      </c>
    </row>
    <row r="113" spans="9:11" x14ac:dyDescent="0.2">
      <c r="I113">
        <v>103</v>
      </c>
      <c r="J113" s="4">
        <v>2824956233.496819</v>
      </c>
      <c r="K113">
        <f t="shared" si="4"/>
        <v>0</v>
      </c>
    </row>
    <row r="114" spans="9:11" x14ac:dyDescent="0.2">
      <c r="I114">
        <v>104</v>
      </c>
      <c r="J114" s="4">
        <v>2977019689.38589</v>
      </c>
      <c r="K114">
        <f t="shared" si="4"/>
        <v>0</v>
      </c>
    </row>
    <row r="115" spans="9:11" x14ac:dyDescent="0.2">
      <c r="I115">
        <v>105</v>
      </c>
      <c r="J115" s="4">
        <v>2894932148.2969332</v>
      </c>
      <c r="K115">
        <f t="shared" si="4"/>
        <v>0</v>
      </c>
    </row>
    <row r="116" spans="9:11" x14ac:dyDescent="0.2">
      <c r="I116">
        <v>106</v>
      </c>
      <c r="J116" s="4">
        <v>2828140037.147418</v>
      </c>
      <c r="K116">
        <f t="shared" si="4"/>
        <v>0</v>
      </c>
    </row>
    <row r="117" spans="9:11" x14ac:dyDescent="0.2">
      <c r="I117">
        <v>107</v>
      </c>
      <c r="J117" s="4">
        <v>3062771878.4411149</v>
      </c>
      <c r="K117">
        <f t="shared" si="4"/>
        <v>0</v>
      </c>
    </row>
    <row r="118" spans="9:11" x14ac:dyDescent="0.2">
      <c r="I118">
        <v>108</v>
      </c>
      <c r="J118" s="4">
        <v>2963506923.4556541</v>
      </c>
      <c r="K118">
        <f t="shared" si="4"/>
        <v>0</v>
      </c>
    </row>
    <row r="119" spans="9:11" x14ac:dyDescent="0.2">
      <c r="I119">
        <v>109</v>
      </c>
      <c r="J119" s="4">
        <v>2969041818.5575538</v>
      </c>
      <c r="K119">
        <f t="shared" si="4"/>
        <v>0</v>
      </c>
    </row>
    <row r="120" spans="9:11" x14ac:dyDescent="0.2">
      <c r="I120">
        <v>110</v>
      </c>
      <c r="J120" s="4">
        <v>2982300378.2338738</v>
      </c>
      <c r="K120">
        <f t="shared" si="4"/>
        <v>0</v>
      </c>
    </row>
    <row r="121" spans="9:11" x14ac:dyDescent="0.2">
      <c r="I121">
        <v>111</v>
      </c>
      <c r="J121" s="4">
        <v>2745176135.2728066</v>
      </c>
      <c r="K121">
        <f t="shared" si="4"/>
        <v>0</v>
      </c>
    </row>
    <row r="122" spans="9:11" x14ac:dyDescent="0.2">
      <c r="I122">
        <v>112</v>
      </c>
      <c r="J122" s="4">
        <v>2896430039.7794256</v>
      </c>
      <c r="K122">
        <f t="shared" si="4"/>
        <v>0</v>
      </c>
    </row>
    <row r="123" spans="9:11" x14ac:dyDescent="0.2">
      <c r="I123">
        <v>113</v>
      </c>
      <c r="J123" s="4">
        <v>3112984194.9181938</v>
      </c>
      <c r="K123">
        <f t="shared" si="4"/>
        <v>0</v>
      </c>
    </row>
    <row r="124" spans="9:11" x14ac:dyDescent="0.2">
      <c r="I124">
        <v>114</v>
      </c>
      <c r="J124" s="4">
        <v>2953470407.9482775</v>
      </c>
      <c r="K124">
        <f t="shared" si="4"/>
        <v>0</v>
      </c>
    </row>
    <row r="125" spans="9:11" x14ac:dyDescent="0.2">
      <c r="I125">
        <v>115</v>
      </c>
      <c r="J125" s="4">
        <v>2881653095.6967473</v>
      </c>
      <c r="K125">
        <f t="shared" si="4"/>
        <v>0</v>
      </c>
    </row>
    <row r="126" spans="9:11" x14ac:dyDescent="0.2">
      <c r="I126">
        <v>116</v>
      </c>
      <c r="J126" s="4">
        <v>2800954743.3282351</v>
      </c>
      <c r="K126">
        <f t="shared" si="4"/>
        <v>0</v>
      </c>
    </row>
    <row r="127" spans="9:11" x14ac:dyDescent="0.2">
      <c r="I127">
        <v>117</v>
      </c>
      <c r="J127" s="4">
        <v>2859347739.4388895</v>
      </c>
      <c r="K127">
        <f t="shared" si="4"/>
        <v>0</v>
      </c>
    </row>
    <row r="128" spans="9:11" x14ac:dyDescent="0.2">
      <c r="I128">
        <v>118</v>
      </c>
      <c r="J128" s="4">
        <v>2953627638.8744864</v>
      </c>
      <c r="K128">
        <f t="shared" si="4"/>
        <v>0</v>
      </c>
    </row>
    <row r="129" spans="9:11" x14ac:dyDescent="0.2">
      <c r="I129">
        <v>119</v>
      </c>
      <c r="J129" s="4">
        <v>2565267551.4979229</v>
      </c>
      <c r="K129">
        <f t="shared" si="4"/>
        <v>0</v>
      </c>
    </row>
    <row r="130" spans="9:11" x14ac:dyDescent="0.2">
      <c r="I130">
        <v>120</v>
      </c>
      <c r="J130" s="4">
        <v>2863205504.5290461</v>
      </c>
      <c r="K130">
        <f t="shared" si="4"/>
        <v>0</v>
      </c>
    </row>
    <row r="131" spans="9:11" x14ac:dyDescent="0.2">
      <c r="I131">
        <v>121</v>
      </c>
      <c r="J131" s="4">
        <v>3006539510.8062444</v>
      </c>
      <c r="K131">
        <f t="shared" si="4"/>
        <v>0</v>
      </c>
    </row>
    <row r="132" spans="9:11" x14ac:dyDescent="0.2">
      <c r="I132">
        <v>122</v>
      </c>
      <c r="J132" s="4">
        <v>2705507698.5131021</v>
      </c>
      <c r="K132">
        <f t="shared" si="4"/>
        <v>0</v>
      </c>
    </row>
    <row r="133" spans="9:11" x14ac:dyDescent="0.2">
      <c r="I133">
        <v>123</v>
      </c>
      <c r="J133" s="4">
        <v>3040363980.7132573</v>
      </c>
      <c r="K133">
        <f t="shared" si="4"/>
        <v>0</v>
      </c>
    </row>
    <row r="134" spans="9:11" x14ac:dyDescent="0.2">
      <c r="I134">
        <v>124</v>
      </c>
      <c r="J134" s="4">
        <v>2766663965.5682092</v>
      </c>
      <c r="K134">
        <f t="shared" si="4"/>
        <v>0</v>
      </c>
    </row>
    <row r="135" spans="9:11" x14ac:dyDescent="0.2">
      <c r="I135">
        <v>125</v>
      </c>
      <c r="J135" s="4">
        <v>3164854887.7395339</v>
      </c>
      <c r="K135">
        <f t="shared" si="4"/>
        <v>0</v>
      </c>
    </row>
    <row r="136" spans="9:11" x14ac:dyDescent="0.2">
      <c r="I136">
        <v>126</v>
      </c>
      <c r="J136" s="4">
        <v>2792352618.3972807</v>
      </c>
      <c r="K136">
        <f t="shared" si="4"/>
        <v>0</v>
      </c>
    </row>
    <row r="137" spans="9:11" x14ac:dyDescent="0.2">
      <c r="I137">
        <v>127</v>
      </c>
      <c r="J137" s="4">
        <v>2915803541.3594775</v>
      </c>
      <c r="K137">
        <f t="shared" si="4"/>
        <v>0</v>
      </c>
    </row>
    <row r="138" spans="9:11" x14ac:dyDescent="0.2">
      <c r="I138">
        <v>128</v>
      </c>
      <c r="J138" s="4">
        <v>2860658070.6974478</v>
      </c>
      <c r="K138">
        <f t="shared" si="4"/>
        <v>0</v>
      </c>
    </row>
    <row r="139" spans="9:11" x14ac:dyDescent="0.2">
      <c r="I139">
        <v>129</v>
      </c>
      <c r="J139" s="4">
        <v>3010217529.2781529</v>
      </c>
      <c r="K139">
        <f t="shared" si="4"/>
        <v>0</v>
      </c>
    </row>
    <row r="140" spans="9:11" x14ac:dyDescent="0.2">
      <c r="I140">
        <v>130</v>
      </c>
      <c r="J140" s="4">
        <v>2970768571.8550258</v>
      </c>
      <c r="K140">
        <f t="shared" ref="K140:K203" si="5">IF(J140&lt;1700000000,1,0)</f>
        <v>0</v>
      </c>
    </row>
    <row r="141" spans="9:11" x14ac:dyDescent="0.2">
      <c r="I141">
        <v>131</v>
      </c>
      <c r="J141" s="4">
        <v>2936022383.2375512</v>
      </c>
      <c r="K141">
        <f t="shared" si="5"/>
        <v>0</v>
      </c>
    </row>
    <row r="142" spans="9:11" x14ac:dyDescent="0.2">
      <c r="I142">
        <v>132</v>
      </c>
      <c r="J142" s="4">
        <v>3046486879.5436716</v>
      </c>
      <c r="K142">
        <f t="shared" si="5"/>
        <v>0</v>
      </c>
    </row>
    <row r="143" spans="9:11" x14ac:dyDescent="0.2">
      <c r="I143">
        <v>133</v>
      </c>
      <c r="J143" s="4">
        <v>3052102041.8019753</v>
      </c>
      <c r="K143">
        <f t="shared" si="5"/>
        <v>0</v>
      </c>
    </row>
    <row r="144" spans="9:11" x14ac:dyDescent="0.2">
      <c r="I144">
        <v>134</v>
      </c>
      <c r="J144" s="4">
        <v>3077291058.6532283</v>
      </c>
      <c r="K144">
        <f t="shared" si="5"/>
        <v>0</v>
      </c>
    </row>
    <row r="145" spans="9:11" x14ac:dyDescent="0.2">
      <c r="I145">
        <v>135</v>
      </c>
      <c r="J145" s="4">
        <v>2855606306.5243998</v>
      </c>
      <c r="K145">
        <f t="shared" si="5"/>
        <v>0</v>
      </c>
    </row>
    <row r="146" spans="9:11" x14ac:dyDescent="0.2">
      <c r="I146">
        <v>136</v>
      </c>
      <c r="J146" s="4">
        <v>2893984979.2837634</v>
      </c>
      <c r="K146">
        <f t="shared" si="5"/>
        <v>0</v>
      </c>
    </row>
    <row r="147" spans="9:11" x14ac:dyDescent="0.2">
      <c r="I147">
        <v>137</v>
      </c>
      <c r="J147" s="4">
        <v>2956387783.4861746</v>
      </c>
      <c r="K147">
        <f t="shared" si="5"/>
        <v>0</v>
      </c>
    </row>
    <row r="148" spans="9:11" x14ac:dyDescent="0.2">
      <c r="I148">
        <v>138</v>
      </c>
      <c r="J148" s="4">
        <v>2867867951.6543527</v>
      </c>
      <c r="K148">
        <f t="shared" si="5"/>
        <v>0</v>
      </c>
    </row>
    <row r="149" spans="9:11" x14ac:dyDescent="0.2">
      <c r="I149">
        <v>139</v>
      </c>
      <c r="J149" s="4">
        <v>2917335559.2684898</v>
      </c>
      <c r="K149">
        <f t="shared" si="5"/>
        <v>0</v>
      </c>
    </row>
    <row r="150" spans="9:11" x14ac:dyDescent="0.2">
      <c r="I150">
        <v>140</v>
      </c>
      <c r="J150" s="4">
        <v>3326522550.1499829</v>
      </c>
      <c r="K150">
        <f t="shared" si="5"/>
        <v>0</v>
      </c>
    </row>
    <row r="151" spans="9:11" x14ac:dyDescent="0.2">
      <c r="I151">
        <v>141</v>
      </c>
      <c r="J151" s="4">
        <v>2823655393.9420829</v>
      </c>
      <c r="K151">
        <f t="shared" si="5"/>
        <v>0</v>
      </c>
    </row>
    <row r="152" spans="9:11" x14ac:dyDescent="0.2">
      <c r="I152">
        <v>142</v>
      </c>
      <c r="J152" s="4">
        <v>2889146892.3834047</v>
      </c>
      <c r="K152">
        <f t="shared" si="5"/>
        <v>0</v>
      </c>
    </row>
    <row r="153" spans="9:11" x14ac:dyDescent="0.2">
      <c r="I153">
        <v>143</v>
      </c>
      <c r="J153" s="4">
        <v>2919785259.0804806</v>
      </c>
      <c r="K153">
        <f t="shared" si="5"/>
        <v>0</v>
      </c>
    </row>
    <row r="154" spans="9:11" x14ac:dyDescent="0.2">
      <c r="I154">
        <v>144</v>
      </c>
      <c r="J154" s="4">
        <v>2905245560.2518873</v>
      </c>
      <c r="K154">
        <f t="shared" si="5"/>
        <v>0</v>
      </c>
    </row>
    <row r="155" spans="9:11" x14ac:dyDescent="0.2">
      <c r="I155">
        <v>145</v>
      </c>
      <c r="J155" s="4">
        <v>2903848106.491158</v>
      </c>
      <c r="K155">
        <f t="shared" si="5"/>
        <v>0</v>
      </c>
    </row>
    <row r="156" spans="9:11" x14ac:dyDescent="0.2">
      <c r="I156">
        <v>146</v>
      </c>
      <c r="J156" s="4">
        <v>3051343620.251967</v>
      </c>
      <c r="K156">
        <f t="shared" si="5"/>
        <v>0</v>
      </c>
    </row>
    <row r="157" spans="9:11" x14ac:dyDescent="0.2">
      <c r="I157">
        <v>147</v>
      </c>
      <c r="J157" s="4">
        <v>2953778955.0332952</v>
      </c>
      <c r="K157">
        <f t="shared" si="5"/>
        <v>0</v>
      </c>
    </row>
    <row r="158" spans="9:11" x14ac:dyDescent="0.2">
      <c r="I158">
        <v>148</v>
      </c>
      <c r="J158" s="4">
        <v>2842551497.9613256</v>
      </c>
      <c r="K158">
        <f t="shared" si="5"/>
        <v>0</v>
      </c>
    </row>
    <row r="159" spans="9:11" x14ac:dyDescent="0.2">
      <c r="I159">
        <v>149</v>
      </c>
      <c r="J159" s="4">
        <v>2912629054.1702008</v>
      </c>
      <c r="K159">
        <f t="shared" si="5"/>
        <v>0</v>
      </c>
    </row>
    <row r="160" spans="9:11" x14ac:dyDescent="0.2">
      <c r="I160">
        <v>150</v>
      </c>
      <c r="J160" s="4">
        <v>2885363723.8638248</v>
      </c>
      <c r="K160">
        <f t="shared" si="5"/>
        <v>0</v>
      </c>
    </row>
    <row r="161" spans="9:11" x14ac:dyDescent="0.2">
      <c r="I161">
        <v>151</v>
      </c>
      <c r="J161" s="4">
        <v>2889119300.0588527</v>
      </c>
      <c r="K161">
        <f t="shared" si="5"/>
        <v>0</v>
      </c>
    </row>
    <row r="162" spans="9:11" x14ac:dyDescent="0.2">
      <c r="I162">
        <v>152</v>
      </c>
      <c r="J162" s="4">
        <v>2731294554.8759961</v>
      </c>
      <c r="K162">
        <f t="shared" si="5"/>
        <v>0</v>
      </c>
    </row>
    <row r="163" spans="9:11" x14ac:dyDescent="0.2">
      <c r="I163">
        <v>153</v>
      </c>
      <c r="J163" s="4">
        <v>3206802506.4876976</v>
      </c>
      <c r="K163">
        <f t="shared" si="5"/>
        <v>0</v>
      </c>
    </row>
    <row r="164" spans="9:11" x14ac:dyDescent="0.2">
      <c r="I164">
        <v>154</v>
      </c>
      <c r="J164" s="4">
        <v>3350788274.884789</v>
      </c>
      <c r="K164">
        <f t="shared" si="5"/>
        <v>0</v>
      </c>
    </row>
    <row r="165" spans="9:11" x14ac:dyDescent="0.2">
      <c r="I165">
        <v>155</v>
      </c>
      <c r="J165" s="4">
        <v>2763611609.0557227</v>
      </c>
      <c r="K165">
        <f t="shared" si="5"/>
        <v>0</v>
      </c>
    </row>
    <row r="166" spans="9:11" x14ac:dyDescent="0.2">
      <c r="I166">
        <v>156</v>
      </c>
      <c r="J166" s="4">
        <v>3101666604.6305041</v>
      </c>
      <c r="K166">
        <f t="shared" si="5"/>
        <v>0</v>
      </c>
    </row>
    <row r="167" spans="9:11" x14ac:dyDescent="0.2">
      <c r="I167">
        <v>157</v>
      </c>
      <c r="J167" s="4">
        <v>3293618353.1066103</v>
      </c>
      <c r="K167">
        <f t="shared" si="5"/>
        <v>0</v>
      </c>
    </row>
    <row r="168" spans="9:11" x14ac:dyDescent="0.2">
      <c r="I168">
        <v>158</v>
      </c>
      <c r="J168" s="4">
        <v>2857790433.2011714</v>
      </c>
      <c r="K168">
        <f t="shared" si="5"/>
        <v>0</v>
      </c>
    </row>
    <row r="169" spans="9:11" x14ac:dyDescent="0.2">
      <c r="I169">
        <v>159</v>
      </c>
      <c r="J169" s="4">
        <v>3151799312.7811055</v>
      </c>
      <c r="K169">
        <f t="shared" si="5"/>
        <v>0</v>
      </c>
    </row>
    <row r="170" spans="9:11" x14ac:dyDescent="0.2">
      <c r="I170">
        <v>160</v>
      </c>
      <c r="J170" s="4">
        <v>2761206023.1692004</v>
      </c>
      <c r="K170">
        <f t="shared" si="5"/>
        <v>0</v>
      </c>
    </row>
    <row r="171" spans="9:11" x14ac:dyDescent="0.2">
      <c r="I171">
        <v>161</v>
      </c>
      <c r="J171" s="4">
        <v>3133861166.9979019</v>
      </c>
      <c r="K171">
        <f t="shared" si="5"/>
        <v>0</v>
      </c>
    </row>
    <row r="172" spans="9:11" x14ac:dyDescent="0.2">
      <c r="I172">
        <v>162</v>
      </c>
      <c r="J172" s="4">
        <v>3174788159.062479</v>
      </c>
      <c r="K172">
        <f t="shared" si="5"/>
        <v>0</v>
      </c>
    </row>
    <row r="173" spans="9:11" x14ac:dyDescent="0.2">
      <c r="I173">
        <v>163</v>
      </c>
      <c r="J173" s="4">
        <v>3157984335.1706915</v>
      </c>
      <c r="K173">
        <f t="shared" si="5"/>
        <v>0</v>
      </c>
    </row>
    <row r="174" spans="9:11" x14ac:dyDescent="0.2">
      <c r="I174">
        <v>164</v>
      </c>
      <c r="J174" s="4">
        <v>3131372091.2063646</v>
      </c>
      <c r="K174">
        <f t="shared" si="5"/>
        <v>0</v>
      </c>
    </row>
    <row r="175" spans="9:11" x14ac:dyDescent="0.2">
      <c r="I175">
        <v>165</v>
      </c>
      <c r="J175" s="4">
        <v>3064679780.4279351</v>
      </c>
      <c r="K175">
        <f t="shared" si="5"/>
        <v>0</v>
      </c>
    </row>
    <row r="176" spans="9:11" x14ac:dyDescent="0.2">
      <c r="I176">
        <v>166</v>
      </c>
      <c r="J176" s="4">
        <v>2750645682.8550611</v>
      </c>
      <c r="K176">
        <f t="shared" si="5"/>
        <v>0</v>
      </c>
    </row>
    <row r="177" spans="9:11" x14ac:dyDescent="0.2">
      <c r="I177">
        <v>167</v>
      </c>
      <c r="J177" s="4">
        <v>3076434470.3601975</v>
      </c>
      <c r="K177">
        <f t="shared" si="5"/>
        <v>0</v>
      </c>
    </row>
    <row r="178" spans="9:11" x14ac:dyDescent="0.2">
      <c r="I178">
        <v>168</v>
      </c>
      <c r="J178" s="4">
        <v>3193622944.2908134</v>
      </c>
      <c r="K178">
        <f t="shared" si="5"/>
        <v>0</v>
      </c>
    </row>
    <row r="179" spans="9:11" x14ac:dyDescent="0.2">
      <c r="I179">
        <v>169</v>
      </c>
      <c r="J179" s="4">
        <v>2787169879.6991644</v>
      </c>
      <c r="K179">
        <f t="shared" si="5"/>
        <v>0</v>
      </c>
    </row>
    <row r="180" spans="9:11" x14ac:dyDescent="0.2">
      <c r="I180">
        <v>170</v>
      </c>
      <c r="J180" s="4">
        <v>3153637554.4250093</v>
      </c>
      <c r="K180">
        <f t="shared" si="5"/>
        <v>0</v>
      </c>
    </row>
    <row r="181" spans="9:11" x14ac:dyDescent="0.2">
      <c r="I181">
        <v>171</v>
      </c>
      <c r="J181" s="4">
        <v>3027946325.8174648</v>
      </c>
      <c r="K181">
        <f t="shared" si="5"/>
        <v>0</v>
      </c>
    </row>
    <row r="182" spans="9:11" x14ac:dyDescent="0.2">
      <c r="I182">
        <v>172</v>
      </c>
      <c r="J182" s="4">
        <v>2946966265.6488957</v>
      </c>
      <c r="K182">
        <f t="shared" si="5"/>
        <v>0</v>
      </c>
    </row>
    <row r="183" spans="9:11" x14ac:dyDescent="0.2">
      <c r="I183">
        <v>173</v>
      </c>
      <c r="J183" s="4">
        <v>2820867223.8374887</v>
      </c>
      <c r="K183">
        <f t="shared" si="5"/>
        <v>0</v>
      </c>
    </row>
    <row r="184" spans="9:11" x14ac:dyDescent="0.2">
      <c r="I184">
        <v>174</v>
      </c>
      <c r="J184" s="4">
        <v>2959708257.695076</v>
      </c>
      <c r="K184">
        <f t="shared" si="5"/>
        <v>0</v>
      </c>
    </row>
    <row r="185" spans="9:11" x14ac:dyDescent="0.2">
      <c r="I185">
        <v>175</v>
      </c>
      <c r="J185" s="4">
        <v>3093079198.7982845</v>
      </c>
      <c r="K185">
        <f t="shared" si="5"/>
        <v>0</v>
      </c>
    </row>
    <row r="186" spans="9:11" x14ac:dyDescent="0.2">
      <c r="I186">
        <v>176</v>
      </c>
      <c r="J186" s="4">
        <v>3101777280.9800386</v>
      </c>
      <c r="K186">
        <f t="shared" si="5"/>
        <v>0</v>
      </c>
    </row>
    <row r="187" spans="9:11" x14ac:dyDescent="0.2">
      <c r="I187">
        <v>177</v>
      </c>
      <c r="J187" s="4">
        <v>2871421244.6258593</v>
      </c>
      <c r="K187">
        <f t="shared" si="5"/>
        <v>0</v>
      </c>
    </row>
    <row r="188" spans="9:11" x14ac:dyDescent="0.2">
      <c r="I188">
        <v>178</v>
      </c>
      <c r="J188" s="4">
        <v>2961593136.5733724</v>
      </c>
      <c r="K188">
        <f t="shared" si="5"/>
        <v>0</v>
      </c>
    </row>
    <row r="189" spans="9:11" x14ac:dyDescent="0.2">
      <c r="I189">
        <v>179</v>
      </c>
      <c r="J189" s="4">
        <v>2843909011.1150727</v>
      </c>
      <c r="K189">
        <f t="shared" si="5"/>
        <v>0</v>
      </c>
    </row>
    <row r="190" spans="9:11" x14ac:dyDescent="0.2">
      <c r="I190">
        <v>180</v>
      </c>
      <c r="J190" s="4">
        <v>2927261856.958025</v>
      </c>
      <c r="K190">
        <f t="shared" si="5"/>
        <v>0</v>
      </c>
    </row>
    <row r="191" spans="9:11" x14ac:dyDescent="0.2">
      <c r="I191">
        <v>181</v>
      </c>
      <c r="J191" s="4">
        <v>2945200229.9482536</v>
      </c>
      <c r="K191">
        <f t="shared" si="5"/>
        <v>0</v>
      </c>
    </row>
    <row r="192" spans="9:11" x14ac:dyDescent="0.2">
      <c r="I192">
        <v>182</v>
      </c>
      <c r="J192" s="4">
        <v>2895212460.7562895</v>
      </c>
      <c r="K192">
        <f t="shared" si="5"/>
        <v>0</v>
      </c>
    </row>
    <row r="193" spans="9:11" x14ac:dyDescent="0.2">
      <c r="I193">
        <v>183</v>
      </c>
      <c r="J193" s="4">
        <v>3020223056.020812</v>
      </c>
      <c r="K193">
        <f t="shared" si="5"/>
        <v>0</v>
      </c>
    </row>
    <row r="194" spans="9:11" x14ac:dyDescent="0.2">
      <c r="I194">
        <v>184</v>
      </c>
      <c r="J194" s="4">
        <v>3013811311.3541608</v>
      </c>
      <c r="K194">
        <f t="shared" si="5"/>
        <v>0</v>
      </c>
    </row>
    <row r="195" spans="9:11" x14ac:dyDescent="0.2">
      <c r="I195">
        <v>185</v>
      </c>
      <c r="J195" s="4">
        <v>2951300176.5497828</v>
      </c>
      <c r="K195">
        <f t="shared" si="5"/>
        <v>0</v>
      </c>
    </row>
    <row r="196" spans="9:11" x14ac:dyDescent="0.2">
      <c r="I196">
        <v>186</v>
      </c>
      <c r="J196" s="4">
        <v>2914395836.5821228</v>
      </c>
      <c r="K196">
        <f t="shared" si="5"/>
        <v>0</v>
      </c>
    </row>
    <row r="197" spans="9:11" x14ac:dyDescent="0.2">
      <c r="I197">
        <v>187</v>
      </c>
      <c r="J197" s="4">
        <v>3219028962.2229366</v>
      </c>
      <c r="K197">
        <f t="shared" si="5"/>
        <v>0</v>
      </c>
    </row>
    <row r="198" spans="9:11" x14ac:dyDescent="0.2">
      <c r="I198">
        <v>188</v>
      </c>
      <c r="J198" s="4">
        <v>2733531429.0329881</v>
      </c>
      <c r="K198">
        <f t="shared" si="5"/>
        <v>0</v>
      </c>
    </row>
    <row r="199" spans="9:11" x14ac:dyDescent="0.2">
      <c r="I199">
        <v>189</v>
      </c>
      <c r="J199" s="4">
        <v>2877274533.1118245</v>
      </c>
      <c r="K199">
        <f t="shared" si="5"/>
        <v>0</v>
      </c>
    </row>
    <row r="200" spans="9:11" x14ac:dyDescent="0.2">
      <c r="I200">
        <v>190</v>
      </c>
      <c r="J200" s="4">
        <v>3126544175.6443939</v>
      </c>
      <c r="K200">
        <f t="shared" si="5"/>
        <v>0</v>
      </c>
    </row>
    <row r="201" spans="9:11" x14ac:dyDescent="0.2">
      <c r="I201">
        <v>191</v>
      </c>
      <c r="J201" s="4">
        <v>2967288365.4160962</v>
      </c>
      <c r="K201">
        <f t="shared" si="5"/>
        <v>0</v>
      </c>
    </row>
    <row r="202" spans="9:11" x14ac:dyDescent="0.2">
      <c r="I202">
        <v>192</v>
      </c>
      <c r="J202" s="4">
        <v>2703730967.3793097</v>
      </c>
      <c r="K202">
        <f t="shared" si="5"/>
        <v>0</v>
      </c>
    </row>
    <row r="203" spans="9:11" x14ac:dyDescent="0.2">
      <c r="I203">
        <v>193</v>
      </c>
      <c r="J203" s="4">
        <v>3205322475.1664667</v>
      </c>
      <c r="K203">
        <f t="shared" si="5"/>
        <v>0</v>
      </c>
    </row>
    <row r="204" spans="9:11" x14ac:dyDescent="0.2">
      <c r="I204">
        <v>194</v>
      </c>
      <c r="J204" s="4">
        <v>2643769922.6599178</v>
      </c>
      <c r="K204">
        <f t="shared" ref="K204:K267" si="6">IF(J204&lt;1700000000,1,0)</f>
        <v>0</v>
      </c>
    </row>
    <row r="205" spans="9:11" x14ac:dyDescent="0.2">
      <c r="I205">
        <v>195</v>
      </c>
      <c r="J205" s="4">
        <v>3029503366.4618583</v>
      </c>
      <c r="K205">
        <f t="shared" si="6"/>
        <v>0</v>
      </c>
    </row>
    <row r="206" spans="9:11" x14ac:dyDescent="0.2">
      <c r="I206">
        <v>196</v>
      </c>
      <c r="J206" s="4">
        <v>2791583390.861218</v>
      </c>
      <c r="K206">
        <f t="shared" si="6"/>
        <v>0</v>
      </c>
    </row>
    <row r="207" spans="9:11" x14ac:dyDescent="0.2">
      <c r="I207">
        <v>197</v>
      </c>
      <c r="J207" s="4">
        <v>3045368719.467792</v>
      </c>
      <c r="K207">
        <f t="shared" si="6"/>
        <v>0</v>
      </c>
    </row>
    <row r="208" spans="9:11" x14ac:dyDescent="0.2">
      <c r="I208">
        <v>198</v>
      </c>
      <c r="J208" s="4">
        <v>2935255866.8644567</v>
      </c>
      <c r="K208">
        <f t="shared" si="6"/>
        <v>0</v>
      </c>
    </row>
    <row r="209" spans="9:11" x14ac:dyDescent="0.2">
      <c r="I209">
        <v>199</v>
      </c>
      <c r="J209" s="4">
        <v>2920719442.9636493</v>
      </c>
      <c r="K209">
        <f t="shared" si="6"/>
        <v>0</v>
      </c>
    </row>
    <row r="210" spans="9:11" x14ac:dyDescent="0.2">
      <c r="I210">
        <v>200</v>
      </c>
      <c r="J210" s="4">
        <v>2864378992.3821402</v>
      </c>
      <c r="K210">
        <f t="shared" si="6"/>
        <v>0</v>
      </c>
    </row>
    <row r="211" spans="9:11" x14ac:dyDescent="0.2">
      <c r="I211">
        <v>201</v>
      </c>
      <c r="J211" s="4">
        <v>2697824488.4519553</v>
      </c>
      <c r="K211">
        <f t="shared" si="6"/>
        <v>0</v>
      </c>
    </row>
    <row r="212" spans="9:11" x14ac:dyDescent="0.2">
      <c r="I212">
        <v>202</v>
      </c>
      <c r="J212" s="4">
        <v>3132450259.4344406</v>
      </c>
      <c r="K212">
        <f t="shared" si="6"/>
        <v>0</v>
      </c>
    </row>
    <row r="213" spans="9:11" x14ac:dyDescent="0.2">
      <c r="I213">
        <v>203</v>
      </c>
      <c r="J213" s="4">
        <v>3227275850.0531368</v>
      </c>
      <c r="K213">
        <f t="shared" si="6"/>
        <v>0</v>
      </c>
    </row>
    <row r="214" spans="9:11" x14ac:dyDescent="0.2">
      <c r="I214">
        <v>204</v>
      </c>
      <c r="J214" s="4">
        <v>2872506958.7367592</v>
      </c>
      <c r="K214">
        <f t="shared" si="6"/>
        <v>0</v>
      </c>
    </row>
    <row r="215" spans="9:11" x14ac:dyDescent="0.2">
      <c r="I215">
        <v>205</v>
      </c>
      <c r="J215" s="4">
        <v>2592898223.6307578</v>
      </c>
      <c r="K215">
        <f t="shared" si="6"/>
        <v>0</v>
      </c>
    </row>
    <row r="216" spans="9:11" x14ac:dyDescent="0.2">
      <c r="I216">
        <v>206</v>
      </c>
      <c r="J216" s="4">
        <v>2912804889.8105698</v>
      </c>
      <c r="K216">
        <f t="shared" si="6"/>
        <v>0</v>
      </c>
    </row>
    <row r="217" spans="9:11" x14ac:dyDescent="0.2">
      <c r="I217">
        <v>207</v>
      </c>
      <c r="J217" s="4">
        <v>2920171710.0903072</v>
      </c>
      <c r="K217">
        <f t="shared" si="6"/>
        <v>0</v>
      </c>
    </row>
    <row r="218" spans="9:11" x14ac:dyDescent="0.2">
      <c r="I218">
        <v>208</v>
      </c>
      <c r="J218" s="4">
        <v>2850182720.807797</v>
      </c>
      <c r="K218">
        <f t="shared" si="6"/>
        <v>0</v>
      </c>
    </row>
    <row r="219" spans="9:11" x14ac:dyDescent="0.2">
      <c r="I219">
        <v>209</v>
      </c>
      <c r="J219" s="4">
        <v>2933932622.3813787</v>
      </c>
      <c r="K219">
        <f t="shared" si="6"/>
        <v>0</v>
      </c>
    </row>
    <row r="220" spans="9:11" x14ac:dyDescent="0.2">
      <c r="I220">
        <v>210</v>
      </c>
      <c r="J220" s="4">
        <v>2928466589.004693</v>
      </c>
      <c r="K220">
        <f t="shared" si="6"/>
        <v>0</v>
      </c>
    </row>
    <row r="221" spans="9:11" x14ac:dyDescent="0.2">
      <c r="I221">
        <v>211</v>
      </c>
      <c r="J221" s="4">
        <v>2829587010.1364675</v>
      </c>
      <c r="K221">
        <f t="shared" si="6"/>
        <v>0</v>
      </c>
    </row>
    <row r="222" spans="9:11" x14ac:dyDescent="0.2">
      <c r="I222">
        <v>212</v>
      </c>
      <c r="J222" s="4">
        <v>3074529211.9353948</v>
      </c>
      <c r="K222">
        <f t="shared" si="6"/>
        <v>0</v>
      </c>
    </row>
    <row r="223" spans="9:11" x14ac:dyDescent="0.2">
      <c r="I223">
        <v>213</v>
      </c>
      <c r="J223" s="4">
        <v>2905250622.3364563</v>
      </c>
      <c r="K223">
        <f t="shared" si="6"/>
        <v>0</v>
      </c>
    </row>
    <row r="224" spans="9:11" x14ac:dyDescent="0.2">
      <c r="I224">
        <v>214</v>
      </c>
      <c r="J224" s="4">
        <v>2896621096.3585024</v>
      </c>
      <c r="K224">
        <f t="shared" si="6"/>
        <v>0</v>
      </c>
    </row>
    <row r="225" spans="9:11" x14ac:dyDescent="0.2">
      <c r="I225">
        <v>215</v>
      </c>
      <c r="J225" s="4">
        <v>3115368566.788023</v>
      </c>
      <c r="K225">
        <f t="shared" si="6"/>
        <v>0</v>
      </c>
    </row>
    <row r="226" spans="9:11" x14ac:dyDescent="0.2">
      <c r="I226">
        <v>216</v>
      </c>
      <c r="J226" s="4">
        <v>3158163269.3316054</v>
      </c>
      <c r="K226">
        <f t="shared" si="6"/>
        <v>0</v>
      </c>
    </row>
    <row r="227" spans="9:11" x14ac:dyDescent="0.2">
      <c r="I227">
        <v>217</v>
      </c>
      <c r="J227" s="4">
        <v>2935129541.5371351</v>
      </c>
      <c r="K227">
        <f t="shared" si="6"/>
        <v>0</v>
      </c>
    </row>
    <row r="228" spans="9:11" x14ac:dyDescent="0.2">
      <c r="I228">
        <v>218</v>
      </c>
      <c r="J228" s="4">
        <v>3003454435.0315309</v>
      </c>
      <c r="K228">
        <f t="shared" si="6"/>
        <v>0</v>
      </c>
    </row>
    <row r="229" spans="9:11" x14ac:dyDescent="0.2">
      <c r="I229">
        <v>219</v>
      </c>
      <c r="J229" s="4">
        <v>2859489877.9873877</v>
      </c>
      <c r="K229">
        <f t="shared" si="6"/>
        <v>0</v>
      </c>
    </row>
    <row r="230" spans="9:11" x14ac:dyDescent="0.2">
      <c r="I230">
        <v>220</v>
      </c>
      <c r="J230" s="4">
        <v>3010288228.0229673</v>
      </c>
      <c r="K230">
        <f t="shared" si="6"/>
        <v>0</v>
      </c>
    </row>
    <row r="231" spans="9:11" x14ac:dyDescent="0.2">
      <c r="I231">
        <v>221</v>
      </c>
      <c r="J231" s="4">
        <v>2914890723.1184888</v>
      </c>
      <c r="K231">
        <f t="shared" si="6"/>
        <v>0</v>
      </c>
    </row>
    <row r="232" spans="9:11" x14ac:dyDescent="0.2">
      <c r="I232">
        <v>222</v>
      </c>
      <c r="J232" s="4">
        <v>2760541812.0466471</v>
      </c>
      <c r="K232">
        <f t="shared" si="6"/>
        <v>0</v>
      </c>
    </row>
    <row r="233" spans="9:11" x14ac:dyDescent="0.2">
      <c r="I233">
        <v>223</v>
      </c>
      <c r="J233" s="4">
        <v>2782547821.656229</v>
      </c>
      <c r="K233">
        <f t="shared" si="6"/>
        <v>0</v>
      </c>
    </row>
    <row r="234" spans="9:11" x14ac:dyDescent="0.2">
      <c r="I234">
        <v>224</v>
      </c>
      <c r="J234" s="4">
        <v>2955016555.0769558</v>
      </c>
      <c r="K234">
        <f t="shared" si="6"/>
        <v>0</v>
      </c>
    </row>
    <row r="235" spans="9:11" x14ac:dyDescent="0.2">
      <c r="I235">
        <v>225</v>
      </c>
      <c r="J235" s="4">
        <v>2893830928.0610528</v>
      </c>
      <c r="K235">
        <f t="shared" si="6"/>
        <v>0</v>
      </c>
    </row>
    <row r="236" spans="9:11" x14ac:dyDescent="0.2">
      <c r="I236">
        <v>226</v>
      </c>
      <c r="J236" s="4">
        <v>2920196164.3622761</v>
      </c>
      <c r="K236">
        <f t="shared" si="6"/>
        <v>0</v>
      </c>
    </row>
    <row r="237" spans="9:11" x14ac:dyDescent="0.2">
      <c r="I237">
        <v>227</v>
      </c>
      <c r="J237" s="4">
        <v>2919240158.5279446</v>
      </c>
      <c r="K237">
        <f t="shared" si="6"/>
        <v>0</v>
      </c>
    </row>
    <row r="238" spans="9:11" x14ac:dyDescent="0.2">
      <c r="I238">
        <v>228</v>
      </c>
      <c r="J238" s="4">
        <v>3135805099.6951523</v>
      </c>
      <c r="K238">
        <f t="shared" si="6"/>
        <v>0</v>
      </c>
    </row>
    <row r="239" spans="9:11" x14ac:dyDescent="0.2">
      <c r="I239">
        <v>229</v>
      </c>
      <c r="J239" s="4">
        <v>3019974847.2038274</v>
      </c>
      <c r="K239">
        <f t="shared" si="6"/>
        <v>0</v>
      </c>
    </row>
    <row r="240" spans="9:11" x14ac:dyDescent="0.2">
      <c r="I240">
        <v>230</v>
      </c>
      <c r="J240" s="4">
        <v>2899607222.0234838</v>
      </c>
      <c r="K240">
        <f t="shared" si="6"/>
        <v>0</v>
      </c>
    </row>
    <row r="241" spans="9:11" x14ac:dyDescent="0.2">
      <c r="I241">
        <v>231</v>
      </c>
      <c r="J241" s="4">
        <v>3028098328.9391794</v>
      </c>
      <c r="K241">
        <f t="shared" si="6"/>
        <v>0</v>
      </c>
    </row>
    <row r="242" spans="9:11" x14ac:dyDescent="0.2">
      <c r="I242">
        <v>232</v>
      </c>
      <c r="J242" s="4">
        <v>2918516050.7112322</v>
      </c>
      <c r="K242">
        <f t="shared" si="6"/>
        <v>0</v>
      </c>
    </row>
    <row r="243" spans="9:11" x14ac:dyDescent="0.2">
      <c r="I243">
        <v>233</v>
      </c>
      <c r="J243" s="4">
        <v>2754574152.3518443</v>
      </c>
      <c r="K243">
        <f t="shared" si="6"/>
        <v>0</v>
      </c>
    </row>
    <row r="244" spans="9:11" x14ac:dyDescent="0.2">
      <c r="I244">
        <v>234</v>
      </c>
      <c r="J244" s="4">
        <v>3048577760.3431478</v>
      </c>
      <c r="K244">
        <f t="shared" si="6"/>
        <v>0</v>
      </c>
    </row>
    <row r="245" spans="9:11" x14ac:dyDescent="0.2">
      <c r="I245">
        <v>235</v>
      </c>
      <c r="J245" s="4">
        <v>2812286233.9402761</v>
      </c>
      <c r="K245">
        <f t="shared" si="6"/>
        <v>0</v>
      </c>
    </row>
    <row r="246" spans="9:11" x14ac:dyDescent="0.2">
      <c r="I246">
        <v>236</v>
      </c>
      <c r="J246" s="4">
        <v>2840404283.0586042</v>
      </c>
      <c r="K246">
        <f t="shared" si="6"/>
        <v>0</v>
      </c>
    </row>
    <row r="247" spans="9:11" x14ac:dyDescent="0.2">
      <c r="I247">
        <v>237</v>
      </c>
      <c r="J247" s="4">
        <v>3133921948.2693982</v>
      </c>
      <c r="K247">
        <f t="shared" si="6"/>
        <v>0</v>
      </c>
    </row>
    <row r="248" spans="9:11" x14ac:dyDescent="0.2">
      <c r="I248">
        <v>238</v>
      </c>
      <c r="J248" s="4">
        <v>2685200243.696187</v>
      </c>
      <c r="K248">
        <f t="shared" si="6"/>
        <v>0</v>
      </c>
    </row>
    <row r="249" spans="9:11" x14ac:dyDescent="0.2">
      <c r="I249">
        <v>239</v>
      </c>
      <c r="J249" s="4">
        <v>2863118842.4138336</v>
      </c>
      <c r="K249">
        <f t="shared" si="6"/>
        <v>0</v>
      </c>
    </row>
    <row r="250" spans="9:11" x14ac:dyDescent="0.2">
      <c r="I250">
        <v>240</v>
      </c>
      <c r="J250" s="4">
        <v>3579104650.0326061</v>
      </c>
      <c r="K250">
        <f t="shared" si="6"/>
        <v>0</v>
      </c>
    </row>
    <row r="251" spans="9:11" x14ac:dyDescent="0.2">
      <c r="I251">
        <v>241</v>
      </c>
      <c r="J251" s="4">
        <v>3066026150.0418162</v>
      </c>
      <c r="K251">
        <f t="shared" si="6"/>
        <v>0</v>
      </c>
    </row>
    <row r="252" spans="9:11" x14ac:dyDescent="0.2">
      <c r="I252">
        <v>242</v>
      </c>
      <c r="J252" s="4">
        <v>2983249689.6604705</v>
      </c>
      <c r="K252">
        <f t="shared" si="6"/>
        <v>0</v>
      </c>
    </row>
    <row r="253" spans="9:11" x14ac:dyDescent="0.2">
      <c r="I253">
        <v>243</v>
      </c>
      <c r="J253" s="4">
        <v>3088350138.8158412</v>
      </c>
      <c r="K253">
        <f t="shared" si="6"/>
        <v>0</v>
      </c>
    </row>
    <row r="254" spans="9:11" x14ac:dyDescent="0.2">
      <c r="I254">
        <v>244</v>
      </c>
      <c r="J254" s="4">
        <v>2875696019.0762267</v>
      </c>
      <c r="K254">
        <f t="shared" si="6"/>
        <v>0</v>
      </c>
    </row>
    <row r="255" spans="9:11" x14ac:dyDescent="0.2">
      <c r="I255">
        <v>245</v>
      </c>
      <c r="J255" s="4">
        <v>2867314983.9652176</v>
      </c>
      <c r="K255">
        <f t="shared" si="6"/>
        <v>0</v>
      </c>
    </row>
    <row r="256" spans="9:11" x14ac:dyDescent="0.2">
      <c r="I256">
        <v>246</v>
      </c>
      <c r="J256" s="4">
        <v>2767236323.3815241</v>
      </c>
      <c r="K256">
        <f t="shared" si="6"/>
        <v>0</v>
      </c>
    </row>
    <row r="257" spans="9:11" x14ac:dyDescent="0.2">
      <c r="I257">
        <v>247</v>
      </c>
      <c r="J257" s="4">
        <v>3084650483.8603063</v>
      </c>
      <c r="K257">
        <f t="shared" si="6"/>
        <v>0</v>
      </c>
    </row>
    <row r="258" spans="9:11" x14ac:dyDescent="0.2">
      <c r="I258">
        <v>248</v>
      </c>
      <c r="J258" s="4">
        <v>2772947319.1812682</v>
      </c>
      <c r="K258">
        <f t="shared" si="6"/>
        <v>0</v>
      </c>
    </row>
    <row r="259" spans="9:11" x14ac:dyDescent="0.2">
      <c r="I259">
        <v>249</v>
      </c>
      <c r="J259" s="4">
        <v>3048796319.274642</v>
      </c>
      <c r="K259">
        <f t="shared" si="6"/>
        <v>0</v>
      </c>
    </row>
    <row r="260" spans="9:11" x14ac:dyDescent="0.2">
      <c r="I260">
        <v>250</v>
      </c>
      <c r="J260" s="4">
        <v>2488325534.4592824</v>
      </c>
      <c r="K260">
        <f t="shared" si="6"/>
        <v>0</v>
      </c>
    </row>
    <row r="261" spans="9:11" x14ac:dyDescent="0.2">
      <c r="I261">
        <v>251</v>
      </c>
      <c r="J261" s="4">
        <v>2892611750.0617905</v>
      </c>
      <c r="K261">
        <f t="shared" si="6"/>
        <v>0</v>
      </c>
    </row>
    <row r="262" spans="9:11" x14ac:dyDescent="0.2">
      <c r="I262">
        <v>252</v>
      </c>
      <c r="J262" s="4">
        <v>2675439341.8132372</v>
      </c>
      <c r="K262">
        <f t="shared" si="6"/>
        <v>0</v>
      </c>
    </row>
    <row r="263" spans="9:11" x14ac:dyDescent="0.2">
      <c r="I263">
        <v>253</v>
      </c>
      <c r="J263" s="4">
        <v>2898345196.943831</v>
      </c>
      <c r="K263">
        <f t="shared" si="6"/>
        <v>0</v>
      </c>
    </row>
    <row r="264" spans="9:11" x14ac:dyDescent="0.2">
      <c r="I264">
        <v>254</v>
      </c>
      <c r="J264" s="4">
        <v>3053846626.7295818</v>
      </c>
      <c r="K264">
        <f t="shared" si="6"/>
        <v>0</v>
      </c>
    </row>
    <row r="265" spans="9:11" x14ac:dyDescent="0.2">
      <c r="I265">
        <v>255</v>
      </c>
      <c r="J265" s="4">
        <v>2917194651.3972979</v>
      </c>
      <c r="K265">
        <f t="shared" si="6"/>
        <v>0</v>
      </c>
    </row>
    <row r="266" spans="9:11" x14ac:dyDescent="0.2">
      <c r="I266">
        <v>256</v>
      </c>
      <c r="J266" s="4">
        <v>3043896848.9585056</v>
      </c>
      <c r="K266">
        <f t="shared" si="6"/>
        <v>0</v>
      </c>
    </row>
    <row r="267" spans="9:11" x14ac:dyDescent="0.2">
      <c r="I267">
        <v>257</v>
      </c>
      <c r="J267" s="4">
        <v>2936692969.7374716</v>
      </c>
      <c r="K267">
        <f t="shared" si="6"/>
        <v>0</v>
      </c>
    </row>
    <row r="268" spans="9:11" x14ac:dyDescent="0.2">
      <c r="I268">
        <v>258</v>
      </c>
      <c r="J268" s="4">
        <v>3262814897.6005869</v>
      </c>
      <c r="K268">
        <f t="shared" ref="K268:K331" si="7">IF(J268&lt;1700000000,1,0)</f>
        <v>0</v>
      </c>
    </row>
    <row r="269" spans="9:11" x14ac:dyDescent="0.2">
      <c r="I269">
        <v>259</v>
      </c>
      <c r="J269" s="4">
        <v>2975777430.7137527</v>
      </c>
      <c r="K269">
        <f t="shared" si="7"/>
        <v>0</v>
      </c>
    </row>
    <row r="270" spans="9:11" x14ac:dyDescent="0.2">
      <c r="I270">
        <v>260</v>
      </c>
      <c r="J270" s="4">
        <v>3110323092.2765918</v>
      </c>
      <c r="K270">
        <f t="shared" si="7"/>
        <v>0</v>
      </c>
    </row>
    <row r="271" spans="9:11" x14ac:dyDescent="0.2">
      <c r="I271">
        <v>261</v>
      </c>
      <c r="J271" s="4">
        <v>2769856888.6943564</v>
      </c>
      <c r="K271">
        <f t="shared" si="7"/>
        <v>0</v>
      </c>
    </row>
    <row r="272" spans="9:11" x14ac:dyDescent="0.2">
      <c r="I272">
        <v>262</v>
      </c>
      <c r="J272" s="4">
        <v>2757761380.5863013</v>
      </c>
      <c r="K272">
        <f t="shared" si="7"/>
        <v>0</v>
      </c>
    </row>
    <row r="273" spans="9:11" x14ac:dyDescent="0.2">
      <c r="I273">
        <v>263</v>
      </c>
      <c r="J273" s="4">
        <v>3090785315.4277134</v>
      </c>
      <c r="K273">
        <f t="shared" si="7"/>
        <v>0</v>
      </c>
    </row>
    <row r="274" spans="9:11" x14ac:dyDescent="0.2">
      <c r="I274">
        <v>264</v>
      </c>
      <c r="J274" s="4">
        <v>2977987281.4800072</v>
      </c>
      <c r="K274">
        <f t="shared" si="7"/>
        <v>0</v>
      </c>
    </row>
    <row r="275" spans="9:11" x14ac:dyDescent="0.2">
      <c r="I275">
        <v>265</v>
      </c>
      <c r="J275" s="4">
        <v>2925050451.3467007</v>
      </c>
      <c r="K275">
        <f t="shared" si="7"/>
        <v>0</v>
      </c>
    </row>
    <row r="276" spans="9:11" x14ac:dyDescent="0.2">
      <c r="I276">
        <v>266</v>
      </c>
      <c r="J276" s="4">
        <v>2653298519.0408511</v>
      </c>
      <c r="K276">
        <f t="shared" si="7"/>
        <v>0</v>
      </c>
    </row>
    <row r="277" spans="9:11" x14ac:dyDescent="0.2">
      <c r="I277">
        <v>267</v>
      </c>
      <c r="J277" s="4">
        <v>2787249890.9037089</v>
      </c>
      <c r="K277">
        <f t="shared" si="7"/>
        <v>0</v>
      </c>
    </row>
    <row r="278" spans="9:11" x14ac:dyDescent="0.2">
      <c r="I278">
        <v>268</v>
      </c>
      <c r="J278" s="4">
        <v>3151954264.4721088</v>
      </c>
      <c r="K278">
        <f t="shared" si="7"/>
        <v>0</v>
      </c>
    </row>
    <row r="279" spans="9:11" x14ac:dyDescent="0.2">
      <c r="I279">
        <v>269</v>
      </c>
      <c r="J279" s="4">
        <v>2880016868.2024131</v>
      </c>
      <c r="K279">
        <f t="shared" si="7"/>
        <v>0</v>
      </c>
    </row>
    <row r="280" spans="9:11" x14ac:dyDescent="0.2">
      <c r="I280">
        <v>270</v>
      </c>
      <c r="J280" s="4">
        <v>3150335588.6350155</v>
      </c>
      <c r="K280">
        <f t="shared" si="7"/>
        <v>0</v>
      </c>
    </row>
    <row r="281" spans="9:11" x14ac:dyDescent="0.2">
      <c r="I281">
        <v>271</v>
      </c>
      <c r="J281" s="4">
        <v>3087807167.837934</v>
      </c>
      <c r="K281">
        <f t="shared" si="7"/>
        <v>0</v>
      </c>
    </row>
    <row r="282" spans="9:11" x14ac:dyDescent="0.2">
      <c r="I282">
        <v>272</v>
      </c>
      <c r="J282" s="4">
        <v>2996558316.0681553</v>
      </c>
      <c r="K282">
        <f t="shared" si="7"/>
        <v>0</v>
      </c>
    </row>
    <row r="283" spans="9:11" x14ac:dyDescent="0.2">
      <c r="I283">
        <v>273</v>
      </c>
      <c r="J283" s="4">
        <v>2974789459.8021789</v>
      </c>
      <c r="K283">
        <f t="shared" si="7"/>
        <v>0</v>
      </c>
    </row>
    <row r="284" spans="9:11" x14ac:dyDescent="0.2">
      <c r="I284">
        <v>274</v>
      </c>
      <c r="J284" s="4">
        <v>2867439232.5134621</v>
      </c>
      <c r="K284">
        <f t="shared" si="7"/>
        <v>0</v>
      </c>
    </row>
    <row r="285" spans="9:11" x14ac:dyDescent="0.2">
      <c r="I285">
        <v>275</v>
      </c>
      <c r="J285" s="4">
        <v>3001316500.1092019</v>
      </c>
      <c r="K285">
        <f t="shared" si="7"/>
        <v>0</v>
      </c>
    </row>
    <row r="286" spans="9:11" x14ac:dyDescent="0.2">
      <c r="I286">
        <v>276</v>
      </c>
      <c r="J286" s="4">
        <v>3162052343.9018745</v>
      </c>
      <c r="K286">
        <f t="shared" si="7"/>
        <v>0</v>
      </c>
    </row>
    <row r="287" spans="9:11" x14ac:dyDescent="0.2">
      <c r="I287">
        <v>277</v>
      </c>
      <c r="J287" s="4">
        <v>2815340077.4124608</v>
      </c>
      <c r="K287">
        <f t="shared" si="7"/>
        <v>0</v>
      </c>
    </row>
    <row r="288" spans="9:11" x14ac:dyDescent="0.2">
      <c r="I288">
        <v>278</v>
      </c>
      <c r="J288" s="4">
        <v>3034357767.2276564</v>
      </c>
      <c r="K288">
        <f t="shared" si="7"/>
        <v>0</v>
      </c>
    </row>
    <row r="289" spans="9:11" x14ac:dyDescent="0.2">
      <c r="I289">
        <v>279</v>
      </c>
      <c r="J289" s="4">
        <v>3049406819.7643633</v>
      </c>
      <c r="K289">
        <f t="shared" si="7"/>
        <v>0</v>
      </c>
    </row>
    <row r="290" spans="9:11" x14ac:dyDescent="0.2">
      <c r="I290">
        <v>280</v>
      </c>
      <c r="J290" s="4">
        <v>3025496536.2162962</v>
      </c>
      <c r="K290">
        <f t="shared" si="7"/>
        <v>0</v>
      </c>
    </row>
    <row r="291" spans="9:11" x14ac:dyDescent="0.2">
      <c r="I291">
        <v>281</v>
      </c>
      <c r="J291" s="4">
        <v>3168602727.6846395</v>
      </c>
      <c r="K291">
        <f t="shared" si="7"/>
        <v>0</v>
      </c>
    </row>
    <row r="292" spans="9:11" x14ac:dyDescent="0.2">
      <c r="I292">
        <v>282</v>
      </c>
      <c r="J292" s="4">
        <v>3020724695.70854</v>
      </c>
      <c r="K292">
        <f t="shared" si="7"/>
        <v>0</v>
      </c>
    </row>
    <row r="293" spans="9:11" x14ac:dyDescent="0.2">
      <c r="I293">
        <v>283</v>
      </c>
      <c r="J293" s="4">
        <v>3072798897.91717</v>
      </c>
      <c r="K293">
        <f t="shared" si="7"/>
        <v>0</v>
      </c>
    </row>
    <row r="294" spans="9:11" x14ac:dyDescent="0.2">
      <c r="I294">
        <v>284</v>
      </c>
      <c r="J294" s="4">
        <v>2852783726.6266522</v>
      </c>
      <c r="K294">
        <f t="shared" si="7"/>
        <v>0</v>
      </c>
    </row>
    <row r="295" spans="9:11" x14ac:dyDescent="0.2">
      <c r="I295">
        <v>285</v>
      </c>
      <c r="J295" s="4">
        <v>2947742898.993381</v>
      </c>
      <c r="K295">
        <f t="shared" si="7"/>
        <v>0</v>
      </c>
    </row>
    <row r="296" spans="9:11" x14ac:dyDescent="0.2">
      <c r="I296">
        <v>286</v>
      </c>
      <c r="J296" s="4">
        <v>2954053481.1521921</v>
      </c>
      <c r="K296">
        <f t="shared" si="7"/>
        <v>0</v>
      </c>
    </row>
    <row r="297" spans="9:11" x14ac:dyDescent="0.2">
      <c r="I297">
        <v>287</v>
      </c>
      <c r="J297" s="4">
        <v>3117092971.9518337</v>
      </c>
      <c r="K297">
        <f t="shared" si="7"/>
        <v>0</v>
      </c>
    </row>
    <row r="298" spans="9:11" x14ac:dyDescent="0.2">
      <c r="I298">
        <v>288</v>
      </c>
      <c r="J298" s="4">
        <v>3210771934.7261319</v>
      </c>
      <c r="K298">
        <f t="shared" si="7"/>
        <v>0</v>
      </c>
    </row>
    <row r="299" spans="9:11" x14ac:dyDescent="0.2">
      <c r="I299">
        <v>289</v>
      </c>
      <c r="J299" s="4">
        <v>2672025946.6421938</v>
      </c>
      <c r="K299">
        <f t="shared" si="7"/>
        <v>0</v>
      </c>
    </row>
    <row r="300" spans="9:11" x14ac:dyDescent="0.2">
      <c r="I300">
        <v>290</v>
      </c>
      <c r="J300" s="4">
        <v>2885124179.9875088</v>
      </c>
      <c r="K300">
        <f t="shared" si="7"/>
        <v>0</v>
      </c>
    </row>
    <row r="301" spans="9:11" x14ac:dyDescent="0.2">
      <c r="I301">
        <v>291</v>
      </c>
      <c r="J301" s="4">
        <v>3110153851.3832188</v>
      </c>
      <c r="K301">
        <f t="shared" si="7"/>
        <v>0</v>
      </c>
    </row>
    <row r="302" spans="9:11" x14ac:dyDescent="0.2">
      <c r="I302">
        <v>292</v>
      </c>
      <c r="J302" s="4">
        <v>2942747429.5210056</v>
      </c>
      <c r="K302">
        <f t="shared" si="7"/>
        <v>0</v>
      </c>
    </row>
    <row r="303" spans="9:11" x14ac:dyDescent="0.2">
      <c r="I303">
        <v>293</v>
      </c>
      <c r="J303" s="4">
        <v>2789967514.4998469</v>
      </c>
      <c r="K303">
        <f t="shared" si="7"/>
        <v>0</v>
      </c>
    </row>
    <row r="304" spans="9:11" x14ac:dyDescent="0.2">
      <c r="I304">
        <v>294</v>
      </c>
      <c r="J304" s="4">
        <v>2853737973.9889064</v>
      </c>
      <c r="K304">
        <f t="shared" si="7"/>
        <v>0</v>
      </c>
    </row>
    <row r="305" spans="9:11" x14ac:dyDescent="0.2">
      <c r="I305">
        <v>295</v>
      </c>
      <c r="J305" s="4">
        <v>3061436138.5017695</v>
      </c>
      <c r="K305">
        <f t="shared" si="7"/>
        <v>0</v>
      </c>
    </row>
    <row r="306" spans="9:11" x14ac:dyDescent="0.2">
      <c r="I306">
        <v>296</v>
      </c>
      <c r="J306" s="4">
        <v>3003670520.503087</v>
      </c>
      <c r="K306">
        <f t="shared" si="7"/>
        <v>0</v>
      </c>
    </row>
    <row r="307" spans="9:11" x14ac:dyDescent="0.2">
      <c r="I307">
        <v>297</v>
      </c>
      <c r="J307" s="4">
        <v>2827943987.3872271</v>
      </c>
      <c r="K307">
        <f t="shared" si="7"/>
        <v>0</v>
      </c>
    </row>
    <row r="308" spans="9:11" x14ac:dyDescent="0.2">
      <c r="I308">
        <v>298</v>
      </c>
      <c r="J308" s="4">
        <v>2898517734.9252462</v>
      </c>
      <c r="K308">
        <f t="shared" si="7"/>
        <v>0</v>
      </c>
    </row>
    <row r="309" spans="9:11" x14ac:dyDescent="0.2">
      <c r="I309">
        <v>299</v>
      </c>
      <c r="J309" s="4">
        <v>2616675560.8739672</v>
      </c>
      <c r="K309">
        <f t="shared" si="7"/>
        <v>0</v>
      </c>
    </row>
    <row r="310" spans="9:11" x14ac:dyDescent="0.2">
      <c r="I310">
        <v>300</v>
      </c>
      <c r="J310" s="4">
        <v>2953780224.3017349</v>
      </c>
      <c r="K310">
        <f t="shared" si="7"/>
        <v>0</v>
      </c>
    </row>
    <row r="311" spans="9:11" x14ac:dyDescent="0.2">
      <c r="I311">
        <v>301</v>
      </c>
      <c r="J311" s="4">
        <v>2788941029.4832721</v>
      </c>
      <c r="K311">
        <f t="shared" si="7"/>
        <v>0</v>
      </c>
    </row>
    <row r="312" spans="9:11" x14ac:dyDescent="0.2">
      <c r="I312">
        <v>302</v>
      </c>
      <c r="J312" s="4">
        <v>2732541811.0402422</v>
      </c>
      <c r="K312">
        <f t="shared" si="7"/>
        <v>0</v>
      </c>
    </row>
    <row r="313" spans="9:11" x14ac:dyDescent="0.2">
      <c r="I313">
        <v>303</v>
      </c>
      <c r="J313" s="4">
        <v>2949434077.3474712</v>
      </c>
      <c r="K313">
        <f t="shared" si="7"/>
        <v>0</v>
      </c>
    </row>
    <row r="314" spans="9:11" x14ac:dyDescent="0.2">
      <c r="I314">
        <v>304</v>
      </c>
      <c r="J314" s="4">
        <v>3097324946.7672133</v>
      </c>
      <c r="K314">
        <f t="shared" si="7"/>
        <v>0</v>
      </c>
    </row>
    <row r="315" spans="9:11" x14ac:dyDescent="0.2">
      <c r="I315">
        <v>305</v>
      </c>
      <c r="J315" s="4">
        <v>2952100277.3268924</v>
      </c>
      <c r="K315">
        <f t="shared" si="7"/>
        <v>0</v>
      </c>
    </row>
    <row r="316" spans="9:11" x14ac:dyDescent="0.2">
      <c r="I316">
        <v>306</v>
      </c>
      <c r="J316" s="4">
        <v>2934228571.3677931</v>
      </c>
      <c r="K316">
        <f t="shared" si="7"/>
        <v>0</v>
      </c>
    </row>
    <row r="317" spans="9:11" x14ac:dyDescent="0.2">
      <c r="I317">
        <v>307</v>
      </c>
      <c r="J317" s="4">
        <v>2662998245.9114885</v>
      </c>
      <c r="K317">
        <f t="shared" si="7"/>
        <v>0</v>
      </c>
    </row>
    <row r="318" spans="9:11" x14ac:dyDescent="0.2">
      <c r="I318">
        <v>308</v>
      </c>
      <c r="J318" s="4">
        <v>3096676063.986145</v>
      </c>
      <c r="K318">
        <f t="shared" si="7"/>
        <v>0</v>
      </c>
    </row>
    <row r="319" spans="9:11" x14ac:dyDescent="0.2">
      <c r="I319">
        <v>309</v>
      </c>
      <c r="J319" s="4">
        <v>2904193287.331768</v>
      </c>
      <c r="K319">
        <f t="shared" si="7"/>
        <v>0</v>
      </c>
    </row>
    <row r="320" spans="9:11" x14ac:dyDescent="0.2">
      <c r="I320">
        <v>310</v>
      </c>
      <c r="J320" s="4">
        <v>3153624289.9057508</v>
      </c>
      <c r="K320">
        <f t="shared" si="7"/>
        <v>0</v>
      </c>
    </row>
    <row r="321" spans="9:11" x14ac:dyDescent="0.2">
      <c r="I321">
        <v>311</v>
      </c>
      <c r="J321" s="4">
        <v>3062003982.6404438</v>
      </c>
      <c r="K321">
        <f t="shared" si="7"/>
        <v>0</v>
      </c>
    </row>
    <row r="322" spans="9:11" x14ac:dyDescent="0.2">
      <c r="I322">
        <v>312</v>
      </c>
      <c r="J322" s="4">
        <v>3017741052.7399511</v>
      </c>
      <c r="K322">
        <f t="shared" si="7"/>
        <v>0</v>
      </c>
    </row>
    <row r="323" spans="9:11" x14ac:dyDescent="0.2">
      <c r="I323">
        <v>313</v>
      </c>
      <c r="J323" s="4">
        <v>2777255167.2653885</v>
      </c>
      <c r="K323">
        <f t="shared" si="7"/>
        <v>0</v>
      </c>
    </row>
    <row r="324" spans="9:11" x14ac:dyDescent="0.2">
      <c r="I324">
        <v>314</v>
      </c>
      <c r="J324" s="4">
        <v>2890548537.2615199</v>
      </c>
      <c r="K324">
        <f t="shared" si="7"/>
        <v>0</v>
      </c>
    </row>
    <row r="325" spans="9:11" x14ac:dyDescent="0.2">
      <c r="I325">
        <v>315</v>
      </c>
      <c r="J325" s="4">
        <v>2845176232.5097742</v>
      </c>
      <c r="K325">
        <f t="shared" si="7"/>
        <v>0</v>
      </c>
    </row>
    <row r="326" spans="9:11" x14ac:dyDescent="0.2">
      <c r="I326">
        <v>316</v>
      </c>
      <c r="J326" s="4">
        <v>3039946889.9993453</v>
      </c>
      <c r="K326">
        <f t="shared" si="7"/>
        <v>0</v>
      </c>
    </row>
    <row r="327" spans="9:11" x14ac:dyDescent="0.2">
      <c r="I327">
        <v>317</v>
      </c>
      <c r="J327" s="4">
        <v>2898988542.6416655</v>
      </c>
      <c r="K327">
        <f t="shared" si="7"/>
        <v>0</v>
      </c>
    </row>
    <row r="328" spans="9:11" x14ac:dyDescent="0.2">
      <c r="I328">
        <v>318</v>
      </c>
      <c r="J328" s="4">
        <v>3004138292.8283043</v>
      </c>
      <c r="K328">
        <f t="shared" si="7"/>
        <v>0</v>
      </c>
    </row>
    <row r="329" spans="9:11" x14ac:dyDescent="0.2">
      <c r="I329">
        <v>319</v>
      </c>
      <c r="J329" s="4">
        <v>3010849238.080503</v>
      </c>
      <c r="K329">
        <f t="shared" si="7"/>
        <v>0</v>
      </c>
    </row>
    <row r="330" spans="9:11" x14ac:dyDescent="0.2">
      <c r="I330">
        <v>320</v>
      </c>
      <c r="J330" s="4">
        <v>2857749251.4023194</v>
      </c>
      <c r="K330">
        <f t="shared" si="7"/>
        <v>0</v>
      </c>
    </row>
    <row r="331" spans="9:11" x14ac:dyDescent="0.2">
      <c r="I331">
        <v>321</v>
      </c>
      <c r="J331" s="4">
        <v>2960815051.1845031</v>
      </c>
      <c r="K331">
        <f t="shared" si="7"/>
        <v>0</v>
      </c>
    </row>
    <row r="332" spans="9:11" x14ac:dyDescent="0.2">
      <c r="I332">
        <v>322</v>
      </c>
      <c r="J332" s="4">
        <v>2894979094.1701674</v>
      </c>
      <c r="K332">
        <f t="shared" ref="K332:K395" si="8">IF(J332&lt;1700000000,1,0)</f>
        <v>0</v>
      </c>
    </row>
    <row r="333" spans="9:11" x14ac:dyDescent="0.2">
      <c r="I333">
        <v>323</v>
      </c>
      <c r="J333" s="4">
        <v>2976551911.3567448</v>
      </c>
      <c r="K333">
        <f t="shared" si="8"/>
        <v>0</v>
      </c>
    </row>
    <row r="334" spans="9:11" x14ac:dyDescent="0.2">
      <c r="I334">
        <v>324</v>
      </c>
      <c r="J334" s="4">
        <v>2850454905.6542668</v>
      </c>
      <c r="K334">
        <f t="shared" si="8"/>
        <v>0</v>
      </c>
    </row>
    <row r="335" spans="9:11" x14ac:dyDescent="0.2">
      <c r="I335">
        <v>325</v>
      </c>
      <c r="J335" s="4">
        <v>2940117927.3606095</v>
      </c>
      <c r="K335">
        <f t="shared" si="8"/>
        <v>0</v>
      </c>
    </row>
    <row r="336" spans="9:11" x14ac:dyDescent="0.2">
      <c r="I336">
        <v>326</v>
      </c>
      <c r="J336" s="4">
        <v>2956295662.8323741</v>
      </c>
      <c r="K336">
        <f t="shared" si="8"/>
        <v>0</v>
      </c>
    </row>
    <row r="337" spans="9:11" x14ac:dyDescent="0.2">
      <c r="I337">
        <v>327</v>
      </c>
      <c r="J337" s="4">
        <v>2641167141.1285186</v>
      </c>
      <c r="K337">
        <f t="shared" si="8"/>
        <v>0</v>
      </c>
    </row>
    <row r="338" spans="9:11" x14ac:dyDescent="0.2">
      <c r="I338">
        <v>328</v>
      </c>
      <c r="J338" s="4">
        <v>3192566689.4154072</v>
      </c>
      <c r="K338">
        <f t="shared" si="8"/>
        <v>0</v>
      </c>
    </row>
    <row r="339" spans="9:11" x14ac:dyDescent="0.2">
      <c r="I339">
        <v>329</v>
      </c>
      <c r="J339" s="4">
        <v>2871157845.4170132</v>
      </c>
      <c r="K339">
        <f t="shared" si="8"/>
        <v>0</v>
      </c>
    </row>
    <row r="340" spans="9:11" x14ac:dyDescent="0.2">
      <c r="I340">
        <v>330</v>
      </c>
      <c r="J340" s="4">
        <v>2770140123.1586528</v>
      </c>
      <c r="K340">
        <f t="shared" si="8"/>
        <v>0</v>
      </c>
    </row>
    <row r="341" spans="9:11" x14ac:dyDescent="0.2">
      <c r="I341">
        <v>331</v>
      </c>
      <c r="J341" s="4">
        <v>2993012900.4190578</v>
      </c>
      <c r="K341">
        <f t="shared" si="8"/>
        <v>0</v>
      </c>
    </row>
    <row r="342" spans="9:11" x14ac:dyDescent="0.2">
      <c r="I342">
        <v>332</v>
      </c>
      <c r="J342" s="4">
        <v>2924162318.4617043</v>
      </c>
      <c r="K342">
        <f t="shared" si="8"/>
        <v>0</v>
      </c>
    </row>
    <row r="343" spans="9:11" x14ac:dyDescent="0.2">
      <c r="I343">
        <v>333</v>
      </c>
      <c r="J343" s="4">
        <v>2806118927.1283326</v>
      </c>
      <c r="K343">
        <f t="shared" si="8"/>
        <v>0</v>
      </c>
    </row>
    <row r="344" spans="9:11" x14ac:dyDescent="0.2">
      <c r="I344">
        <v>334</v>
      </c>
      <c r="J344" s="4">
        <v>3072333693.5860758</v>
      </c>
      <c r="K344">
        <f t="shared" si="8"/>
        <v>0</v>
      </c>
    </row>
    <row r="345" spans="9:11" x14ac:dyDescent="0.2">
      <c r="I345">
        <v>335</v>
      </c>
      <c r="J345" s="4">
        <v>3111038559.6396418</v>
      </c>
      <c r="K345">
        <f t="shared" si="8"/>
        <v>0</v>
      </c>
    </row>
    <row r="346" spans="9:11" x14ac:dyDescent="0.2">
      <c r="I346">
        <v>336</v>
      </c>
      <c r="J346" s="4">
        <v>3030389703.7760229</v>
      </c>
      <c r="K346">
        <f t="shared" si="8"/>
        <v>0</v>
      </c>
    </row>
    <row r="347" spans="9:11" x14ac:dyDescent="0.2">
      <c r="I347">
        <v>337</v>
      </c>
      <c r="J347" s="4">
        <v>3132486684.5786018</v>
      </c>
      <c r="K347">
        <f t="shared" si="8"/>
        <v>0</v>
      </c>
    </row>
    <row r="348" spans="9:11" x14ac:dyDescent="0.2">
      <c r="I348">
        <v>338</v>
      </c>
      <c r="J348" s="4">
        <v>3033174696.5437341</v>
      </c>
      <c r="K348">
        <f t="shared" si="8"/>
        <v>0</v>
      </c>
    </row>
    <row r="349" spans="9:11" x14ac:dyDescent="0.2">
      <c r="I349">
        <v>339</v>
      </c>
      <c r="J349" s="4">
        <v>2936411723.7215433</v>
      </c>
      <c r="K349">
        <f t="shared" si="8"/>
        <v>0</v>
      </c>
    </row>
    <row r="350" spans="9:11" x14ac:dyDescent="0.2">
      <c r="I350">
        <v>340</v>
      </c>
      <c r="J350" s="4">
        <v>2851335828.8176312</v>
      </c>
      <c r="K350">
        <f t="shared" si="8"/>
        <v>0</v>
      </c>
    </row>
    <row r="351" spans="9:11" x14ac:dyDescent="0.2">
      <c r="I351">
        <v>341</v>
      </c>
      <c r="J351" s="4">
        <v>2755444985.1234727</v>
      </c>
      <c r="K351">
        <f t="shared" si="8"/>
        <v>0</v>
      </c>
    </row>
    <row r="352" spans="9:11" x14ac:dyDescent="0.2">
      <c r="I352">
        <v>342</v>
      </c>
      <c r="J352" s="4">
        <v>2974466437.128767</v>
      </c>
      <c r="K352">
        <f t="shared" si="8"/>
        <v>0</v>
      </c>
    </row>
    <row r="353" spans="9:11" x14ac:dyDescent="0.2">
      <c r="I353">
        <v>343</v>
      </c>
      <c r="J353" s="4">
        <v>2793614495.5960765</v>
      </c>
      <c r="K353">
        <f t="shared" si="8"/>
        <v>0</v>
      </c>
    </row>
    <row r="354" spans="9:11" x14ac:dyDescent="0.2">
      <c r="I354">
        <v>344</v>
      </c>
      <c r="J354" s="4">
        <v>3028827652.5912566</v>
      </c>
      <c r="K354">
        <f t="shared" si="8"/>
        <v>0</v>
      </c>
    </row>
    <row r="355" spans="9:11" x14ac:dyDescent="0.2">
      <c r="I355">
        <v>345</v>
      </c>
      <c r="J355" s="4">
        <v>2879243154.2894392</v>
      </c>
      <c r="K355">
        <f t="shared" si="8"/>
        <v>0</v>
      </c>
    </row>
    <row r="356" spans="9:11" x14ac:dyDescent="0.2">
      <c r="I356">
        <v>346</v>
      </c>
      <c r="J356" s="4">
        <v>2852766469.1689258</v>
      </c>
      <c r="K356">
        <f t="shared" si="8"/>
        <v>0</v>
      </c>
    </row>
    <row r="357" spans="9:11" x14ac:dyDescent="0.2">
      <c r="I357">
        <v>347</v>
      </c>
      <c r="J357" s="4">
        <v>2973861210.0403175</v>
      </c>
      <c r="K357">
        <f t="shared" si="8"/>
        <v>0</v>
      </c>
    </row>
    <row r="358" spans="9:11" x14ac:dyDescent="0.2">
      <c r="I358">
        <v>348</v>
      </c>
      <c r="J358" s="4">
        <v>2653959320.2919259</v>
      </c>
      <c r="K358">
        <f t="shared" si="8"/>
        <v>0</v>
      </c>
    </row>
    <row r="359" spans="9:11" x14ac:dyDescent="0.2">
      <c r="I359">
        <v>349</v>
      </c>
      <c r="J359" s="4">
        <v>2641474012.146749</v>
      </c>
      <c r="K359">
        <f t="shared" si="8"/>
        <v>0</v>
      </c>
    </row>
    <row r="360" spans="9:11" x14ac:dyDescent="0.2">
      <c r="I360">
        <v>350</v>
      </c>
      <c r="J360" s="4">
        <v>2789358351.933249</v>
      </c>
      <c r="K360">
        <f t="shared" si="8"/>
        <v>0</v>
      </c>
    </row>
    <row r="361" spans="9:11" x14ac:dyDescent="0.2">
      <c r="I361">
        <v>351</v>
      </c>
      <c r="J361" s="4">
        <v>2777496281.221807</v>
      </c>
      <c r="K361">
        <f t="shared" si="8"/>
        <v>0</v>
      </c>
    </row>
    <row r="362" spans="9:11" x14ac:dyDescent="0.2">
      <c r="I362">
        <v>352</v>
      </c>
      <c r="J362" s="4">
        <v>2942778288.7424731</v>
      </c>
      <c r="K362">
        <f t="shared" si="8"/>
        <v>0</v>
      </c>
    </row>
    <row r="363" spans="9:11" x14ac:dyDescent="0.2">
      <c r="I363">
        <v>353</v>
      </c>
      <c r="J363" s="4">
        <v>3251309249.9106674</v>
      </c>
      <c r="K363">
        <f t="shared" si="8"/>
        <v>0</v>
      </c>
    </row>
    <row r="364" spans="9:11" x14ac:dyDescent="0.2">
      <c r="I364">
        <v>354</v>
      </c>
      <c r="J364" s="4">
        <v>2727942181.411531</v>
      </c>
      <c r="K364">
        <f t="shared" si="8"/>
        <v>0</v>
      </c>
    </row>
    <row r="365" spans="9:11" x14ac:dyDescent="0.2">
      <c r="I365">
        <v>355</v>
      </c>
      <c r="J365" s="4">
        <v>2834508607.2625904</v>
      </c>
      <c r="K365">
        <f t="shared" si="8"/>
        <v>0</v>
      </c>
    </row>
    <row r="366" spans="9:11" x14ac:dyDescent="0.2">
      <c r="I366">
        <v>356</v>
      </c>
      <c r="J366" s="4">
        <v>2953454681.7956533</v>
      </c>
      <c r="K366">
        <f t="shared" si="8"/>
        <v>0</v>
      </c>
    </row>
    <row r="367" spans="9:11" x14ac:dyDescent="0.2">
      <c r="I367">
        <v>357</v>
      </c>
      <c r="J367" s="4">
        <v>2810860727.0827456</v>
      </c>
      <c r="K367">
        <f t="shared" si="8"/>
        <v>0</v>
      </c>
    </row>
    <row r="368" spans="9:11" x14ac:dyDescent="0.2">
      <c r="I368">
        <v>358</v>
      </c>
      <c r="J368" s="4">
        <v>2913365403.6075974</v>
      </c>
      <c r="K368">
        <f t="shared" si="8"/>
        <v>0</v>
      </c>
    </row>
    <row r="369" spans="9:11" x14ac:dyDescent="0.2">
      <c r="I369">
        <v>359</v>
      </c>
      <c r="J369" s="4">
        <v>3159787108.6530352</v>
      </c>
      <c r="K369">
        <f t="shared" si="8"/>
        <v>0</v>
      </c>
    </row>
    <row r="370" spans="9:11" x14ac:dyDescent="0.2">
      <c r="I370">
        <v>360</v>
      </c>
      <c r="J370" s="4">
        <v>2924155457.4108982</v>
      </c>
      <c r="K370">
        <f t="shared" si="8"/>
        <v>0</v>
      </c>
    </row>
    <row r="371" spans="9:11" x14ac:dyDescent="0.2">
      <c r="I371">
        <v>361</v>
      </c>
      <c r="J371" s="4">
        <v>3037148458.2788372</v>
      </c>
      <c r="K371">
        <f t="shared" si="8"/>
        <v>0</v>
      </c>
    </row>
    <row r="372" spans="9:11" x14ac:dyDescent="0.2">
      <c r="I372">
        <v>362</v>
      </c>
      <c r="J372" s="4">
        <v>2932530782.8494115</v>
      </c>
      <c r="K372">
        <f t="shared" si="8"/>
        <v>0</v>
      </c>
    </row>
    <row r="373" spans="9:11" x14ac:dyDescent="0.2">
      <c r="I373">
        <v>363</v>
      </c>
      <c r="J373" s="4">
        <v>2998962414.7408004</v>
      </c>
      <c r="K373">
        <f t="shared" si="8"/>
        <v>0</v>
      </c>
    </row>
    <row r="374" spans="9:11" x14ac:dyDescent="0.2">
      <c r="I374">
        <v>364</v>
      </c>
      <c r="J374" s="4">
        <v>3177024641.6610036</v>
      </c>
      <c r="K374">
        <f t="shared" si="8"/>
        <v>0</v>
      </c>
    </row>
    <row r="375" spans="9:11" x14ac:dyDescent="0.2">
      <c r="I375">
        <v>365</v>
      </c>
      <c r="J375" s="4">
        <v>2962017103.612184</v>
      </c>
      <c r="K375">
        <f t="shared" si="8"/>
        <v>0</v>
      </c>
    </row>
    <row r="376" spans="9:11" x14ac:dyDescent="0.2">
      <c r="I376">
        <v>366</v>
      </c>
      <c r="J376" s="4">
        <v>2861728248.854702</v>
      </c>
      <c r="K376">
        <f t="shared" si="8"/>
        <v>0</v>
      </c>
    </row>
    <row r="377" spans="9:11" x14ac:dyDescent="0.2">
      <c r="I377">
        <v>367</v>
      </c>
      <c r="J377" s="4">
        <v>3073810359.5209842</v>
      </c>
      <c r="K377">
        <f t="shared" si="8"/>
        <v>0</v>
      </c>
    </row>
    <row r="378" spans="9:11" x14ac:dyDescent="0.2">
      <c r="I378">
        <v>368</v>
      </c>
      <c r="J378" s="4">
        <v>2981001192.3579006</v>
      </c>
      <c r="K378">
        <f t="shared" si="8"/>
        <v>0</v>
      </c>
    </row>
    <row r="379" spans="9:11" x14ac:dyDescent="0.2">
      <c r="I379">
        <v>369</v>
      </c>
      <c r="J379" s="4">
        <v>2907048461.9521551</v>
      </c>
      <c r="K379">
        <f t="shared" si="8"/>
        <v>0</v>
      </c>
    </row>
    <row r="380" spans="9:11" x14ac:dyDescent="0.2">
      <c r="I380">
        <v>370</v>
      </c>
      <c r="J380" s="4">
        <v>2942071250.974493</v>
      </c>
      <c r="K380">
        <f t="shared" si="8"/>
        <v>0</v>
      </c>
    </row>
    <row r="381" spans="9:11" x14ac:dyDescent="0.2">
      <c r="I381">
        <v>371</v>
      </c>
      <c r="J381" s="4">
        <v>2865289915.0845785</v>
      </c>
      <c r="K381">
        <f t="shared" si="8"/>
        <v>0</v>
      </c>
    </row>
    <row r="382" spans="9:11" x14ac:dyDescent="0.2">
      <c r="I382">
        <v>372</v>
      </c>
      <c r="J382" s="4">
        <v>2825826679.6923757</v>
      </c>
      <c r="K382">
        <f t="shared" si="8"/>
        <v>0</v>
      </c>
    </row>
    <row r="383" spans="9:11" x14ac:dyDescent="0.2">
      <c r="I383">
        <v>373</v>
      </c>
      <c r="J383" s="4">
        <v>3060014897.0883937</v>
      </c>
      <c r="K383">
        <f t="shared" si="8"/>
        <v>0</v>
      </c>
    </row>
    <row r="384" spans="9:11" x14ac:dyDescent="0.2">
      <c r="I384">
        <v>374</v>
      </c>
      <c r="J384" s="4">
        <v>3177050810.4413652</v>
      </c>
      <c r="K384">
        <f t="shared" si="8"/>
        <v>0</v>
      </c>
    </row>
    <row r="385" spans="9:11" x14ac:dyDescent="0.2">
      <c r="I385">
        <v>375</v>
      </c>
      <c r="J385" s="4">
        <v>2741320555.470274</v>
      </c>
      <c r="K385">
        <f t="shared" si="8"/>
        <v>0</v>
      </c>
    </row>
    <row r="386" spans="9:11" x14ac:dyDescent="0.2">
      <c r="I386">
        <v>376</v>
      </c>
      <c r="J386" s="4">
        <v>2803066796.0432096</v>
      </c>
      <c r="K386">
        <f t="shared" si="8"/>
        <v>0</v>
      </c>
    </row>
    <row r="387" spans="9:11" x14ac:dyDescent="0.2">
      <c r="I387">
        <v>377</v>
      </c>
      <c r="J387" s="4">
        <v>2942801316.8108606</v>
      </c>
      <c r="K387">
        <f t="shared" si="8"/>
        <v>0</v>
      </c>
    </row>
    <row r="388" spans="9:11" x14ac:dyDescent="0.2">
      <c r="I388">
        <v>378</v>
      </c>
      <c r="J388" s="4">
        <v>2572846889.0441809</v>
      </c>
      <c r="K388">
        <f t="shared" si="8"/>
        <v>0</v>
      </c>
    </row>
    <row r="389" spans="9:11" x14ac:dyDescent="0.2">
      <c r="I389">
        <v>379</v>
      </c>
      <c r="J389" s="4">
        <v>2899905729.9835458</v>
      </c>
      <c r="K389">
        <f t="shared" si="8"/>
        <v>0</v>
      </c>
    </row>
    <row r="390" spans="9:11" x14ac:dyDescent="0.2">
      <c r="I390">
        <v>380</v>
      </c>
      <c r="J390" s="4">
        <v>3077903497.2611933</v>
      </c>
      <c r="K390">
        <f t="shared" si="8"/>
        <v>0</v>
      </c>
    </row>
    <row r="391" spans="9:11" x14ac:dyDescent="0.2">
      <c r="I391">
        <v>381</v>
      </c>
      <c r="J391" s="4">
        <v>2865399192.8888922</v>
      </c>
      <c r="K391">
        <f t="shared" si="8"/>
        <v>0</v>
      </c>
    </row>
    <row r="392" spans="9:11" x14ac:dyDescent="0.2">
      <c r="I392">
        <v>382</v>
      </c>
      <c r="J392" s="4">
        <v>2679731616.0607982</v>
      </c>
      <c r="K392">
        <f t="shared" si="8"/>
        <v>0</v>
      </c>
    </row>
    <row r="393" spans="9:11" x14ac:dyDescent="0.2">
      <c r="I393">
        <v>383</v>
      </c>
      <c r="J393" s="4">
        <v>2937190748.2042298</v>
      </c>
      <c r="K393">
        <f t="shared" si="8"/>
        <v>0</v>
      </c>
    </row>
    <row r="394" spans="9:11" x14ac:dyDescent="0.2">
      <c r="I394">
        <v>384</v>
      </c>
      <c r="J394" s="4">
        <v>3041187756.6853447</v>
      </c>
      <c r="K394">
        <f t="shared" si="8"/>
        <v>0</v>
      </c>
    </row>
    <row r="395" spans="9:11" x14ac:dyDescent="0.2">
      <c r="I395">
        <v>385</v>
      </c>
      <c r="J395" s="4">
        <v>2947277638.5563979</v>
      </c>
      <c r="K395">
        <f t="shared" si="8"/>
        <v>0</v>
      </c>
    </row>
    <row r="396" spans="9:11" x14ac:dyDescent="0.2">
      <c r="I396">
        <v>386</v>
      </c>
      <c r="J396" s="4">
        <v>3106096330.9279099</v>
      </c>
      <c r="K396">
        <f t="shared" ref="K396:K459" si="9">IF(J396&lt;1700000000,1,0)</f>
        <v>0</v>
      </c>
    </row>
    <row r="397" spans="9:11" x14ac:dyDescent="0.2">
      <c r="I397">
        <v>387</v>
      </c>
      <c r="J397" s="4">
        <v>3027550355.8319254</v>
      </c>
      <c r="K397">
        <f t="shared" si="9"/>
        <v>0</v>
      </c>
    </row>
    <row r="398" spans="9:11" x14ac:dyDescent="0.2">
      <c r="I398">
        <v>388</v>
      </c>
      <c r="J398" s="4">
        <v>2857179884.2141404</v>
      </c>
      <c r="K398">
        <f t="shared" si="9"/>
        <v>0</v>
      </c>
    </row>
    <row r="399" spans="9:11" x14ac:dyDescent="0.2">
      <c r="I399">
        <v>389</v>
      </c>
      <c r="J399" s="4">
        <v>2772936216.9214101</v>
      </c>
      <c r="K399">
        <f t="shared" si="9"/>
        <v>0</v>
      </c>
    </row>
    <row r="400" spans="9:11" x14ac:dyDescent="0.2">
      <c r="I400">
        <v>390</v>
      </c>
      <c r="J400" s="4">
        <v>2811766682.4636211</v>
      </c>
      <c r="K400">
        <f t="shared" si="9"/>
        <v>0</v>
      </c>
    </row>
    <row r="401" spans="9:11" x14ac:dyDescent="0.2">
      <c r="I401">
        <v>391</v>
      </c>
      <c r="J401" s="4">
        <v>3034055912.939332</v>
      </c>
      <c r="K401">
        <f t="shared" si="9"/>
        <v>0</v>
      </c>
    </row>
    <row r="402" spans="9:11" x14ac:dyDescent="0.2">
      <c r="I402">
        <v>392</v>
      </c>
      <c r="J402" s="4">
        <v>2848899011.2385445</v>
      </c>
      <c r="K402">
        <f t="shared" si="9"/>
        <v>0</v>
      </c>
    </row>
    <row r="403" spans="9:11" x14ac:dyDescent="0.2">
      <c r="I403">
        <v>393</v>
      </c>
      <c r="J403" s="4">
        <v>2949034141.7586145</v>
      </c>
      <c r="K403">
        <f t="shared" si="9"/>
        <v>0</v>
      </c>
    </row>
    <row r="404" spans="9:11" x14ac:dyDescent="0.2">
      <c r="I404">
        <v>394</v>
      </c>
      <c r="J404" s="4">
        <v>2791076782.8718324</v>
      </c>
      <c r="K404">
        <f t="shared" si="9"/>
        <v>0</v>
      </c>
    </row>
    <row r="405" spans="9:11" x14ac:dyDescent="0.2">
      <c r="I405">
        <v>395</v>
      </c>
      <c r="J405" s="4">
        <v>2623411926.8728409</v>
      </c>
      <c r="K405">
        <f t="shared" si="9"/>
        <v>0</v>
      </c>
    </row>
    <row r="406" spans="9:11" x14ac:dyDescent="0.2">
      <c r="I406">
        <v>396</v>
      </c>
      <c r="J406" s="4">
        <v>2869358293.2119703</v>
      </c>
      <c r="K406">
        <f t="shared" si="9"/>
        <v>0</v>
      </c>
    </row>
    <row r="407" spans="9:11" x14ac:dyDescent="0.2">
      <c r="I407">
        <v>397</v>
      </c>
      <c r="J407" s="4">
        <v>2947556203.5619521</v>
      </c>
      <c r="K407">
        <f t="shared" si="9"/>
        <v>0</v>
      </c>
    </row>
    <row r="408" spans="9:11" x14ac:dyDescent="0.2">
      <c r="I408">
        <v>398</v>
      </c>
      <c r="J408" s="4">
        <v>2967996360.271728</v>
      </c>
      <c r="K408">
        <f t="shared" si="9"/>
        <v>0</v>
      </c>
    </row>
    <row r="409" spans="9:11" x14ac:dyDescent="0.2">
      <c r="I409">
        <v>399</v>
      </c>
      <c r="J409" s="4">
        <v>2753966779.4421153</v>
      </c>
      <c r="K409">
        <f t="shared" si="9"/>
        <v>0</v>
      </c>
    </row>
    <row r="410" spans="9:11" x14ac:dyDescent="0.2">
      <c r="I410">
        <v>400</v>
      </c>
      <c r="J410" s="4">
        <v>2923847654.1340914</v>
      </c>
      <c r="K410">
        <f t="shared" si="9"/>
        <v>0</v>
      </c>
    </row>
    <row r="411" spans="9:11" x14ac:dyDescent="0.2">
      <c r="I411">
        <v>401</v>
      </c>
      <c r="J411" s="4">
        <v>3106146961.3015299</v>
      </c>
      <c r="K411">
        <f t="shared" si="9"/>
        <v>0</v>
      </c>
    </row>
    <row r="412" spans="9:11" x14ac:dyDescent="0.2">
      <c r="I412">
        <v>402</v>
      </c>
      <c r="J412" s="4">
        <v>3023266125.70367</v>
      </c>
      <c r="K412">
        <f t="shared" si="9"/>
        <v>0</v>
      </c>
    </row>
    <row r="413" spans="9:11" x14ac:dyDescent="0.2">
      <c r="I413">
        <v>403</v>
      </c>
      <c r="J413" s="4">
        <v>2714948039.2007756</v>
      </c>
      <c r="K413">
        <f t="shared" si="9"/>
        <v>0</v>
      </c>
    </row>
    <row r="414" spans="9:11" x14ac:dyDescent="0.2">
      <c r="I414">
        <v>404</v>
      </c>
      <c r="J414" s="4">
        <v>3118734496.2576504</v>
      </c>
      <c r="K414">
        <f t="shared" si="9"/>
        <v>0</v>
      </c>
    </row>
    <row r="415" spans="9:11" x14ac:dyDescent="0.2">
      <c r="I415">
        <v>405</v>
      </c>
      <c r="J415" s="4">
        <v>2762939918.5147276</v>
      </c>
      <c r="K415">
        <f t="shared" si="9"/>
        <v>0</v>
      </c>
    </row>
    <row r="416" spans="9:11" x14ac:dyDescent="0.2">
      <c r="I416">
        <v>406</v>
      </c>
      <c r="J416" s="4">
        <v>2716545509.7395015</v>
      </c>
      <c r="K416">
        <f t="shared" si="9"/>
        <v>0</v>
      </c>
    </row>
    <row r="417" spans="9:11" x14ac:dyDescent="0.2">
      <c r="I417">
        <v>407</v>
      </c>
      <c r="J417" s="4">
        <v>3064670154.7086835</v>
      </c>
      <c r="K417">
        <f t="shared" si="9"/>
        <v>0</v>
      </c>
    </row>
    <row r="418" spans="9:11" x14ac:dyDescent="0.2">
      <c r="I418">
        <v>408</v>
      </c>
      <c r="J418" s="4">
        <v>2661753920.3780255</v>
      </c>
      <c r="K418">
        <f t="shared" si="9"/>
        <v>0</v>
      </c>
    </row>
    <row r="419" spans="9:11" x14ac:dyDescent="0.2">
      <c r="I419">
        <v>409</v>
      </c>
      <c r="J419" s="4">
        <v>3109041766.5944519</v>
      </c>
      <c r="K419">
        <f t="shared" si="9"/>
        <v>0</v>
      </c>
    </row>
    <row r="420" spans="9:11" x14ac:dyDescent="0.2">
      <c r="I420">
        <v>410</v>
      </c>
      <c r="J420" s="4">
        <v>2820141449.7829218</v>
      </c>
      <c r="K420">
        <f t="shared" si="9"/>
        <v>0</v>
      </c>
    </row>
    <row r="421" spans="9:11" x14ac:dyDescent="0.2">
      <c r="I421">
        <v>411</v>
      </c>
      <c r="J421" s="4">
        <v>2947230706.4041023</v>
      </c>
      <c r="K421">
        <f t="shared" si="9"/>
        <v>0</v>
      </c>
    </row>
    <row r="422" spans="9:11" x14ac:dyDescent="0.2">
      <c r="I422">
        <v>412</v>
      </c>
      <c r="J422" s="4">
        <v>2704971110.2488136</v>
      </c>
      <c r="K422">
        <f t="shared" si="9"/>
        <v>0</v>
      </c>
    </row>
    <row r="423" spans="9:11" x14ac:dyDescent="0.2">
      <c r="I423">
        <v>413</v>
      </c>
      <c r="J423" s="4">
        <v>3102883559.1530509</v>
      </c>
      <c r="K423">
        <f t="shared" si="9"/>
        <v>0</v>
      </c>
    </row>
    <row r="424" spans="9:11" x14ac:dyDescent="0.2">
      <c r="I424">
        <v>414</v>
      </c>
      <c r="J424" s="4">
        <v>2717211829.6310778</v>
      </c>
      <c r="K424">
        <f t="shared" si="9"/>
        <v>0</v>
      </c>
    </row>
    <row r="425" spans="9:11" x14ac:dyDescent="0.2">
      <c r="I425">
        <v>415</v>
      </c>
      <c r="J425" s="4">
        <v>2859069867.5591722</v>
      </c>
      <c r="K425">
        <f t="shared" si="9"/>
        <v>0</v>
      </c>
    </row>
    <row r="426" spans="9:11" x14ac:dyDescent="0.2">
      <c r="I426">
        <v>416</v>
      </c>
      <c r="J426" s="4">
        <v>2800408727.3758764</v>
      </c>
      <c r="K426">
        <f t="shared" si="9"/>
        <v>0</v>
      </c>
    </row>
    <row r="427" spans="9:11" x14ac:dyDescent="0.2">
      <c r="I427">
        <v>417</v>
      </c>
      <c r="J427" s="4">
        <v>2861121512.4871712</v>
      </c>
      <c r="K427">
        <f t="shared" si="9"/>
        <v>0</v>
      </c>
    </row>
    <row r="428" spans="9:11" x14ac:dyDescent="0.2">
      <c r="I428">
        <v>418</v>
      </c>
      <c r="J428" s="4">
        <v>2621927532.3974252</v>
      </c>
      <c r="K428">
        <f t="shared" si="9"/>
        <v>0</v>
      </c>
    </row>
    <row r="429" spans="9:11" x14ac:dyDescent="0.2">
      <c r="I429">
        <v>419</v>
      </c>
      <c r="J429" s="4">
        <v>3215888644.0034084</v>
      </c>
      <c r="K429">
        <f t="shared" si="9"/>
        <v>0</v>
      </c>
    </row>
    <row r="430" spans="9:11" x14ac:dyDescent="0.2">
      <c r="I430">
        <v>420</v>
      </c>
      <c r="J430" s="4">
        <v>2938824633.2471781</v>
      </c>
      <c r="K430">
        <f t="shared" si="9"/>
        <v>0</v>
      </c>
    </row>
    <row r="431" spans="9:11" x14ac:dyDescent="0.2">
      <c r="I431">
        <v>421</v>
      </c>
      <c r="J431" s="4">
        <v>2989475313.0069995</v>
      </c>
      <c r="K431">
        <f t="shared" si="9"/>
        <v>0</v>
      </c>
    </row>
    <row r="432" spans="9:11" x14ac:dyDescent="0.2">
      <c r="I432">
        <v>422</v>
      </c>
      <c r="J432" s="4">
        <v>2989118573.497376</v>
      </c>
      <c r="K432">
        <f t="shared" si="9"/>
        <v>0</v>
      </c>
    </row>
    <row r="433" spans="9:11" x14ac:dyDescent="0.2">
      <c r="I433">
        <v>423</v>
      </c>
      <c r="J433" s="4">
        <v>2983053651.6825442</v>
      </c>
      <c r="K433">
        <f t="shared" si="9"/>
        <v>0</v>
      </c>
    </row>
    <row r="434" spans="9:11" x14ac:dyDescent="0.2">
      <c r="I434">
        <v>424</v>
      </c>
      <c r="J434" s="4">
        <v>2954510886.8138366</v>
      </c>
      <c r="K434">
        <f t="shared" si="9"/>
        <v>0</v>
      </c>
    </row>
    <row r="435" spans="9:11" x14ac:dyDescent="0.2">
      <c r="I435">
        <v>425</v>
      </c>
      <c r="J435" s="4">
        <v>3028782646.0600724</v>
      </c>
      <c r="K435">
        <f t="shared" si="9"/>
        <v>0</v>
      </c>
    </row>
    <row r="436" spans="9:11" x14ac:dyDescent="0.2">
      <c r="I436">
        <v>426</v>
      </c>
      <c r="J436" s="4">
        <v>3017830801.1868649</v>
      </c>
      <c r="K436">
        <f t="shared" si="9"/>
        <v>0</v>
      </c>
    </row>
    <row r="437" spans="9:11" x14ac:dyDescent="0.2">
      <c r="I437">
        <v>427</v>
      </c>
      <c r="J437" s="4">
        <v>3043512354.010581</v>
      </c>
      <c r="K437">
        <f t="shared" si="9"/>
        <v>0</v>
      </c>
    </row>
    <row r="438" spans="9:11" x14ac:dyDescent="0.2">
      <c r="I438">
        <v>428</v>
      </c>
      <c r="J438" s="4">
        <v>3002127980.7098393</v>
      </c>
      <c r="K438">
        <f t="shared" si="9"/>
        <v>0</v>
      </c>
    </row>
    <row r="439" spans="9:11" x14ac:dyDescent="0.2">
      <c r="I439">
        <v>429</v>
      </c>
      <c r="J439" s="4">
        <v>2730145602.2007504</v>
      </c>
      <c r="K439">
        <f t="shared" si="9"/>
        <v>0</v>
      </c>
    </row>
    <row r="440" spans="9:11" x14ac:dyDescent="0.2">
      <c r="I440">
        <v>430</v>
      </c>
      <c r="J440" s="4">
        <v>2932527178.24436</v>
      </c>
      <c r="K440">
        <f t="shared" si="9"/>
        <v>0</v>
      </c>
    </row>
    <row r="441" spans="9:11" x14ac:dyDescent="0.2">
      <c r="I441">
        <v>431</v>
      </c>
      <c r="J441" s="4">
        <v>2942756522.3576231</v>
      </c>
      <c r="K441">
        <f t="shared" si="9"/>
        <v>0</v>
      </c>
    </row>
    <row r="442" spans="9:11" x14ac:dyDescent="0.2">
      <c r="I442">
        <v>432</v>
      </c>
      <c r="J442" s="4">
        <v>3111087569.886672</v>
      </c>
      <c r="K442">
        <f t="shared" si="9"/>
        <v>0</v>
      </c>
    </row>
    <row r="443" spans="9:11" x14ac:dyDescent="0.2">
      <c r="I443">
        <v>433</v>
      </c>
      <c r="J443" s="4">
        <v>2926705140.5195951</v>
      </c>
      <c r="K443">
        <f t="shared" si="9"/>
        <v>0</v>
      </c>
    </row>
    <row r="444" spans="9:11" x14ac:dyDescent="0.2">
      <c r="I444">
        <v>434</v>
      </c>
      <c r="J444" s="4">
        <v>2829906344.7025752</v>
      </c>
      <c r="K444">
        <f t="shared" si="9"/>
        <v>0</v>
      </c>
    </row>
    <row r="445" spans="9:11" x14ac:dyDescent="0.2">
      <c r="I445">
        <v>435</v>
      </c>
      <c r="J445" s="4">
        <v>2924703013.6513352</v>
      </c>
      <c r="K445">
        <f t="shared" si="9"/>
        <v>0</v>
      </c>
    </row>
    <row r="446" spans="9:11" x14ac:dyDescent="0.2">
      <c r="I446">
        <v>436</v>
      </c>
      <c r="J446" s="4">
        <v>2703165922.6681604</v>
      </c>
      <c r="K446">
        <f t="shared" si="9"/>
        <v>0</v>
      </c>
    </row>
    <row r="447" spans="9:11" x14ac:dyDescent="0.2">
      <c r="I447">
        <v>437</v>
      </c>
      <c r="J447" s="4">
        <v>3089419049.6031199</v>
      </c>
      <c r="K447">
        <f t="shared" si="9"/>
        <v>0</v>
      </c>
    </row>
    <row r="448" spans="9:11" x14ac:dyDescent="0.2">
      <c r="I448">
        <v>438</v>
      </c>
      <c r="J448" s="4">
        <v>2922159519.7292848</v>
      </c>
      <c r="K448">
        <f t="shared" si="9"/>
        <v>0</v>
      </c>
    </row>
    <row r="449" spans="9:11" x14ac:dyDescent="0.2">
      <c r="I449">
        <v>439</v>
      </c>
      <c r="J449" s="4">
        <v>3186901762.7530165</v>
      </c>
      <c r="K449">
        <f t="shared" si="9"/>
        <v>0</v>
      </c>
    </row>
    <row r="450" spans="9:11" x14ac:dyDescent="0.2">
      <c r="I450">
        <v>440</v>
      </c>
      <c r="J450" s="4">
        <v>2906893240.6705484</v>
      </c>
      <c r="K450">
        <f t="shared" si="9"/>
        <v>0</v>
      </c>
    </row>
    <row r="451" spans="9:11" x14ac:dyDescent="0.2">
      <c r="I451">
        <v>441</v>
      </c>
      <c r="J451" s="4">
        <v>2825892673.2281404</v>
      </c>
      <c r="K451">
        <f t="shared" si="9"/>
        <v>0</v>
      </c>
    </row>
    <row r="452" spans="9:11" x14ac:dyDescent="0.2">
      <c r="I452">
        <v>442</v>
      </c>
      <c r="J452" s="4">
        <v>3074220777.076777</v>
      </c>
      <c r="K452">
        <f t="shared" si="9"/>
        <v>0</v>
      </c>
    </row>
    <row r="453" spans="9:11" x14ac:dyDescent="0.2">
      <c r="I453">
        <v>443</v>
      </c>
      <c r="J453" s="4">
        <v>2926450102.6933289</v>
      </c>
      <c r="K453">
        <f t="shared" si="9"/>
        <v>0</v>
      </c>
    </row>
    <row r="454" spans="9:11" x14ac:dyDescent="0.2">
      <c r="I454">
        <v>444</v>
      </c>
      <c r="J454" s="4">
        <v>2692417902.3190665</v>
      </c>
      <c r="K454">
        <f t="shared" si="9"/>
        <v>0</v>
      </c>
    </row>
    <row r="455" spans="9:11" x14ac:dyDescent="0.2">
      <c r="I455">
        <v>445</v>
      </c>
      <c r="J455" s="4">
        <v>2905483875.554297</v>
      </c>
      <c r="K455">
        <f t="shared" si="9"/>
        <v>0</v>
      </c>
    </row>
    <row r="456" spans="9:11" x14ac:dyDescent="0.2">
      <c r="I456">
        <v>446</v>
      </c>
      <c r="J456" s="4">
        <v>3136636989.9275894</v>
      </c>
      <c r="K456">
        <f t="shared" si="9"/>
        <v>0</v>
      </c>
    </row>
    <row r="457" spans="9:11" x14ac:dyDescent="0.2">
      <c r="I457">
        <v>447</v>
      </c>
      <c r="J457" s="4">
        <v>2879360324.3103037</v>
      </c>
      <c r="K457">
        <f t="shared" si="9"/>
        <v>0</v>
      </c>
    </row>
    <row r="458" spans="9:11" x14ac:dyDescent="0.2">
      <c r="I458">
        <v>448</v>
      </c>
      <c r="J458" s="4">
        <v>2921676099.1445599</v>
      </c>
      <c r="K458">
        <f t="shared" si="9"/>
        <v>0</v>
      </c>
    </row>
    <row r="459" spans="9:11" x14ac:dyDescent="0.2">
      <c r="I459">
        <v>449</v>
      </c>
      <c r="J459" s="4">
        <v>3186770618.669322</v>
      </c>
      <c r="K459">
        <f t="shared" si="9"/>
        <v>0</v>
      </c>
    </row>
    <row r="460" spans="9:11" x14ac:dyDescent="0.2">
      <c r="I460">
        <v>450</v>
      </c>
      <c r="J460" s="4">
        <v>2648524765.8962188</v>
      </c>
      <c r="K460">
        <f t="shared" ref="K460:K523" si="10">IF(J460&lt;1700000000,1,0)</f>
        <v>0</v>
      </c>
    </row>
    <row r="461" spans="9:11" x14ac:dyDescent="0.2">
      <c r="I461">
        <v>451</v>
      </c>
      <c r="J461" s="4">
        <v>3129670277.0150299</v>
      </c>
      <c r="K461">
        <f t="shared" si="10"/>
        <v>0</v>
      </c>
    </row>
    <row r="462" spans="9:11" x14ac:dyDescent="0.2">
      <c r="I462">
        <v>452</v>
      </c>
      <c r="J462" s="4">
        <v>2751782923.3066802</v>
      </c>
      <c r="K462">
        <f t="shared" si="10"/>
        <v>0</v>
      </c>
    </row>
    <row r="463" spans="9:11" x14ac:dyDescent="0.2">
      <c r="I463">
        <v>453</v>
      </c>
      <c r="J463" s="4">
        <v>3102192823.8327627</v>
      </c>
      <c r="K463">
        <f t="shared" si="10"/>
        <v>0</v>
      </c>
    </row>
    <row r="464" spans="9:11" x14ac:dyDescent="0.2">
      <c r="I464">
        <v>454</v>
      </c>
      <c r="J464" s="4">
        <v>3104860686.2881322</v>
      </c>
      <c r="K464">
        <f t="shared" si="10"/>
        <v>0</v>
      </c>
    </row>
    <row r="465" spans="9:11" x14ac:dyDescent="0.2">
      <c r="I465">
        <v>455</v>
      </c>
      <c r="J465" s="4">
        <v>2690837314.1397929</v>
      </c>
      <c r="K465">
        <f t="shared" si="10"/>
        <v>0</v>
      </c>
    </row>
    <row r="466" spans="9:11" x14ac:dyDescent="0.2">
      <c r="I466">
        <v>456</v>
      </c>
      <c r="J466" s="4">
        <v>2869420899.5742345</v>
      </c>
      <c r="K466">
        <f t="shared" si="10"/>
        <v>0</v>
      </c>
    </row>
    <row r="467" spans="9:11" x14ac:dyDescent="0.2">
      <c r="I467">
        <v>457</v>
      </c>
      <c r="J467" s="4">
        <v>3033346017.0178595</v>
      </c>
      <c r="K467">
        <f t="shared" si="10"/>
        <v>0</v>
      </c>
    </row>
    <row r="468" spans="9:11" x14ac:dyDescent="0.2">
      <c r="I468">
        <v>458</v>
      </c>
      <c r="J468" s="4">
        <v>2915845979.0526633</v>
      </c>
      <c r="K468">
        <f t="shared" si="10"/>
        <v>0</v>
      </c>
    </row>
    <row r="469" spans="9:11" x14ac:dyDescent="0.2">
      <c r="I469">
        <v>459</v>
      </c>
      <c r="J469" s="4">
        <v>3163173279.8689947</v>
      </c>
      <c r="K469">
        <f t="shared" si="10"/>
        <v>0</v>
      </c>
    </row>
    <row r="470" spans="9:11" x14ac:dyDescent="0.2">
      <c r="I470">
        <v>460</v>
      </c>
      <c r="J470" s="4">
        <v>3059326653.881752</v>
      </c>
      <c r="K470">
        <f t="shared" si="10"/>
        <v>0</v>
      </c>
    </row>
    <row r="471" spans="9:11" x14ac:dyDescent="0.2">
      <c r="I471">
        <v>461</v>
      </c>
      <c r="J471" s="4">
        <v>3273194506.5063801</v>
      </c>
      <c r="K471">
        <f t="shared" si="10"/>
        <v>0</v>
      </c>
    </row>
    <row r="472" spans="9:11" x14ac:dyDescent="0.2">
      <c r="I472">
        <v>462</v>
      </c>
      <c r="J472" s="4">
        <v>3058194824.1999087</v>
      </c>
      <c r="K472">
        <f t="shared" si="10"/>
        <v>0</v>
      </c>
    </row>
    <row r="473" spans="9:11" x14ac:dyDescent="0.2">
      <c r="I473">
        <v>463</v>
      </c>
      <c r="J473" s="4">
        <v>2972250946.4672451</v>
      </c>
      <c r="K473">
        <f t="shared" si="10"/>
        <v>0</v>
      </c>
    </row>
    <row r="474" spans="9:11" x14ac:dyDescent="0.2">
      <c r="I474">
        <v>464</v>
      </c>
      <c r="J474" s="4">
        <v>2869394572.2612348</v>
      </c>
      <c r="K474">
        <f t="shared" si="10"/>
        <v>0</v>
      </c>
    </row>
    <row r="475" spans="9:11" x14ac:dyDescent="0.2">
      <c r="I475">
        <v>465</v>
      </c>
      <c r="J475" s="4">
        <v>3144459891.9881887</v>
      </c>
      <c r="K475">
        <f t="shared" si="10"/>
        <v>0</v>
      </c>
    </row>
    <row r="476" spans="9:11" x14ac:dyDescent="0.2">
      <c r="I476">
        <v>466</v>
      </c>
      <c r="J476" s="4">
        <v>2835050448.4555149</v>
      </c>
      <c r="K476">
        <f t="shared" si="10"/>
        <v>0</v>
      </c>
    </row>
    <row r="477" spans="9:11" x14ac:dyDescent="0.2">
      <c r="I477">
        <v>467</v>
      </c>
      <c r="J477" s="4">
        <v>3065576762.1490941</v>
      </c>
      <c r="K477">
        <f t="shared" si="10"/>
        <v>0</v>
      </c>
    </row>
    <row r="478" spans="9:11" x14ac:dyDescent="0.2">
      <c r="I478">
        <v>468</v>
      </c>
      <c r="J478" s="4">
        <v>2731726363.3719082</v>
      </c>
      <c r="K478">
        <f t="shared" si="10"/>
        <v>0</v>
      </c>
    </row>
    <row r="479" spans="9:11" x14ac:dyDescent="0.2">
      <c r="I479">
        <v>469</v>
      </c>
      <c r="J479" s="4">
        <v>3011320457.704257</v>
      </c>
      <c r="K479">
        <f t="shared" si="10"/>
        <v>0</v>
      </c>
    </row>
    <row r="480" spans="9:11" x14ac:dyDescent="0.2">
      <c r="I480">
        <v>470</v>
      </c>
      <c r="J480" s="4">
        <v>3132821697.7594447</v>
      </c>
      <c r="K480">
        <f t="shared" si="10"/>
        <v>0</v>
      </c>
    </row>
    <row r="481" spans="9:11" x14ac:dyDescent="0.2">
      <c r="I481">
        <v>471</v>
      </c>
      <c r="J481" s="4">
        <v>2839020304.022367</v>
      </c>
      <c r="K481">
        <f t="shared" si="10"/>
        <v>0</v>
      </c>
    </row>
    <row r="482" spans="9:11" x14ac:dyDescent="0.2">
      <c r="I482">
        <v>472</v>
      </c>
      <c r="J482" s="4">
        <v>2887306125.9756103</v>
      </c>
      <c r="K482">
        <f t="shared" si="10"/>
        <v>0</v>
      </c>
    </row>
    <row r="483" spans="9:11" x14ac:dyDescent="0.2">
      <c r="I483">
        <v>473</v>
      </c>
      <c r="J483" s="4">
        <v>3222506622.8679667</v>
      </c>
      <c r="K483">
        <f t="shared" si="10"/>
        <v>0</v>
      </c>
    </row>
    <row r="484" spans="9:11" x14ac:dyDescent="0.2">
      <c r="I484">
        <v>474</v>
      </c>
      <c r="J484" s="4">
        <v>2804550981.0206466</v>
      </c>
      <c r="K484">
        <f t="shared" si="10"/>
        <v>0</v>
      </c>
    </row>
    <row r="485" spans="9:11" x14ac:dyDescent="0.2">
      <c r="I485">
        <v>475</v>
      </c>
      <c r="J485" s="4">
        <v>2804899221.7895918</v>
      </c>
      <c r="K485">
        <f t="shared" si="10"/>
        <v>0</v>
      </c>
    </row>
    <row r="486" spans="9:11" x14ac:dyDescent="0.2">
      <c r="I486">
        <v>476</v>
      </c>
      <c r="J486" s="4">
        <v>2896533272.4512029</v>
      </c>
      <c r="K486">
        <f t="shared" si="10"/>
        <v>0</v>
      </c>
    </row>
    <row r="487" spans="9:11" x14ac:dyDescent="0.2">
      <c r="I487">
        <v>477</v>
      </c>
      <c r="J487" s="4">
        <v>3336236243.7110806</v>
      </c>
      <c r="K487">
        <f t="shared" si="10"/>
        <v>0</v>
      </c>
    </row>
    <row r="488" spans="9:11" x14ac:dyDescent="0.2">
      <c r="I488">
        <v>478</v>
      </c>
      <c r="J488" s="4">
        <v>2779152695.9884601</v>
      </c>
      <c r="K488">
        <f t="shared" si="10"/>
        <v>0</v>
      </c>
    </row>
    <row r="489" spans="9:11" x14ac:dyDescent="0.2">
      <c r="I489">
        <v>479</v>
      </c>
      <c r="J489" s="4">
        <v>3110814134.450923</v>
      </c>
      <c r="K489">
        <f t="shared" si="10"/>
        <v>0</v>
      </c>
    </row>
    <row r="490" spans="9:11" x14ac:dyDescent="0.2">
      <c r="I490">
        <v>480</v>
      </c>
      <c r="J490" s="4">
        <v>2675551301.8104568</v>
      </c>
      <c r="K490">
        <f t="shared" si="10"/>
        <v>0</v>
      </c>
    </row>
    <row r="491" spans="9:11" x14ac:dyDescent="0.2">
      <c r="I491">
        <v>481</v>
      </c>
      <c r="J491" s="4">
        <v>2870018067.8684363</v>
      </c>
      <c r="K491">
        <f t="shared" si="10"/>
        <v>0</v>
      </c>
    </row>
    <row r="492" spans="9:11" x14ac:dyDescent="0.2">
      <c r="I492">
        <v>482</v>
      </c>
      <c r="J492" s="4">
        <v>2974435307.6113667</v>
      </c>
      <c r="K492">
        <f t="shared" si="10"/>
        <v>0</v>
      </c>
    </row>
    <row r="493" spans="9:11" x14ac:dyDescent="0.2">
      <c r="I493">
        <v>483</v>
      </c>
      <c r="J493" s="4">
        <v>3076989202.2725601</v>
      </c>
      <c r="K493">
        <f t="shared" si="10"/>
        <v>0</v>
      </c>
    </row>
    <row r="494" spans="9:11" x14ac:dyDescent="0.2">
      <c r="I494">
        <v>484</v>
      </c>
      <c r="J494" s="4">
        <v>2814828922.5666518</v>
      </c>
      <c r="K494">
        <f t="shared" si="10"/>
        <v>0</v>
      </c>
    </row>
    <row r="495" spans="9:11" x14ac:dyDescent="0.2">
      <c r="I495">
        <v>485</v>
      </c>
      <c r="J495" s="4">
        <v>2878589584.1797242</v>
      </c>
      <c r="K495">
        <f t="shared" si="10"/>
        <v>0</v>
      </c>
    </row>
    <row r="496" spans="9:11" x14ac:dyDescent="0.2">
      <c r="I496">
        <v>486</v>
      </c>
      <c r="J496" s="4">
        <v>3087610571.3487878</v>
      </c>
      <c r="K496">
        <f t="shared" si="10"/>
        <v>0</v>
      </c>
    </row>
    <row r="497" spans="9:11" x14ac:dyDescent="0.2">
      <c r="I497">
        <v>487</v>
      </c>
      <c r="J497" s="4">
        <v>2901080797.5233846</v>
      </c>
      <c r="K497">
        <f t="shared" si="10"/>
        <v>0</v>
      </c>
    </row>
    <row r="498" spans="9:11" x14ac:dyDescent="0.2">
      <c r="I498">
        <v>488</v>
      </c>
      <c r="J498" s="4">
        <v>3133871057.1499486</v>
      </c>
      <c r="K498">
        <f t="shared" si="10"/>
        <v>0</v>
      </c>
    </row>
    <row r="499" spans="9:11" x14ac:dyDescent="0.2">
      <c r="I499">
        <v>489</v>
      </c>
      <c r="J499" s="4">
        <v>3100917430.8205023</v>
      </c>
      <c r="K499">
        <f t="shared" si="10"/>
        <v>0</v>
      </c>
    </row>
    <row r="500" spans="9:11" x14ac:dyDescent="0.2">
      <c r="I500">
        <v>490</v>
      </c>
      <c r="J500" s="4">
        <v>3405989340.6199908</v>
      </c>
      <c r="K500">
        <f t="shared" si="10"/>
        <v>0</v>
      </c>
    </row>
    <row r="501" spans="9:11" x14ac:dyDescent="0.2">
      <c r="I501">
        <v>491</v>
      </c>
      <c r="J501" s="4">
        <v>3042552190.0647273</v>
      </c>
      <c r="K501">
        <f t="shared" si="10"/>
        <v>0</v>
      </c>
    </row>
    <row r="502" spans="9:11" x14ac:dyDescent="0.2">
      <c r="I502">
        <v>492</v>
      </c>
      <c r="J502" s="4">
        <v>2827370329.5407615</v>
      </c>
      <c r="K502">
        <f t="shared" si="10"/>
        <v>0</v>
      </c>
    </row>
    <row r="503" spans="9:11" x14ac:dyDescent="0.2">
      <c r="I503">
        <v>493</v>
      </c>
      <c r="J503" s="4">
        <v>2677236491.297483</v>
      </c>
      <c r="K503">
        <f t="shared" si="10"/>
        <v>0</v>
      </c>
    </row>
    <row r="504" spans="9:11" x14ac:dyDescent="0.2">
      <c r="I504">
        <v>494</v>
      </c>
      <c r="J504" s="4">
        <v>3259355965.9275465</v>
      </c>
      <c r="K504">
        <f t="shared" si="10"/>
        <v>0</v>
      </c>
    </row>
    <row r="505" spans="9:11" x14ac:dyDescent="0.2">
      <c r="I505">
        <v>495</v>
      </c>
      <c r="J505" s="4">
        <v>2794721833.839695</v>
      </c>
      <c r="K505">
        <f t="shared" si="10"/>
        <v>0</v>
      </c>
    </row>
    <row r="506" spans="9:11" x14ac:dyDescent="0.2">
      <c r="I506">
        <v>496</v>
      </c>
      <c r="J506" s="4">
        <v>3124239510.9664321</v>
      </c>
      <c r="K506">
        <f t="shared" si="10"/>
        <v>0</v>
      </c>
    </row>
    <row r="507" spans="9:11" x14ac:dyDescent="0.2">
      <c r="I507">
        <v>497</v>
      </c>
      <c r="J507" s="4">
        <v>3019478922.4614983</v>
      </c>
      <c r="K507">
        <f t="shared" si="10"/>
        <v>0</v>
      </c>
    </row>
    <row r="508" spans="9:11" x14ac:dyDescent="0.2">
      <c r="I508">
        <v>498</v>
      </c>
      <c r="J508" s="4">
        <v>3065759301.1601982</v>
      </c>
      <c r="K508">
        <f t="shared" si="10"/>
        <v>0</v>
      </c>
    </row>
    <row r="509" spans="9:11" x14ac:dyDescent="0.2">
      <c r="I509">
        <v>499</v>
      </c>
      <c r="J509" s="4">
        <v>3238574187.4368515</v>
      </c>
      <c r="K509">
        <f t="shared" si="10"/>
        <v>0</v>
      </c>
    </row>
    <row r="510" spans="9:11" x14ac:dyDescent="0.2">
      <c r="I510">
        <v>500</v>
      </c>
      <c r="J510" s="4">
        <v>2998513087.3359089</v>
      </c>
      <c r="K510">
        <f t="shared" si="10"/>
        <v>0</v>
      </c>
    </row>
    <row r="511" spans="9:11" x14ac:dyDescent="0.2">
      <c r="I511">
        <v>501</v>
      </c>
      <c r="J511" s="4">
        <v>3165141054.8972254</v>
      </c>
      <c r="K511">
        <f t="shared" si="10"/>
        <v>0</v>
      </c>
    </row>
    <row r="512" spans="9:11" x14ac:dyDescent="0.2">
      <c r="I512">
        <v>502</v>
      </c>
      <c r="J512" s="4">
        <v>2632193746.2326946</v>
      </c>
      <c r="K512">
        <f t="shared" si="10"/>
        <v>0</v>
      </c>
    </row>
    <row r="513" spans="9:11" x14ac:dyDescent="0.2">
      <c r="I513">
        <v>503</v>
      </c>
      <c r="J513" s="4">
        <v>2906183603.9413848</v>
      </c>
      <c r="K513">
        <f t="shared" si="10"/>
        <v>0</v>
      </c>
    </row>
    <row r="514" spans="9:11" x14ac:dyDescent="0.2">
      <c r="I514">
        <v>504</v>
      </c>
      <c r="J514" s="4">
        <v>2947345712.6227126</v>
      </c>
      <c r="K514">
        <f t="shared" si="10"/>
        <v>0</v>
      </c>
    </row>
    <row r="515" spans="9:11" x14ac:dyDescent="0.2">
      <c r="I515">
        <v>505</v>
      </c>
      <c r="J515" s="4">
        <v>3220373832.1500387</v>
      </c>
      <c r="K515">
        <f t="shared" si="10"/>
        <v>0</v>
      </c>
    </row>
    <row r="516" spans="9:11" x14ac:dyDescent="0.2">
      <c r="I516">
        <v>506</v>
      </c>
      <c r="J516" s="4">
        <v>2829388325.0146403</v>
      </c>
      <c r="K516">
        <f t="shared" si="10"/>
        <v>0</v>
      </c>
    </row>
    <row r="517" spans="9:11" x14ac:dyDescent="0.2">
      <c r="I517">
        <v>507</v>
      </c>
      <c r="J517" s="4">
        <v>3349953566.1883211</v>
      </c>
      <c r="K517">
        <f t="shared" si="10"/>
        <v>0</v>
      </c>
    </row>
    <row r="518" spans="9:11" x14ac:dyDescent="0.2">
      <c r="I518">
        <v>508</v>
      </c>
      <c r="J518" s="4">
        <v>2892216162.4810605</v>
      </c>
      <c r="K518">
        <f t="shared" si="10"/>
        <v>0</v>
      </c>
    </row>
    <row r="519" spans="9:11" x14ac:dyDescent="0.2">
      <c r="I519">
        <v>509</v>
      </c>
      <c r="J519" s="4">
        <v>2912981462.30022</v>
      </c>
      <c r="K519">
        <f t="shared" si="10"/>
        <v>0</v>
      </c>
    </row>
    <row r="520" spans="9:11" x14ac:dyDescent="0.2">
      <c r="I520">
        <v>510</v>
      </c>
      <c r="J520" s="4">
        <v>2903259754.7180099</v>
      </c>
      <c r="K520">
        <f t="shared" si="10"/>
        <v>0</v>
      </c>
    </row>
    <row r="521" spans="9:11" x14ac:dyDescent="0.2">
      <c r="I521">
        <v>511</v>
      </c>
      <c r="J521" s="4">
        <v>2960659237.7896147</v>
      </c>
      <c r="K521">
        <f t="shared" si="10"/>
        <v>0</v>
      </c>
    </row>
    <row r="522" spans="9:11" x14ac:dyDescent="0.2">
      <c r="I522">
        <v>512</v>
      </c>
      <c r="J522" s="4">
        <v>2824081511.6006641</v>
      </c>
      <c r="K522">
        <f t="shared" si="10"/>
        <v>0</v>
      </c>
    </row>
    <row r="523" spans="9:11" x14ac:dyDescent="0.2">
      <c r="I523">
        <v>513</v>
      </c>
      <c r="J523" s="4">
        <v>2920839264.8986402</v>
      </c>
      <c r="K523">
        <f t="shared" si="10"/>
        <v>0</v>
      </c>
    </row>
    <row r="524" spans="9:11" x14ac:dyDescent="0.2">
      <c r="I524">
        <v>514</v>
      </c>
      <c r="J524" s="4">
        <v>3001639554.174808</v>
      </c>
      <c r="K524">
        <f t="shared" ref="K524:K587" si="11">IF(J524&lt;1700000000,1,0)</f>
        <v>0</v>
      </c>
    </row>
    <row r="525" spans="9:11" x14ac:dyDescent="0.2">
      <c r="I525">
        <v>515</v>
      </c>
      <c r="J525" s="4">
        <v>3023527317.2417278</v>
      </c>
      <c r="K525">
        <f t="shared" si="11"/>
        <v>0</v>
      </c>
    </row>
    <row r="526" spans="9:11" x14ac:dyDescent="0.2">
      <c r="I526">
        <v>516</v>
      </c>
      <c r="J526" s="4">
        <v>2573475372.7134914</v>
      </c>
      <c r="K526">
        <f t="shared" si="11"/>
        <v>0</v>
      </c>
    </row>
    <row r="527" spans="9:11" x14ac:dyDescent="0.2">
      <c r="I527">
        <v>517</v>
      </c>
      <c r="J527" s="4">
        <v>3068965562.4152794</v>
      </c>
      <c r="K527">
        <f t="shared" si="11"/>
        <v>0</v>
      </c>
    </row>
    <row r="528" spans="9:11" x14ac:dyDescent="0.2">
      <c r="I528">
        <v>518</v>
      </c>
      <c r="J528" s="4">
        <v>3023236148.8628955</v>
      </c>
      <c r="K528">
        <f t="shared" si="11"/>
        <v>0</v>
      </c>
    </row>
    <row r="529" spans="9:11" x14ac:dyDescent="0.2">
      <c r="I529">
        <v>519</v>
      </c>
      <c r="J529" s="4">
        <v>2960397817.2978039</v>
      </c>
      <c r="K529">
        <f t="shared" si="11"/>
        <v>0</v>
      </c>
    </row>
    <row r="530" spans="9:11" x14ac:dyDescent="0.2">
      <c r="I530">
        <v>520</v>
      </c>
      <c r="J530" s="4">
        <v>2993226954.7721343</v>
      </c>
      <c r="K530">
        <f t="shared" si="11"/>
        <v>0</v>
      </c>
    </row>
    <row r="531" spans="9:11" x14ac:dyDescent="0.2">
      <c r="I531">
        <v>521</v>
      </c>
      <c r="J531" s="4">
        <v>2769461405.776629</v>
      </c>
      <c r="K531">
        <f t="shared" si="11"/>
        <v>0</v>
      </c>
    </row>
    <row r="532" spans="9:11" x14ac:dyDescent="0.2">
      <c r="I532">
        <v>522</v>
      </c>
      <c r="J532" s="4">
        <v>2879388586.2259135</v>
      </c>
      <c r="K532">
        <f t="shared" si="11"/>
        <v>0</v>
      </c>
    </row>
    <row r="533" spans="9:11" x14ac:dyDescent="0.2">
      <c r="I533">
        <v>523</v>
      </c>
      <c r="J533" s="4">
        <v>2892128059.6664448</v>
      </c>
      <c r="K533">
        <f t="shared" si="11"/>
        <v>0</v>
      </c>
    </row>
    <row r="534" spans="9:11" x14ac:dyDescent="0.2">
      <c r="I534">
        <v>524</v>
      </c>
      <c r="J534" s="4">
        <v>2898363687.1345353</v>
      </c>
      <c r="K534">
        <f t="shared" si="11"/>
        <v>0</v>
      </c>
    </row>
    <row r="535" spans="9:11" x14ac:dyDescent="0.2">
      <c r="I535">
        <v>525</v>
      </c>
      <c r="J535" s="4">
        <v>2859608489.2377925</v>
      </c>
      <c r="K535">
        <f t="shared" si="11"/>
        <v>0</v>
      </c>
    </row>
    <row r="536" spans="9:11" x14ac:dyDescent="0.2">
      <c r="I536">
        <v>526</v>
      </c>
      <c r="J536" s="4">
        <v>2984922722.137835</v>
      </c>
      <c r="K536">
        <f t="shared" si="11"/>
        <v>0</v>
      </c>
    </row>
    <row r="537" spans="9:11" x14ac:dyDescent="0.2">
      <c r="I537">
        <v>527</v>
      </c>
      <c r="J537" s="4">
        <v>2682273644.0963755</v>
      </c>
      <c r="K537">
        <f t="shared" si="11"/>
        <v>0</v>
      </c>
    </row>
    <row r="538" spans="9:11" x14ac:dyDescent="0.2">
      <c r="I538">
        <v>528</v>
      </c>
      <c r="J538" s="4">
        <v>2850771384.8140135</v>
      </c>
      <c r="K538">
        <f t="shared" si="11"/>
        <v>0</v>
      </c>
    </row>
    <row r="539" spans="9:11" x14ac:dyDescent="0.2">
      <c r="I539">
        <v>529</v>
      </c>
      <c r="J539" s="4">
        <v>2683214710.2679453</v>
      </c>
      <c r="K539">
        <f t="shared" si="11"/>
        <v>0</v>
      </c>
    </row>
    <row r="540" spans="9:11" x14ac:dyDescent="0.2">
      <c r="I540">
        <v>530</v>
      </c>
      <c r="J540" s="4">
        <v>2888251966.1844091</v>
      </c>
      <c r="K540">
        <f t="shared" si="11"/>
        <v>0</v>
      </c>
    </row>
    <row r="541" spans="9:11" x14ac:dyDescent="0.2">
      <c r="I541">
        <v>531</v>
      </c>
      <c r="J541" s="4">
        <v>3120737067.0635757</v>
      </c>
      <c r="K541">
        <f t="shared" si="11"/>
        <v>0</v>
      </c>
    </row>
    <row r="542" spans="9:11" x14ac:dyDescent="0.2">
      <c r="I542">
        <v>532</v>
      </c>
      <c r="J542" s="4">
        <v>3036355332.193121</v>
      </c>
      <c r="K542">
        <f t="shared" si="11"/>
        <v>0</v>
      </c>
    </row>
    <row r="543" spans="9:11" x14ac:dyDescent="0.2">
      <c r="I543">
        <v>533</v>
      </c>
      <c r="J543" s="4">
        <v>3107634243.0308781</v>
      </c>
      <c r="K543">
        <f t="shared" si="11"/>
        <v>0</v>
      </c>
    </row>
    <row r="544" spans="9:11" x14ac:dyDescent="0.2">
      <c r="I544">
        <v>534</v>
      </c>
      <c r="J544" s="4">
        <v>2995498626.8680582</v>
      </c>
      <c r="K544">
        <f t="shared" si="11"/>
        <v>0</v>
      </c>
    </row>
    <row r="545" spans="9:11" x14ac:dyDescent="0.2">
      <c r="I545">
        <v>535</v>
      </c>
      <c r="J545" s="4">
        <v>3050448186.8560867</v>
      </c>
      <c r="K545">
        <f t="shared" si="11"/>
        <v>0</v>
      </c>
    </row>
    <row r="546" spans="9:11" x14ac:dyDescent="0.2">
      <c r="I546">
        <v>536</v>
      </c>
      <c r="J546" s="4">
        <v>2873640566.0300307</v>
      </c>
      <c r="K546">
        <f t="shared" si="11"/>
        <v>0</v>
      </c>
    </row>
    <row r="547" spans="9:11" x14ac:dyDescent="0.2">
      <c r="I547">
        <v>537</v>
      </c>
      <c r="J547" s="4">
        <v>2904657794.8548169</v>
      </c>
      <c r="K547">
        <f t="shared" si="11"/>
        <v>0</v>
      </c>
    </row>
    <row r="548" spans="9:11" x14ac:dyDescent="0.2">
      <c r="I548">
        <v>538</v>
      </c>
      <c r="J548" s="4">
        <v>2849197531.0600557</v>
      </c>
      <c r="K548">
        <f t="shared" si="11"/>
        <v>0</v>
      </c>
    </row>
    <row r="549" spans="9:11" x14ac:dyDescent="0.2">
      <c r="I549">
        <v>539</v>
      </c>
      <c r="J549" s="4">
        <v>3068277170.4263539</v>
      </c>
      <c r="K549">
        <f t="shared" si="11"/>
        <v>0</v>
      </c>
    </row>
    <row r="550" spans="9:11" x14ac:dyDescent="0.2">
      <c r="I550">
        <v>540</v>
      </c>
      <c r="J550" s="4">
        <v>3193968905.7324667</v>
      </c>
      <c r="K550">
        <f t="shared" si="11"/>
        <v>0</v>
      </c>
    </row>
    <row r="551" spans="9:11" x14ac:dyDescent="0.2">
      <c r="I551">
        <v>541</v>
      </c>
      <c r="J551" s="4">
        <v>3100459466.2814951</v>
      </c>
      <c r="K551">
        <f t="shared" si="11"/>
        <v>0</v>
      </c>
    </row>
    <row r="552" spans="9:11" x14ac:dyDescent="0.2">
      <c r="I552">
        <v>542</v>
      </c>
      <c r="J552" s="4">
        <v>2910626441.8332796</v>
      </c>
      <c r="K552">
        <f t="shared" si="11"/>
        <v>0</v>
      </c>
    </row>
    <row r="553" spans="9:11" x14ac:dyDescent="0.2">
      <c r="I553">
        <v>543</v>
      </c>
      <c r="J553" s="4">
        <v>2901005736.4299021</v>
      </c>
      <c r="K553">
        <f t="shared" si="11"/>
        <v>0</v>
      </c>
    </row>
    <row r="554" spans="9:11" x14ac:dyDescent="0.2">
      <c r="I554">
        <v>544</v>
      </c>
      <c r="J554" s="4">
        <v>2978461686.1610785</v>
      </c>
      <c r="K554">
        <f t="shared" si="11"/>
        <v>0</v>
      </c>
    </row>
    <row r="555" spans="9:11" x14ac:dyDescent="0.2">
      <c r="I555">
        <v>545</v>
      </c>
      <c r="J555" s="4">
        <v>2909941132.2266345</v>
      </c>
      <c r="K555">
        <f t="shared" si="11"/>
        <v>0</v>
      </c>
    </row>
    <row r="556" spans="9:11" x14ac:dyDescent="0.2">
      <c r="I556">
        <v>546</v>
      </c>
      <c r="J556" s="4">
        <v>3001144620.8460917</v>
      </c>
      <c r="K556">
        <f t="shared" si="11"/>
        <v>0</v>
      </c>
    </row>
    <row r="557" spans="9:11" x14ac:dyDescent="0.2">
      <c r="I557">
        <v>547</v>
      </c>
      <c r="J557" s="4">
        <v>2873325264.6812172</v>
      </c>
      <c r="K557">
        <f t="shared" si="11"/>
        <v>0</v>
      </c>
    </row>
    <row r="558" spans="9:11" x14ac:dyDescent="0.2">
      <c r="I558">
        <v>548</v>
      </c>
      <c r="J558" s="4">
        <v>3143345342.8426566</v>
      </c>
      <c r="K558">
        <f t="shared" si="11"/>
        <v>0</v>
      </c>
    </row>
    <row r="559" spans="9:11" x14ac:dyDescent="0.2">
      <c r="I559">
        <v>549</v>
      </c>
      <c r="J559" s="4">
        <v>2683413970.7487936</v>
      </c>
      <c r="K559">
        <f t="shared" si="11"/>
        <v>0</v>
      </c>
    </row>
    <row r="560" spans="9:11" x14ac:dyDescent="0.2">
      <c r="I560">
        <v>550</v>
      </c>
      <c r="J560" s="4">
        <v>2845397083.8250413</v>
      </c>
      <c r="K560">
        <f t="shared" si="11"/>
        <v>0</v>
      </c>
    </row>
    <row r="561" spans="9:11" x14ac:dyDescent="0.2">
      <c r="I561">
        <v>551</v>
      </c>
      <c r="J561" s="4">
        <v>2871116230.0882974</v>
      </c>
      <c r="K561">
        <f t="shared" si="11"/>
        <v>0</v>
      </c>
    </row>
    <row r="562" spans="9:11" x14ac:dyDescent="0.2">
      <c r="I562">
        <v>552</v>
      </c>
      <c r="J562" s="4">
        <v>2838185918.6453309</v>
      </c>
      <c r="K562">
        <f t="shared" si="11"/>
        <v>0</v>
      </c>
    </row>
    <row r="563" spans="9:11" x14ac:dyDescent="0.2">
      <c r="I563">
        <v>553</v>
      </c>
      <c r="J563" s="4">
        <v>2972022050.7081203</v>
      </c>
      <c r="K563">
        <f t="shared" si="11"/>
        <v>0</v>
      </c>
    </row>
    <row r="564" spans="9:11" x14ac:dyDescent="0.2">
      <c r="I564">
        <v>554</v>
      </c>
      <c r="J564" s="4">
        <v>2913169069.1348505</v>
      </c>
      <c r="K564">
        <f t="shared" si="11"/>
        <v>0</v>
      </c>
    </row>
    <row r="565" spans="9:11" x14ac:dyDescent="0.2">
      <c r="I565">
        <v>555</v>
      </c>
      <c r="J565" s="4">
        <v>2935083468.3307729</v>
      </c>
      <c r="K565">
        <f t="shared" si="11"/>
        <v>0</v>
      </c>
    </row>
    <row r="566" spans="9:11" x14ac:dyDescent="0.2">
      <c r="I566">
        <v>556</v>
      </c>
      <c r="J566" s="4">
        <v>2969467264.4835324</v>
      </c>
      <c r="K566">
        <f t="shared" si="11"/>
        <v>0</v>
      </c>
    </row>
    <row r="567" spans="9:11" x14ac:dyDescent="0.2">
      <c r="I567">
        <v>557</v>
      </c>
      <c r="J567" s="4">
        <v>3097102066.4698367</v>
      </c>
      <c r="K567">
        <f t="shared" si="11"/>
        <v>0</v>
      </c>
    </row>
    <row r="568" spans="9:11" x14ac:dyDescent="0.2">
      <c r="I568">
        <v>558</v>
      </c>
      <c r="J568" s="4">
        <v>2700891776.0366673</v>
      </c>
      <c r="K568">
        <f t="shared" si="11"/>
        <v>0</v>
      </c>
    </row>
    <row r="569" spans="9:11" x14ac:dyDescent="0.2">
      <c r="I569">
        <v>559</v>
      </c>
      <c r="J569" s="4">
        <v>2873146053.2660089</v>
      </c>
      <c r="K569">
        <f t="shared" si="11"/>
        <v>0</v>
      </c>
    </row>
    <row r="570" spans="9:11" x14ac:dyDescent="0.2">
      <c r="I570">
        <v>560</v>
      </c>
      <c r="J570" s="4">
        <v>3103651873.7440939</v>
      </c>
      <c r="K570">
        <f t="shared" si="11"/>
        <v>0</v>
      </c>
    </row>
    <row r="571" spans="9:11" x14ac:dyDescent="0.2">
      <c r="I571">
        <v>561</v>
      </c>
      <c r="J571" s="4">
        <v>3081389993.8319497</v>
      </c>
      <c r="K571">
        <f t="shared" si="11"/>
        <v>0</v>
      </c>
    </row>
    <row r="572" spans="9:11" x14ac:dyDescent="0.2">
      <c r="I572">
        <v>562</v>
      </c>
      <c r="J572" s="4">
        <v>3044248898.273674</v>
      </c>
      <c r="K572">
        <f t="shared" si="11"/>
        <v>0</v>
      </c>
    </row>
    <row r="573" spans="9:11" x14ac:dyDescent="0.2">
      <c r="I573">
        <v>563</v>
      </c>
      <c r="J573" s="4">
        <v>2988065894.9347405</v>
      </c>
      <c r="K573">
        <f t="shared" si="11"/>
        <v>0</v>
      </c>
    </row>
    <row r="574" spans="9:11" x14ac:dyDescent="0.2">
      <c r="I574">
        <v>564</v>
      </c>
      <c r="J574" s="4">
        <v>3102551240.42135</v>
      </c>
      <c r="K574">
        <f t="shared" si="11"/>
        <v>0</v>
      </c>
    </row>
    <row r="575" spans="9:11" x14ac:dyDescent="0.2">
      <c r="I575">
        <v>565</v>
      </c>
      <c r="J575" s="4">
        <v>2850078513.1289716</v>
      </c>
      <c r="K575">
        <f t="shared" si="11"/>
        <v>0</v>
      </c>
    </row>
    <row r="576" spans="9:11" x14ac:dyDescent="0.2">
      <c r="I576">
        <v>566</v>
      </c>
      <c r="J576" s="4">
        <v>3210477452.5869536</v>
      </c>
      <c r="K576">
        <f t="shared" si="11"/>
        <v>0</v>
      </c>
    </row>
    <row r="577" spans="9:11" x14ac:dyDescent="0.2">
      <c r="I577">
        <v>567</v>
      </c>
      <c r="J577" s="4">
        <v>2839767237.9310541</v>
      </c>
      <c r="K577">
        <f t="shared" si="11"/>
        <v>0</v>
      </c>
    </row>
    <row r="578" spans="9:11" x14ac:dyDescent="0.2">
      <c r="I578">
        <v>568</v>
      </c>
      <c r="J578" s="4">
        <v>2763758041.5700269</v>
      </c>
      <c r="K578">
        <f t="shared" si="11"/>
        <v>0</v>
      </c>
    </row>
    <row r="579" spans="9:11" x14ac:dyDescent="0.2">
      <c r="I579">
        <v>569</v>
      </c>
      <c r="J579" s="4">
        <v>2854136996.5779386</v>
      </c>
      <c r="K579">
        <f t="shared" si="11"/>
        <v>0</v>
      </c>
    </row>
    <row r="580" spans="9:11" x14ac:dyDescent="0.2">
      <c r="I580">
        <v>570</v>
      </c>
      <c r="J580" s="4">
        <v>3073138979.3879371</v>
      </c>
      <c r="K580">
        <f t="shared" si="11"/>
        <v>0</v>
      </c>
    </row>
    <row r="581" spans="9:11" x14ac:dyDescent="0.2">
      <c r="I581">
        <v>571</v>
      </c>
      <c r="J581" s="4">
        <v>3140164532.1924839</v>
      </c>
      <c r="K581">
        <f t="shared" si="11"/>
        <v>0</v>
      </c>
    </row>
    <row r="582" spans="9:11" x14ac:dyDescent="0.2">
      <c r="I582">
        <v>572</v>
      </c>
      <c r="J582" s="4">
        <v>2943342498.0373578</v>
      </c>
      <c r="K582">
        <f t="shared" si="11"/>
        <v>0</v>
      </c>
    </row>
    <row r="583" spans="9:11" x14ac:dyDescent="0.2">
      <c r="I583">
        <v>573</v>
      </c>
      <c r="J583" s="4">
        <v>2979441472.2374644</v>
      </c>
      <c r="K583">
        <f t="shared" si="11"/>
        <v>0</v>
      </c>
    </row>
    <row r="584" spans="9:11" x14ac:dyDescent="0.2">
      <c r="I584">
        <v>574</v>
      </c>
      <c r="J584" s="4">
        <v>2719388439.6795988</v>
      </c>
      <c r="K584">
        <f t="shared" si="11"/>
        <v>0</v>
      </c>
    </row>
    <row r="585" spans="9:11" x14ac:dyDescent="0.2">
      <c r="I585">
        <v>575</v>
      </c>
      <c r="J585" s="4">
        <v>2945815866.2765427</v>
      </c>
      <c r="K585">
        <f t="shared" si="11"/>
        <v>0</v>
      </c>
    </row>
    <row r="586" spans="9:11" x14ac:dyDescent="0.2">
      <c r="I586">
        <v>576</v>
      </c>
      <c r="J586" s="4">
        <v>2977546405.5562363</v>
      </c>
      <c r="K586">
        <f t="shared" si="11"/>
        <v>0</v>
      </c>
    </row>
    <row r="587" spans="9:11" x14ac:dyDescent="0.2">
      <c r="I587">
        <v>577</v>
      </c>
      <c r="J587" s="4">
        <v>2728809975.4739971</v>
      </c>
      <c r="K587">
        <f t="shared" si="11"/>
        <v>0</v>
      </c>
    </row>
    <row r="588" spans="9:11" x14ac:dyDescent="0.2">
      <c r="I588">
        <v>578</v>
      </c>
      <c r="J588" s="4">
        <v>3076854972.4161177</v>
      </c>
      <c r="K588">
        <f t="shared" ref="K588:K651" si="12">IF(J588&lt;1700000000,1,0)</f>
        <v>0</v>
      </c>
    </row>
    <row r="589" spans="9:11" x14ac:dyDescent="0.2">
      <c r="I589">
        <v>579</v>
      </c>
      <c r="J589" s="4">
        <v>2885753505.7670345</v>
      </c>
      <c r="K589">
        <f t="shared" si="12"/>
        <v>0</v>
      </c>
    </row>
    <row r="590" spans="9:11" x14ac:dyDescent="0.2">
      <c r="I590">
        <v>580</v>
      </c>
      <c r="J590" s="4">
        <v>2815332635.230176</v>
      </c>
      <c r="K590">
        <f t="shared" si="12"/>
        <v>0</v>
      </c>
    </row>
    <row r="591" spans="9:11" x14ac:dyDescent="0.2">
      <c r="I591">
        <v>581</v>
      </c>
      <c r="J591" s="4">
        <v>2632359207.3855591</v>
      </c>
      <c r="K591">
        <f t="shared" si="12"/>
        <v>0</v>
      </c>
    </row>
    <row r="592" spans="9:11" x14ac:dyDescent="0.2">
      <c r="I592">
        <v>582</v>
      </c>
      <c r="J592" s="4">
        <v>3014781612.4468126</v>
      </c>
      <c r="K592">
        <f t="shared" si="12"/>
        <v>0</v>
      </c>
    </row>
    <row r="593" spans="9:11" x14ac:dyDescent="0.2">
      <c r="I593">
        <v>583</v>
      </c>
      <c r="J593" s="4">
        <v>2796298731.4783607</v>
      </c>
      <c r="K593">
        <f t="shared" si="12"/>
        <v>0</v>
      </c>
    </row>
    <row r="594" spans="9:11" x14ac:dyDescent="0.2">
      <c r="I594">
        <v>584</v>
      </c>
      <c r="J594" s="4">
        <v>2608177452.317831</v>
      </c>
      <c r="K594">
        <f t="shared" si="12"/>
        <v>0</v>
      </c>
    </row>
    <row r="595" spans="9:11" x14ac:dyDescent="0.2">
      <c r="I595">
        <v>585</v>
      </c>
      <c r="J595" s="4">
        <v>2851091400.9533443</v>
      </c>
      <c r="K595">
        <f t="shared" si="12"/>
        <v>0</v>
      </c>
    </row>
    <row r="596" spans="9:11" x14ac:dyDescent="0.2">
      <c r="I596">
        <v>586</v>
      </c>
      <c r="J596" s="4">
        <v>2983405094.0273137</v>
      </c>
      <c r="K596">
        <f t="shared" si="12"/>
        <v>0</v>
      </c>
    </row>
    <row r="597" spans="9:11" x14ac:dyDescent="0.2">
      <c r="I597">
        <v>587</v>
      </c>
      <c r="J597" s="4">
        <v>3037460575.5180845</v>
      </c>
      <c r="K597">
        <f t="shared" si="12"/>
        <v>0</v>
      </c>
    </row>
    <row r="598" spans="9:11" x14ac:dyDescent="0.2">
      <c r="I598">
        <v>588</v>
      </c>
      <c r="J598" s="4">
        <v>3151304951.8187132</v>
      </c>
      <c r="K598">
        <f t="shared" si="12"/>
        <v>0</v>
      </c>
    </row>
    <row r="599" spans="9:11" x14ac:dyDescent="0.2">
      <c r="I599">
        <v>589</v>
      </c>
      <c r="J599" s="4">
        <v>2944077930.3514276</v>
      </c>
      <c r="K599">
        <f t="shared" si="12"/>
        <v>0</v>
      </c>
    </row>
    <row r="600" spans="9:11" x14ac:dyDescent="0.2">
      <c r="I600">
        <v>590</v>
      </c>
      <c r="J600" s="4">
        <v>2734013007.4622407</v>
      </c>
      <c r="K600">
        <f t="shared" si="12"/>
        <v>0</v>
      </c>
    </row>
    <row r="601" spans="9:11" x14ac:dyDescent="0.2">
      <c r="I601">
        <v>591</v>
      </c>
      <c r="J601" s="4">
        <v>2837818436.1561213</v>
      </c>
      <c r="K601">
        <f t="shared" si="12"/>
        <v>0</v>
      </c>
    </row>
    <row r="602" spans="9:11" x14ac:dyDescent="0.2">
      <c r="I602">
        <v>592</v>
      </c>
      <c r="J602" s="4">
        <v>3015109402.6231866</v>
      </c>
      <c r="K602">
        <f t="shared" si="12"/>
        <v>0</v>
      </c>
    </row>
    <row r="603" spans="9:11" x14ac:dyDescent="0.2">
      <c r="I603">
        <v>593</v>
      </c>
      <c r="J603" s="4">
        <v>2902993600.667429</v>
      </c>
      <c r="K603">
        <f t="shared" si="12"/>
        <v>0</v>
      </c>
    </row>
    <row r="604" spans="9:11" x14ac:dyDescent="0.2">
      <c r="I604">
        <v>594</v>
      </c>
      <c r="J604" s="4">
        <v>3348058394.9720516</v>
      </c>
      <c r="K604">
        <f t="shared" si="12"/>
        <v>0</v>
      </c>
    </row>
    <row r="605" spans="9:11" x14ac:dyDescent="0.2">
      <c r="I605">
        <v>595</v>
      </c>
      <c r="J605" s="4">
        <v>2995249297.6868196</v>
      </c>
      <c r="K605">
        <f t="shared" si="12"/>
        <v>0</v>
      </c>
    </row>
    <row r="606" spans="9:11" x14ac:dyDescent="0.2">
      <c r="I606">
        <v>596</v>
      </c>
      <c r="J606" s="4">
        <v>3034221976.527566</v>
      </c>
      <c r="K606">
        <f t="shared" si="12"/>
        <v>0</v>
      </c>
    </row>
    <row r="607" spans="9:11" x14ac:dyDescent="0.2">
      <c r="I607">
        <v>597</v>
      </c>
      <c r="J607" s="4">
        <v>2801008648.7770891</v>
      </c>
      <c r="K607">
        <f t="shared" si="12"/>
        <v>0</v>
      </c>
    </row>
    <row r="608" spans="9:11" x14ac:dyDescent="0.2">
      <c r="I608">
        <v>598</v>
      </c>
      <c r="J608" s="4">
        <v>2809550512.1651807</v>
      </c>
      <c r="K608">
        <f t="shared" si="12"/>
        <v>0</v>
      </c>
    </row>
    <row r="609" spans="9:11" x14ac:dyDescent="0.2">
      <c r="I609">
        <v>599</v>
      </c>
      <c r="J609" s="4">
        <v>3287118973.7707129</v>
      </c>
      <c r="K609">
        <f t="shared" si="12"/>
        <v>0</v>
      </c>
    </row>
    <row r="610" spans="9:11" x14ac:dyDescent="0.2">
      <c r="I610">
        <v>600</v>
      </c>
      <c r="J610" s="4">
        <v>3159658248.5871811</v>
      </c>
      <c r="K610">
        <f t="shared" si="12"/>
        <v>0</v>
      </c>
    </row>
    <row r="611" spans="9:11" x14ac:dyDescent="0.2">
      <c r="I611">
        <v>601</v>
      </c>
      <c r="J611" s="4">
        <v>2834509991.352612</v>
      </c>
      <c r="K611">
        <f t="shared" si="12"/>
        <v>0</v>
      </c>
    </row>
    <row r="612" spans="9:11" x14ac:dyDescent="0.2">
      <c r="I612">
        <v>602</v>
      </c>
      <c r="J612" s="4">
        <v>3033160518.7125168</v>
      </c>
      <c r="K612">
        <f t="shared" si="12"/>
        <v>0</v>
      </c>
    </row>
    <row r="613" spans="9:11" x14ac:dyDescent="0.2">
      <c r="I613">
        <v>603</v>
      </c>
      <c r="J613" s="4">
        <v>2933790218.9230404</v>
      </c>
      <c r="K613">
        <f t="shared" si="12"/>
        <v>0</v>
      </c>
    </row>
    <row r="614" spans="9:11" x14ac:dyDescent="0.2">
      <c r="I614">
        <v>604</v>
      </c>
      <c r="J614" s="4">
        <v>2855656489.8912802</v>
      </c>
      <c r="K614">
        <f t="shared" si="12"/>
        <v>0</v>
      </c>
    </row>
    <row r="615" spans="9:11" x14ac:dyDescent="0.2">
      <c r="I615">
        <v>605</v>
      </c>
      <c r="J615" s="4">
        <v>2937779701.9721246</v>
      </c>
      <c r="K615">
        <f t="shared" si="12"/>
        <v>0</v>
      </c>
    </row>
    <row r="616" spans="9:11" x14ac:dyDescent="0.2">
      <c r="I616">
        <v>606</v>
      </c>
      <c r="J616" s="4">
        <v>3031338041.2132955</v>
      </c>
      <c r="K616">
        <f t="shared" si="12"/>
        <v>0</v>
      </c>
    </row>
    <row r="617" spans="9:11" x14ac:dyDescent="0.2">
      <c r="I617">
        <v>607</v>
      </c>
      <c r="J617" s="4">
        <v>3008798473.2618895</v>
      </c>
      <c r="K617">
        <f t="shared" si="12"/>
        <v>0</v>
      </c>
    </row>
    <row r="618" spans="9:11" x14ac:dyDescent="0.2">
      <c r="I618">
        <v>608</v>
      </c>
      <c r="J618" s="4">
        <v>3111238921.9877348</v>
      </c>
      <c r="K618">
        <f t="shared" si="12"/>
        <v>0</v>
      </c>
    </row>
    <row r="619" spans="9:11" x14ac:dyDescent="0.2">
      <c r="I619">
        <v>609</v>
      </c>
      <c r="J619" s="4">
        <v>3217187565.5436049</v>
      </c>
      <c r="K619">
        <f t="shared" si="12"/>
        <v>0</v>
      </c>
    </row>
    <row r="620" spans="9:11" x14ac:dyDescent="0.2">
      <c r="I620">
        <v>610</v>
      </c>
      <c r="J620" s="4">
        <v>3007965862.0446949</v>
      </c>
      <c r="K620">
        <f t="shared" si="12"/>
        <v>0</v>
      </c>
    </row>
    <row r="621" spans="9:11" x14ac:dyDescent="0.2">
      <c r="I621">
        <v>611</v>
      </c>
      <c r="J621" s="4">
        <v>2883486960.8135591</v>
      </c>
      <c r="K621">
        <f t="shared" si="12"/>
        <v>0</v>
      </c>
    </row>
    <row r="622" spans="9:11" x14ac:dyDescent="0.2">
      <c r="I622">
        <v>612</v>
      </c>
      <c r="J622" s="4">
        <v>2986264103.6031127</v>
      </c>
      <c r="K622">
        <f t="shared" si="12"/>
        <v>0</v>
      </c>
    </row>
    <row r="623" spans="9:11" x14ac:dyDescent="0.2">
      <c r="I623">
        <v>613</v>
      </c>
      <c r="J623" s="4">
        <v>2947061649.9756021</v>
      </c>
      <c r="K623">
        <f t="shared" si="12"/>
        <v>0</v>
      </c>
    </row>
    <row r="624" spans="9:11" x14ac:dyDescent="0.2">
      <c r="I624">
        <v>614</v>
      </c>
      <c r="J624" s="4">
        <v>2790894562.1173477</v>
      </c>
      <c r="K624">
        <f t="shared" si="12"/>
        <v>0</v>
      </c>
    </row>
    <row r="625" spans="9:11" x14ac:dyDescent="0.2">
      <c r="I625">
        <v>615</v>
      </c>
      <c r="J625" s="4">
        <v>2909456726.8843818</v>
      </c>
      <c r="K625">
        <f t="shared" si="12"/>
        <v>0</v>
      </c>
    </row>
    <row r="626" spans="9:11" x14ac:dyDescent="0.2">
      <c r="I626">
        <v>616</v>
      </c>
      <c r="J626" s="4">
        <v>2978751766.261435</v>
      </c>
      <c r="K626">
        <f t="shared" si="12"/>
        <v>0</v>
      </c>
    </row>
    <row r="627" spans="9:11" x14ac:dyDescent="0.2">
      <c r="I627">
        <v>617</v>
      </c>
      <c r="J627" s="4">
        <v>2796365355.1045814</v>
      </c>
      <c r="K627">
        <f t="shared" si="12"/>
        <v>0</v>
      </c>
    </row>
    <row r="628" spans="9:11" x14ac:dyDescent="0.2">
      <c r="I628">
        <v>618</v>
      </c>
      <c r="J628" s="4">
        <v>3002223108.5552506</v>
      </c>
      <c r="K628">
        <f t="shared" si="12"/>
        <v>0</v>
      </c>
    </row>
    <row r="629" spans="9:11" x14ac:dyDescent="0.2">
      <c r="I629">
        <v>619</v>
      </c>
      <c r="J629" s="4">
        <v>3133616615.8642097</v>
      </c>
      <c r="K629">
        <f t="shared" si="12"/>
        <v>0</v>
      </c>
    </row>
    <row r="630" spans="9:11" x14ac:dyDescent="0.2">
      <c r="I630">
        <v>620</v>
      </c>
      <c r="J630" s="4">
        <v>2978523503.3600035</v>
      </c>
      <c r="K630">
        <f t="shared" si="12"/>
        <v>0</v>
      </c>
    </row>
    <row r="631" spans="9:11" x14ac:dyDescent="0.2">
      <c r="I631">
        <v>621</v>
      </c>
      <c r="J631" s="4">
        <v>3172997292.2398338</v>
      </c>
      <c r="K631">
        <f t="shared" si="12"/>
        <v>0</v>
      </c>
    </row>
    <row r="632" spans="9:11" x14ac:dyDescent="0.2">
      <c r="I632">
        <v>622</v>
      </c>
      <c r="J632" s="4">
        <v>2992734286.6930699</v>
      </c>
      <c r="K632">
        <f t="shared" si="12"/>
        <v>0</v>
      </c>
    </row>
    <row r="633" spans="9:11" x14ac:dyDescent="0.2">
      <c r="I633">
        <v>623</v>
      </c>
      <c r="J633" s="4">
        <v>2754639490.4491477</v>
      </c>
      <c r="K633">
        <f t="shared" si="12"/>
        <v>0</v>
      </c>
    </row>
    <row r="634" spans="9:11" x14ac:dyDescent="0.2">
      <c r="I634">
        <v>624</v>
      </c>
      <c r="J634" s="4">
        <v>3165330724.7396512</v>
      </c>
      <c r="K634">
        <f t="shared" si="12"/>
        <v>0</v>
      </c>
    </row>
    <row r="635" spans="9:11" x14ac:dyDescent="0.2">
      <c r="I635">
        <v>625</v>
      </c>
      <c r="J635" s="4">
        <v>2676119994.4102783</v>
      </c>
      <c r="K635">
        <f t="shared" si="12"/>
        <v>0</v>
      </c>
    </row>
    <row r="636" spans="9:11" x14ac:dyDescent="0.2">
      <c r="I636">
        <v>626</v>
      </c>
      <c r="J636" s="4">
        <v>3051238078.4380846</v>
      </c>
      <c r="K636">
        <f t="shared" si="12"/>
        <v>0</v>
      </c>
    </row>
    <row r="637" spans="9:11" x14ac:dyDescent="0.2">
      <c r="I637">
        <v>627</v>
      </c>
      <c r="J637" s="4">
        <v>3066377527.0180931</v>
      </c>
      <c r="K637">
        <f t="shared" si="12"/>
        <v>0</v>
      </c>
    </row>
    <row r="638" spans="9:11" x14ac:dyDescent="0.2">
      <c r="I638">
        <v>628</v>
      </c>
      <c r="J638" s="4">
        <v>2885297767.8971868</v>
      </c>
      <c r="K638">
        <f t="shared" si="12"/>
        <v>0</v>
      </c>
    </row>
    <row r="639" spans="9:11" x14ac:dyDescent="0.2">
      <c r="I639">
        <v>629</v>
      </c>
      <c r="J639" s="4">
        <v>3077940302.8384657</v>
      </c>
      <c r="K639">
        <f t="shared" si="12"/>
        <v>0</v>
      </c>
    </row>
    <row r="640" spans="9:11" x14ac:dyDescent="0.2">
      <c r="I640">
        <v>630</v>
      </c>
      <c r="J640" s="4">
        <v>2876799088.9683967</v>
      </c>
      <c r="K640">
        <f t="shared" si="12"/>
        <v>0</v>
      </c>
    </row>
    <row r="641" spans="9:11" x14ac:dyDescent="0.2">
      <c r="I641">
        <v>631</v>
      </c>
      <c r="J641" s="4">
        <v>3025095175.0369711</v>
      </c>
      <c r="K641">
        <f t="shared" si="12"/>
        <v>0</v>
      </c>
    </row>
    <row r="642" spans="9:11" x14ac:dyDescent="0.2">
      <c r="I642">
        <v>632</v>
      </c>
      <c r="J642" s="4">
        <v>3128159921.5869303</v>
      </c>
      <c r="K642">
        <f t="shared" si="12"/>
        <v>0</v>
      </c>
    </row>
    <row r="643" spans="9:11" x14ac:dyDescent="0.2">
      <c r="I643">
        <v>633</v>
      </c>
      <c r="J643" s="4">
        <v>2861532402.7618108</v>
      </c>
      <c r="K643">
        <f t="shared" si="12"/>
        <v>0</v>
      </c>
    </row>
    <row r="644" spans="9:11" x14ac:dyDescent="0.2">
      <c r="I644">
        <v>634</v>
      </c>
      <c r="J644" s="4">
        <v>3038400494.9725404</v>
      </c>
      <c r="K644">
        <f t="shared" si="12"/>
        <v>0</v>
      </c>
    </row>
    <row r="645" spans="9:11" x14ac:dyDescent="0.2">
      <c r="I645">
        <v>635</v>
      </c>
      <c r="J645" s="4">
        <v>3070697719.9350386</v>
      </c>
      <c r="K645">
        <f t="shared" si="12"/>
        <v>0</v>
      </c>
    </row>
    <row r="646" spans="9:11" x14ac:dyDescent="0.2">
      <c r="I646">
        <v>636</v>
      </c>
      <c r="J646" s="4">
        <v>2738974537.518899</v>
      </c>
      <c r="K646">
        <f t="shared" si="12"/>
        <v>0</v>
      </c>
    </row>
    <row r="647" spans="9:11" x14ac:dyDescent="0.2">
      <c r="I647">
        <v>637</v>
      </c>
      <c r="J647" s="4">
        <v>2880378419.8974214</v>
      </c>
      <c r="K647">
        <f t="shared" si="12"/>
        <v>0</v>
      </c>
    </row>
    <row r="648" spans="9:11" x14ac:dyDescent="0.2">
      <c r="I648">
        <v>638</v>
      </c>
      <c r="J648" s="4">
        <v>2806236028.6325946</v>
      </c>
      <c r="K648">
        <f t="shared" si="12"/>
        <v>0</v>
      </c>
    </row>
    <row r="649" spans="9:11" x14ac:dyDescent="0.2">
      <c r="I649">
        <v>639</v>
      </c>
      <c r="J649" s="4">
        <v>3116393618.0314136</v>
      </c>
      <c r="K649">
        <f t="shared" si="12"/>
        <v>0</v>
      </c>
    </row>
    <row r="650" spans="9:11" x14ac:dyDescent="0.2">
      <c r="I650">
        <v>640</v>
      </c>
      <c r="J650" s="4">
        <v>2873399236.9758821</v>
      </c>
      <c r="K650">
        <f t="shared" si="12"/>
        <v>0</v>
      </c>
    </row>
    <row r="651" spans="9:11" x14ac:dyDescent="0.2">
      <c r="I651">
        <v>641</v>
      </c>
      <c r="J651" s="4">
        <v>2828720486.7367435</v>
      </c>
      <c r="K651">
        <f t="shared" si="12"/>
        <v>0</v>
      </c>
    </row>
    <row r="652" spans="9:11" x14ac:dyDescent="0.2">
      <c r="I652">
        <v>642</v>
      </c>
      <c r="J652" s="4">
        <v>2913255778.9062576</v>
      </c>
      <c r="K652">
        <f t="shared" ref="K652:K715" si="13">IF(J652&lt;1700000000,1,0)</f>
        <v>0</v>
      </c>
    </row>
    <row r="653" spans="9:11" x14ac:dyDescent="0.2">
      <c r="I653">
        <v>643</v>
      </c>
      <c r="J653" s="4">
        <v>2794451050.7659583</v>
      </c>
      <c r="K653">
        <f t="shared" si="13"/>
        <v>0</v>
      </c>
    </row>
    <row r="654" spans="9:11" x14ac:dyDescent="0.2">
      <c r="I654">
        <v>644</v>
      </c>
      <c r="J654" s="4">
        <v>3033920013.7296524</v>
      </c>
      <c r="K654">
        <f t="shared" si="13"/>
        <v>0</v>
      </c>
    </row>
    <row r="655" spans="9:11" x14ac:dyDescent="0.2">
      <c r="I655">
        <v>645</v>
      </c>
      <c r="J655" s="4">
        <v>2992415360.4668798</v>
      </c>
      <c r="K655">
        <f t="shared" si="13"/>
        <v>0</v>
      </c>
    </row>
    <row r="656" spans="9:11" x14ac:dyDescent="0.2">
      <c r="I656">
        <v>646</v>
      </c>
      <c r="J656" s="4">
        <v>3020332138.2419853</v>
      </c>
      <c r="K656">
        <f t="shared" si="13"/>
        <v>0</v>
      </c>
    </row>
    <row r="657" spans="9:11" x14ac:dyDescent="0.2">
      <c r="I657">
        <v>647</v>
      </c>
      <c r="J657" s="4">
        <v>3155746646.6444688</v>
      </c>
      <c r="K657">
        <f t="shared" si="13"/>
        <v>0</v>
      </c>
    </row>
    <row r="658" spans="9:11" x14ac:dyDescent="0.2">
      <c r="I658">
        <v>648</v>
      </c>
      <c r="J658" s="4">
        <v>2920556967.2499456</v>
      </c>
      <c r="K658">
        <f t="shared" si="13"/>
        <v>0</v>
      </c>
    </row>
    <row r="659" spans="9:11" x14ac:dyDescent="0.2">
      <c r="I659">
        <v>649</v>
      </c>
      <c r="J659" s="4">
        <v>2826913814.4516277</v>
      </c>
      <c r="K659">
        <f t="shared" si="13"/>
        <v>0</v>
      </c>
    </row>
    <row r="660" spans="9:11" x14ac:dyDescent="0.2">
      <c r="I660">
        <v>650</v>
      </c>
      <c r="J660" s="4">
        <v>3099367790.0461049</v>
      </c>
      <c r="K660">
        <f t="shared" si="13"/>
        <v>0</v>
      </c>
    </row>
    <row r="661" spans="9:11" x14ac:dyDescent="0.2">
      <c r="I661">
        <v>651</v>
      </c>
      <c r="J661" s="4">
        <v>2665345835.0224061</v>
      </c>
      <c r="K661">
        <f t="shared" si="13"/>
        <v>0</v>
      </c>
    </row>
    <row r="662" spans="9:11" x14ac:dyDescent="0.2">
      <c r="I662">
        <v>652</v>
      </c>
      <c r="J662" s="4">
        <v>2815486009.6300282</v>
      </c>
      <c r="K662">
        <f t="shared" si="13"/>
        <v>0</v>
      </c>
    </row>
    <row r="663" spans="9:11" x14ac:dyDescent="0.2">
      <c r="I663">
        <v>653</v>
      </c>
      <c r="J663" s="4">
        <v>3041440160.8444839</v>
      </c>
      <c r="K663">
        <f t="shared" si="13"/>
        <v>0</v>
      </c>
    </row>
    <row r="664" spans="9:11" x14ac:dyDescent="0.2">
      <c r="I664">
        <v>654</v>
      </c>
      <c r="J664" s="4">
        <v>3038299471.7862039</v>
      </c>
      <c r="K664">
        <f t="shared" si="13"/>
        <v>0</v>
      </c>
    </row>
    <row r="665" spans="9:11" x14ac:dyDescent="0.2">
      <c r="I665">
        <v>655</v>
      </c>
      <c r="J665" s="4">
        <v>2743369845.7291379</v>
      </c>
      <c r="K665">
        <f t="shared" si="13"/>
        <v>0</v>
      </c>
    </row>
    <row r="666" spans="9:11" x14ac:dyDescent="0.2">
      <c r="I666">
        <v>656</v>
      </c>
      <c r="J666" s="4">
        <v>2685771088.0010066</v>
      </c>
      <c r="K666">
        <f t="shared" si="13"/>
        <v>0</v>
      </c>
    </row>
    <row r="667" spans="9:11" x14ac:dyDescent="0.2">
      <c r="I667">
        <v>657</v>
      </c>
      <c r="J667" s="4">
        <v>3001971521.9101944</v>
      </c>
      <c r="K667">
        <f t="shared" si="13"/>
        <v>0</v>
      </c>
    </row>
    <row r="668" spans="9:11" x14ac:dyDescent="0.2">
      <c r="I668">
        <v>658</v>
      </c>
      <c r="J668" s="4">
        <v>2844719094.0583057</v>
      </c>
      <c r="K668">
        <f t="shared" si="13"/>
        <v>0</v>
      </c>
    </row>
    <row r="669" spans="9:11" x14ac:dyDescent="0.2">
      <c r="I669">
        <v>659</v>
      </c>
      <c r="J669" s="4">
        <v>3296476741.1157265</v>
      </c>
      <c r="K669">
        <f t="shared" si="13"/>
        <v>0</v>
      </c>
    </row>
    <row r="670" spans="9:11" x14ac:dyDescent="0.2">
      <c r="I670">
        <v>660</v>
      </c>
      <c r="J670" s="4">
        <v>3047775188.4397039</v>
      </c>
      <c r="K670">
        <f t="shared" si="13"/>
        <v>0</v>
      </c>
    </row>
    <row r="671" spans="9:11" x14ac:dyDescent="0.2">
      <c r="I671">
        <v>661</v>
      </c>
      <c r="J671" s="4">
        <v>2926421650.1407533</v>
      </c>
      <c r="K671">
        <f t="shared" si="13"/>
        <v>0</v>
      </c>
    </row>
    <row r="672" spans="9:11" x14ac:dyDescent="0.2">
      <c r="I672">
        <v>662</v>
      </c>
      <c r="J672" s="4">
        <v>3029814002.6141982</v>
      </c>
      <c r="K672">
        <f t="shared" si="13"/>
        <v>0</v>
      </c>
    </row>
    <row r="673" spans="9:11" x14ac:dyDescent="0.2">
      <c r="I673">
        <v>663</v>
      </c>
      <c r="J673" s="4">
        <v>2653321222.8642378</v>
      </c>
      <c r="K673">
        <f t="shared" si="13"/>
        <v>0</v>
      </c>
    </row>
    <row r="674" spans="9:11" x14ac:dyDescent="0.2">
      <c r="I674">
        <v>664</v>
      </c>
      <c r="J674" s="4">
        <v>2633617185.6463842</v>
      </c>
      <c r="K674">
        <f t="shared" si="13"/>
        <v>0</v>
      </c>
    </row>
    <row r="675" spans="9:11" x14ac:dyDescent="0.2">
      <c r="I675">
        <v>665</v>
      </c>
      <c r="J675" s="4">
        <v>2948157843.7327795</v>
      </c>
      <c r="K675">
        <f t="shared" si="13"/>
        <v>0</v>
      </c>
    </row>
    <row r="676" spans="9:11" x14ac:dyDescent="0.2">
      <c r="I676">
        <v>666</v>
      </c>
      <c r="J676" s="4">
        <v>2961209764.5472379</v>
      </c>
      <c r="K676">
        <f t="shared" si="13"/>
        <v>0</v>
      </c>
    </row>
    <row r="677" spans="9:11" x14ac:dyDescent="0.2">
      <c r="I677">
        <v>667</v>
      </c>
      <c r="J677" s="4">
        <v>2864680558.9511518</v>
      </c>
      <c r="K677">
        <f t="shared" si="13"/>
        <v>0</v>
      </c>
    </row>
    <row r="678" spans="9:11" x14ac:dyDescent="0.2">
      <c r="I678">
        <v>668</v>
      </c>
      <c r="J678" s="4">
        <v>2940286003.3286166</v>
      </c>
      <c r="K678">
        <f t="shared" si="13"/>
        <v>0</v>
      </c>
    </row>
    <row r="679" spans="9:11" x14ac:dyDescent="0.2">
      <c r="I679">
        <v>669</v>
      </c>
      <c r="J679" s="4">
        <v>2814846792.269424</v>
      </c>
      <c r="K679">
        <f t="shared" si="13"/>
        <v>0</v>
      </c>
    </row>
    <row r="680" spans="9:11" x14ac:dyDescent="0.2">
      <c r="I680">
        <v>670</v>
      </c>
      <c r="J680" s="4">
        <v>2858728001.2868652</v>
      </c>
      <c r="K680">
        <f t="shared" si="13"/>
        <v>0</v>
      </c>
    </row>
    <row r="681" spans="9:11" x14ac:dyDescent="0.2">
      <c r="I681">
        <v>671</v>
      </c>
      <c r="J681" s="4">
        <v>3145862674.6855192</v>
      </c>
      <c r="K681">
        <f t="shared" si="13"/>
        <v>0</v>
      </c>
    </row>
    <row r="682" spans="9:11" x14ac:dyDescent="0.2">
      <c r="I682">
        <v>672</v>
      </c>
      <c r="J682" s="4">
        <v>2766345496.798696</v>
      </c>
      <c r="K682">
        <f t="shared" si="13"/>
        <v>0</v>
      </c>
    </row>
    <row r="683" spans="9:11" x14ac:dyDescent="0.2">
      <c r="I683">
        <v>673</v>
      </c>
      <c r="J683" s="4">
        <v>2854732621.1912222</v>
      </c>
      <c r="K683">
        <f t="shared" si="13"/>
        <v>0</v>
      </c>
    </row>
    <row r="684" spans="9:11" x14ac:dyDescent="0.2">
      <c r="I684">
        <v>674</v>
      </c>
      <c r="J684" s="4">
        <v>3267367958.7051134</v>
      </c>
      <c r="K684">
        <f t="shared" si="13"/>
        <v>0</v>
      </c>
    </row>
    <row r="685" spans="9:11" x14ac:dyDescent="0.2">
      <c r="I685">
        <v>675</v>
      </c>
      <c r="J685" s="4">
        <v>3211167137.2854757</v>
      </c>
      <c r="K685">
        <f t="shared" si="13"/>
        <v>0</v>
      </c>
    </row>
    <row r="686" spans="9:11" x14ac:dyDescent="0.2">
      <c r="I686">
        <v>676</v>
      </c>
      <c r="J686" s="4">
        <v>2623691380.0993114</v>
      </c>
      <c r="K686">
        <f t="shared" si="13"/>
        <v>0</v>
      </c>
    </row>
    <row r="687" spans="9:11" x14ac:dyDescent="0.2">
      <c r="I687">
        <v>677</v>
      </c>
      <c r="J687" s="4">
        <v>2576249080.3078494</v>
      </c>
      <c r="K687">
        <f t="shared" si="13"/>
        <v>0</v>
      </c>
    </row>
    <row r="688" spans="9:11" x14ac:dyDescent="0.2">
      <c r="I688">
        <v>678</v>
      </c>
      <c r="J688" s="4">
        <v>2786462565.2020016</v>
      </c>
      <c r="K688">
        <f t="shared" si="13"/>
        <v>0</v>
      </c>
    </row>
    <row r="689" spans="9:11" x14ac:dyDescent="0.2">
      <c r="I689">
        <v>679</v>
      </c>
      <c r="J689" s="4">
        <v>2658730482.289907</v>
      </c>
      <c r="K689">
        <f t="shared" si="13"/>
        <v>0</v>
      </c>
    </row>
    <row r="690" spans="9:11" x14ac:dyDescent="0.2">
      <c r="I690">
        <v>680</v>
      </c>
      <c r="J690" s="4">
        <v>3103433562.7945929</v>
      </c>
      <c r="K690">
        <f t="shared" si="13"/>
        <v>0</v>
      </c>
    </row>
    <row r="691" spans="9:11" x14ac:dyDescent="0.2">
      <c r="I691">
        <v>681</v>
      </c>
      <c r="J691" s="4">
        <v>2838757489.510951</v>
      </c>
      <c r="K691">
        <f t="shared" si="13"/>
        <v>0</v>
      </c>
    </row>
    <row r="692" spans="9:11" x14ac:dyDescent="0.2">
      <c r="I692">
        <v>682</v>
      </c>
      <c r="J692" s="4">
        <v>3285717707.6260467</v>
      </c>
      <c r="K692">
        <f t="shared" si="13"/>
        <v>0</v>
      </c>
    </row>
    <row r="693" spans="9:11" x14ac:dyDescent="0.2">
      <c r="I693">
        <v>683</v>
      </c>
      <c r="J693" s="4">
        <v>3068140292.4201894</v>
      </c>
      <c r="K693">
        <f t="shared" si="13"/>
        <v>0</v>
      </c>
    </row>
    <row r="694" spans="9:11" x14ac:dyDescent="0.2">
      <c r="I694">
        <v>684</v>
      </c>
      <c r="J694" s="4">
        <v>2647883655.5494046</v>
      </c>
      <c r="K694">
        <f t="shared" si="13"/>
        <v>0</v>
      </c>
    </row>
    <row r="695" spans="9:11" x14ac:dyDescent="0.2">
      <c r="I695">
        <v>685</v>
      </c>
      <c r="J695" s="4">
        <v>3053186952.2164893</v>
      </c>
      <c r="K695">
        <f t="shared" si="13"/>
        <v>0</v>
      </c>
    </row>
    <row r="696" spans="9:11" x14ac:dyDescent="0.2">
      <c r="I696">
        <v>686</v>
      </c>
      <c r="J696" s="4">
        <v>2914410956.2298813</v>
      </c>
      <c r="K696">
        <f t="shared" si="13"/>
        <v>0</v>
      </c>
    </row>
    <row r="697" spans="9:11" x14ac:dyDescent="0.2">
      <c r="I697">
        <v>687</v>
      </c>
      <c r="J697" s="4">
        <v>2906469346.9910784</v>
      </c>
      <c r="K697">
        <f t="shared" si="13"/>
        <v>0</v>
      </c>
    </row>
    <row r="698" spans="9:11" x14ac:dyDescent="0.2">
      <c r="I698">
        <v>688</v>
      </c>
      <c r="J698" s="4">
        <v>2822633370.6577601</v>
      </c>
      <c r="K698">
        <f t="shared" si="13"/>
        <v>0</v>
      </c>
    </row>
    <row r="699" spans="9:11" x14ac:dyDescent="0.2">
      <c r="I699">
        <v>689</v>
      </c>
      <c r="J699" s="4">
        <v>2801358593.230536</v>
      </c>
      <c r="K699">
        <f t="shared" si="13"/>
        <v>0</v>
      </c>
    </row>
    <row r="700" spans="9:11" x14ac:dyDescent="0.2">
      <c r="I700">
        <v>690</v>
      </c>
      <c r="J700" s="4">
        <v>3120319314.1229367</v>
      </c>
      <c r="K700">
        <f t="shared" si="13"/>
        <v>0</v>
      </c>
    </row>
    <row r="701" spans="9:11" x14ac:dyDescent="0.2">
      <c r="I701">
        <v>691</v>
      </c>
      <c r="J701" s="4">
        <v>2735206171.998733</v>
      </c>
      <c r="K701">
        <f t="shared" si="13"/>
        <v>0</v>
      </c>
    </row>
    <row r="702" spans="9:11" x14ac:dyDescent="0.2">
      <c r="I702">
        <v>692</v>
      </c>
      <c r="J702" s="4">
        <v>2676279896.4685378</v>
      </c>
      <c r="K702">
        <f t="shared" si="13"/>
        <v>0</v>
      </c>
    </row>
    <row r="703" spans="9:11" x14ac:dyDescent="0.2">
      <c r="I703">
        <v>693</v>
      </c>
      <c r="J703" s="4">
        <v>2829116769.2805552</v>
      </c>
      <c r="K703">
        <f t="shared" si="13"/>
        <v>0</v>
      </c>
    </row>
    <row r="704" spans="9:11" x14ac:dyDescent="0.2">
      <c r="I704">
        <v>694</v>
      </c>
      <c r="J704" s="4">
        <v>2834076177.5096755</v>
      </c>
      <c r="K704">
        <f t="shared" si="13"/>
        <v>0</v>
      </c>
    </row>
    <row r="705" spans="9:11" x14ac:dyDescent="0.2">
      <c r="I705">
        <v>695</v>
      </c>
      <c r="J705" s="4">
        <v>2743789653.5913959</v>
      </c>
      <c r="K705">
        <f t="shared" si="13"/>
        <v>0</v>
      </c>
    </row>
    <row r="706" spans="9:11" x14ac:dyDescent="0.2">
      <c r="I706">
        <v>696</v>
      </c>
      <c r="J706" s="4">
        <v>3214328610.9719224</v>
      </c>
      <c r="K706">
        <f t="shared" si="13"/>
        <v>0</v>
      </c>
    </row>
    <row r="707" spans="9:11" x14ac:dyDescent="0.2">
      <c r="I707">
        <v>697</v>
      </c>
      <c r="J707" s="4">
        <v>2946206469.0662193</v>
      </c>
      <c r="K707">
        <f t="shared" si="13"/>
        <v>0</v>
      </c>
    </row>
    <row r="708" spans="9:11" x14ac:dyDescent="0.2">
      <c r="I708">
        <v>698</v>
      </c>
      <c r="J708" s="4">
        <v>2882437380.9635715</v>
      </c>
      <c r="K708">
        <f t="shared" si="13"/>
        <v>0</v>
      </c>
    </row>
    <row r="709" spans="9:11" x14ac:dyDescent="0.2">
      <c r="I709">
        <v>699</v>
      </c>
      <c r="J709" s="4">
        <v>3056384099.3060417</v>
      </c>
      <c r="K709">
        <f t="shared" si="13"/>
        <v>0</v>
      </c>
    </row>
    <row r="710" spans="9:11" x14ac:dyDescent="0.2">
      <c r="I710">
        <v>700</v>
      </c>
      <c r="J710" s="4">
        <v>3072654668.4482002</v>
      </c>
      <c r="K710">
        <f t="shared" si="13"/>
        <v>0</v>
      </c>
    </row>
    <row r="711" spans="9:11" x14ac:dyDescent="0.2">
      <c r="I711">
        <v>701</v>
      </c>
      <c r="J711" s="4">
        <v>2901017567.3369436</v>
      </c>
      <c r="K711">
        <f t="shared" si="13"/>
        <v>0</v>
      </c>
    </row>
    <row r="712" spans="9:11" x14ac:dyDescent="0.2">
      <c r="I712">
        <v>702</v>
      </c>
      <c r="J712" s="4">
        <v>2856896262.5227551</v>
      </c>
      <c r="K712">
        <f t="shared" si="13"/>
        <v>0</v>
      </c>
    </row>
    <row r="713" spans="9:11" x14ac:dyDescent="0.2">
      <c r="I713">
        <v>703</v>
      </c>
      <c r="J713" s="4">
        <v>3079719632.5636764</v>
      </c>
      <c r="K713">
        <f t="shared" si="13"/>
        <v>0</v>
      </c>
    </row>
    <row r="714" spans="9:11" x14ac:dyDescent="0.2">
      <c r="I714">
        <v>704</v>
      </c>
      <c r="J714" s="4">
        <v>2947789631.6569858</v>
      </c>
      <c r="K714">
        <f t="shared" si="13"/>
        <v>0</v>
      </c>
    </row>
    <row r="715" spans="9:11" x14ac:dyDescent="0.2">
      <c r="I715">
        <v>705</v>
      </c>
      <c r="J715" s="4">
        <v>2852368727.3577466</v>
      </c>
      <c r="K715">
        <f t="shared" si="13"/>
        <v>0</v>
      </c>
    </row>
    <row r="716" spans="9:11" x14ac:dyDescent="0.2">
      <c r="I716">
        <v>706</v>
      </c>
      <c r="J716" s="4">
        <v>3086092131.8554745</v>
      </c>
      <c r="K716">
        <f t="shared" ref="K716:K779" si="14">IF(J716&lt;1700000000,1,0)</f>
        <v>0</v>
      </c>
    </row>
    <row r="717" spans="9:11" x14ac:dyDescent="0.2">
      <c r="I717">
        <v>707</v>
      </c>
      <c r="J717" s="4">
        <v>2616282565.1957264</v>
      </c>
      <c r="K717">
        <f t="shared" si="14"/>
        <v>0</v>
      </c>
    </row>
    <row r="718" spans="9:11" x14ac:dyDescent="0.2">
      <c r="I718">
        <v>708</v>
      </c>
      <c r="J718" s="4">
        <v>2902009129.5733442</v>
      </c>
      <c r="K718">
        <f t="shared" si="14"/>
        <v>0</v>
      </c>
    </row>
    <row r="719" spans="9:11" x14ac:dyDescent="0.2">
      <c r="I719">
        <v>709</v>
      </c>
      <c r="J719" s="4">
        <v>3006565187.2144942</v>
      </c>
      <c r="K719">
        <f t="shared" si="14"/>
        <v>0</v>
      </c>
    </row>
    <row r="720" spans="9:11" x14ac:dyDescent="0.2">
      <c r="I720">
        <v>710</v>
      </c>
      <c r="J720" s="4">
        <v>2663363066.5142994</v>
      </c>
      <c r="K720">
        <f t="shared" si="14"/>
        <v>0</v>
      </c>
    </row>
    <row r="721" spans="9:11" x14ac:dyDescent="0.2">
      <c r="I721">
        <v>711</v>
      </c>
      <c r="J721" s="4">
        <v>2879239609.2619739</v>
      </c>
      <c r="K721">
        <f t="shared" si="14"/>
        <v>0</v>
      </c>
    </row>
    <row r="722" spans="9:11" x14ac:dyDescent="0.2">
      <c r="I722">
        <v>712</v>
      </c>
      <c r="J722" s="4">
        <v>2808537424.0551162</v>
      </c>
      <c r="K722">
        <f t="shared" si="14"/>
        <v>0</v>
      </c>
    </row>
    <row r="723" spans="9:11" x14ac:dyDescent="0.2">
      <c r="I723">
        <v>713</v>
      </c>
      <c r="J723" s="4">
        <v>2726438259.6375027</v>
      </c>
      <c r="K723">
        <f t="shared" si="14"/>
        <v>0</v>
      </c>
    </row>
    <row r="724" spans="9:11" x14ac:dyDescent="0.2">
      <c r="I724">
        <v>714</v>
      </c>
      <c r="J724" s="4">
        <v>2802441829.058856</v>
      </c>
      <c r="K724">
        <f t="shared" si="14"/>
        <v>0</v>
      </c>
    </row>
    <row r="725" spans="9:11" x14ac:dyDescent="0.2">
      <c r="I725">
        <v>715</v>
      </c>
      <c r="J725" s="4">
        <v>2376068757.02279</v>
      </c>
      <c r="K725">
        <f t="shared" si="14"/>
        <v>0</v>
      </c>
    </row>
    <row r="726" spans="9:11" x14ac:dyDescent="0.2">
      <c r="I726">
        <v>716</v>
      </c>
      <c r="J726" s="4">
        <v>2850374321.2308965</v>
      </c>
      <c r="K726">
        <f t="shared" si="14"/>
        <v>0</v>
      </c>
    </row>
    <row r="727" spans="9:11" x14ac:dyDescent="0.2">
      <c r="I727">
        <v>717</v>
      </c>
      <c r="J727" s="4">
        <v>2847419935.3125</v>
      </c>
      <c r="K727">
        <f t="shared" si="14"/>
        <v>0</v>
      </c>
    </row>
    <row r="728" spans="9:11" x14ac:dyDescent="0.2">
      <c r="I728">
        <v>718</v>
      </c>
      <c r="J728" s="4">
        <v>2970380228.4100709</v>
      </c>
      <c r="K728">
        <f t="shared" si="14"/>
        <v>0</v>
      </c>
    </row>
    <row r="729" spans="9:11" x14ac:dyDescent="0.2">
      <c r="I729">
        <v>719</v>
      </c>
      <c r="J729" s="4">
        <v>2774024778.3553858</v>
      </c>
      <c r="K729">
        <f t="shared" si="14"/>
        <v>0</v>
      </c>
    </row>
    <row r="730" spans="9:11" x14ac:dyDescent="0.2">
      <c r="I730">
        <v>720</v>
      </c>
      <c r="J730" s="4">
        <v>2935699803.4411068</v>
      </c>
      <c r="K730">
        <f t="shared" si="14"/>
        <v>0</v>
      </c>
    </row>
    <row r="731" spans="9:11" x14ac:dyDescent="0.2">
      <c r="I731">
        <v>721</v>
      </c>
      <c r="J731" s="4">
        <v>2939621167.2614493</v>
      </c>
      <c r="K731">
        <f t="shared" si="14"/>
        <v>0</v>
      </c>
    </row>
    <row r="732" spans="9:11" x14ac:dyDescent="0.2">
      <c r="I732">
        <v>722</v>
      </c>
      <c r="J732" s="4">
        <v>3054072504.7663202</v>
      </c>
      <c r="K732">
        <f t="shared" si="14"/>
        <v>0</v>
      </c>
    </row>
    <row r="733" spans="9:11" x14ac:dyDescent="0.2">
      <c r="I733">
        <v>723</v>
      </c>
      <c r="J733" s="4">
        <v>2966131457.2021337</v>
      </c>
      <c r="K733">
        <f t="shared" si="14"/>
        <v>0</v>
      </c>
    </row>
    <row r="734" spans="9:11" x14ac:dyDescent="0.2">
      <c r="I734">
        <v>724</v>
      </c>
      <c r="J734" s="4">
        <v>2911140832.4810514</v>
      </c>
      <c r="K734">
        <f t="shared" si="14"/>
        <v>0</v>
      </c>
    </row>
    <row r="735" spans="9:11" x14ac:dyDescent="0.2">
      <c r="I735">
        <v>725</v>
      </c>
      <c r="J735" s="4">
        <v>2724000795.5583596</v>
      </c>
      <c r="K735">
        <f t="shared" si="14"/>
        <v>0</v>
      </c>
    </row>
    <row r="736" spans="9:11" x14ac:dyDescent="0.2">
      <c r="I736">
        <v>726</v>
      </c>
      <c r="J736" s="4">
        <v>2993793050.8718925</v>
      </c>
      <c r="K736">
        <f t="shared" si="14"/>
        <v>0</v>
      </c>
    </row>
    <row r="737" spans="9:11" x14ac:dyDescent="0.2">
      <c r="I737">
        <v>727</v>
      </c>
      <c r="J737" s="4">
        <v>3110937205.8125563</v>
      </c>
      <c r="K737">
        <f t="shared" si="14"/>
        <v>0</v>
      </c>
    </row>
    <row r="738" spans="9:11" x14ac:dyDescent="0.2">
      <c r="I738">
        <v>728</v>
      </c>
      <c r="J738" s="4">
        <v>2688664121.2182078</v>
      </c>
      <c r="K738">
        <f t="shared" si="14"/>
        <v>0</v>
      </c>
    </row>
    <row r="739" spans="9:11" x14ac:dyDescent="0.2">
      <c r="I739">
        <v>729</v>
      </c>
      <c r="J739" s="4">
        <v>2767067009.6552896</v>
      </c>
      <c r="K739">
        <f t="shared" si="14"/>
        <v>0</v>
      </c>
    </row>
    <row r="740" spans="9:11" x14ac:dyDescent="0.2">
      <c r="I740">
        <v>730</v>
      </c>
      <c r="J740" s="4">
        <v>2881739345.4508233</v>
      </c>
      <c r="K740">
        <f t="shared" si="14"/>
        <v>0</v>
      </c>
    </row>
    <row r="741" spans="9:11" x14ac:dyDescent="0.2">
      <c r="I741">
        <v>731</v>
      </c>
      <c r="J741" s="4">
        <v>2945642842.8922253</v>
      </c>
      <c r="K741">
        <f t="shared" si="14"/>
        <v>0</v>
      </c>
    </row>
    <row r="742" spans="9:11" x14ac:dyDescent="0.2">
      <c r="I742">
        <v>732</v>
      </c>
      <c r="J742" s="4">
        <v>2863227593.9699664</v>
      </c>
      <c r="K742">
        <f t="shared" si="14"/>
        <v>0</v>
      </c>
    </row>
    <row r="743" spans="9:11" x14ac:dyDescent="0.2">
      <c r="I743">
        <v>733</v>
      </c>
      <c r="J743" s="4">
        <v>2990398606.594965</v>
      </c>
      <c r="K743">
        <f t="shared" si="14"/>
        <v>0</v>
      </c>
    </row>
    <row r="744" spans="9:11" x14ac:dyDescent="0.2">
      <c r="I744">
        <v>734</v>
      </c>
      <c r="J744" s="4">
        <v>2922600479.0868731</v>
      </c>
      <c r="K744">
        <f t="shared" si="14"/>
        <v>0</v>
      </c>
    </row>
    <row r="745" spans="9:11" x14ac:dyDescent="0.2">
      <c r="I745">
        <v>735</v>
      </c>
      <c r="J745" s="4">
        <v>3034896021.914957</v>
      </c>
      <c r="K745">
        <f t="shared" si="14"/>
        <v>0</v>
      </c>
    </row>
    <row r="746" spans="9:11" x14ac:dyDescent="0.2">
      <c r="I746">
        <v>736</v>
      </c>
      <c r="J746" s="4">
        <v>3015552991.8932629</v>
      </c>
      <c r="K746">
        <f t="shared" si="14"/>
        <v>0</v>
      </c>
    </row>
    <row r="747" spans="9:11" x14ac:dyDescent="0.2">
      <c r="I747">
        <v>737</v>
      </c>
      <c r="J747" s="4">
        <v>3212308166.4413013</v>
      </c>
      <c r="K747">
        <f t="shared" si="14"/>
        <v>0</v>
      </c>
    </row>
    <row r="748" spans="9:11" x14ac:dyDescent="0.2">
      <c r="I748">
        <v>738</v>
      </c>
      <c r="J748" s="4">
        <v>2910776684.5441089</v>
      </c>
      <c r="K748">
        <f t="shared" si="14"/>
        <v>0</v>
      </c>
    </row>
    <row r="749" spans="9:11" x14ac:dyDescent="0.2">
      <c r="I749">
        <v>739</v>
      </c>
      <c r="J749" s="4">
        <v>2666536663.5073676</v>
      </c>
      <c r="K749">
        <f t="shared" si="14"/>
        <v>0</v>
      </c>
    </row>
    <row r="750" spans="9:11" x14ac:dyDescent="0.2">
      <c r="I750">
        <v>740</v>
      </c>
      <c r="J750" s="4">
        <v>2995098872.6827168</v>
      </c>
      <c r="K750">
        <f t="shared" si="14"/>
        <v>0</v>
      </c>
    </row>
    <row r="751" spans="9:11" x14ac:dyDescent="0.2">
      <c r="I751">
        <v>741</v>
      </c>
      <c r="J751" s="4">
        <v>2787884072.1953301</v>
      </c>
      <c r="K751">
        <f t="shared" si="14"/>
        <v>0</v>
      </c>
    </row>
    <row r="752" spans="9:11" x14ac:dyDescent="0.2">
      <c r="I752">
        <v>742</v>
      </c>
      <c r="J752" s="4">
        <v>3178757451.7500191</v>
      </c>
      <c r="K752">
        <f t="shared" si="14"/>
        <v>0</v>
      </c>
    </row>
    <row r="753" spans="9:11" x14ac:dyDescent="0.2">
      <c r="I753">
        <v>743</v>
      </c>
      <c r="J753" s="4">
        <v>2934618656.5381823</v>
      </c>
      <c r="K753">
        <f t="shared" si="14"/>
        <v>0</v>
      </c>
    </row>
    <row r="754" spans="9:11" x14ac:dyDescent="0.2">
      <c r="I754">
        <v>744</v>
      </c>
      <c r="J754" s="4">
        <v>3025591677.6155639</v>
      </c>
      <c r="K754">
        <f t="shared" si="14"/>
        <v>0</v>
      </c>
    </row>
    <row r="755" spans="9:11" x14ac:dyDescent="0.2">
      <c r="I755">
        <v>745</v>
      </c>
      <c r="J755" s="4">
        <v>2806205877.0659194</v>
      </c>
      <c r="K755">
        <f t="shared" si="14"/>
        <v>0</v>
      </c>
    </row>
    <row r="756" spans="9:11" x14ac:dyDescent="0.2">
      <c r="I756">
        <v>746</v>
      </c>
      <c r="J756" s="4">
        <v>2997049101.1667552</v>
      </c>
      <c r="K756">
        <f t="shared" si="14"/>
        <v>0</v>
      </c>
    </row>
    <row r="757" spans="9:11" x14ac:dyDescent="0.2">
      <c r="I757">
        <v>747</v>
      </c>
      <c r="J757" s="4">
        <v>2769833309.7297735</v>
      </c>
      <c r="K757">
        <f t="shared" si="14"/>
        <v>0</v>
      </c>
    </row>
    <row r="758" spans="9:11" x14ac:dyDescent="0.2">
      <c r="I758">
        <v>748</v>
      </c>
      <c r="J758" s="4">
        <v>2952187881.6708879</v>
      </c>
      <c r="K758">
        <f t="shared" si="14"/>
        <v>0</v>
      </c>
    </row>
    <row r="759" spans="9:11" x14ac:dyDescent="0.2">
      <c r="I759">
        <v>749</v>
      </c>
      <c r="J759" s="4">
        <v>3172638822.5978622</v>
      </c>
      <c r="K759">
        <f t="shared" si="14"/>
        <v>0</v>
      </c>
    </row>
    <row r="760" spans="9:11" x14ac:dyDescent="0.2">
      <c r="I760">
        <v>750</v>
      </c>
      <c r="J760" s="4">
        <v>2727864750.5223231</v>
      </c>
      <c r="K760">
        <f t="shared" si="14"/>
        <v>0</v>
      </c>
    </row>
    <row r="761" spans="9:11" x14ac:dyDescent="0.2">
      <c r="I761">
        <v>751</v>
      </c>
      <c r="J761" s="4">
        <v>2865503092.8994088</v>
      </c>
      <c r="K761">
        <f t="shared" si="14"/>
        <v>0</v>
      </c>
    </row>
    <row r="762" spans="9:11" x14ac:dyDescent="0.2">
      <c r="I762">
        <v>752</v>
      </c>
      <c r="J762" s="4">
        <v>2812988003.1949925</v>
      </c>
      <c r="K762">
        <f t="shared" si="14"/>
        <v>0</v>
      </c>
    </row>
    <row r="763" spans="9:11" x14ac:dyDescent="0.2">
      <c r="I763">
        <v>753</v>
      </c>
      <c r="J763" s="4">
        <v>2809887406.6952462</v>
      </c>
      <c r="K763">
        <f t="shared" si="14"/>
        <v>0</v>
      </c>
    </row>
    <row r="764" spans="9:11" x14ac:dyDescent="0.2">
      <c r="I764">
        <v>754</v>
      </c>
      <c r="J764" s="4">
        <v>3261842436.5802431</v>
      </c>
      <c r="K764">
        <f t="shared" si="14"/>
        <v>0</v>
      </c>
    </row>
    <row r="765" spans="9:11" x14ac:dyDescent="0.2">
      <c r="I765">
        <v>755</v>
      </c>
      <c r="J765" s="4">
        <v>3138405261.2742929</v>
      </c>
      <c r="K765">
        <f t="shared" si="14"/>
        <v>0</v>
      </c>
    </row>
    <row r="766" spans="9:11" x14ac:dyDescent="0.2">
      <c r="I766">
        <v>756</v>
      </c>
      <c r="J766" s="4">
        <v>2943393974.9238257</v>
      </c>
      <c r="K766">
        <f t="shared" si="14"/>
        <v>0</v>
      </c>
    </row>
    <row r="767" spans="9:11" x14ac:dyDescent="0.2">
      <c r="I767">
        <v>757</v>
      </c>
      <c r="J767" s="4">
        <v>2525850290.3862395</v>
      </c>
      <c r="K767">
        <f t="shared" si="14"/>
        <v>0</v>
      </c>
    </row>
    <row r="768" spans="9:11" x14ac:dyDescent="0.2">
      <c r="I768">
        <v>758</v>
      </c>
      <c r="J768" s="4">
        <v>2806046227.1375036</v>
      </c>
      <c r="K768">
        <f t="shared" si="14"/>
        <v>0</v>
      </c>
    </row>
    <row r="769" spans="9:11" x14ac:dyDescent="0.2">
      <c r="I769">
        <v>759</v>
      </c>
      <c r="J769" s="4">
        <v>3002859610.7883511</v>
      </c>
      <c r="K769">
        <f t="shared" si="14"/>
        <v>0</v>
      </c>
    </row>
    <row r="770" spans="9:11" x14ac:dyDescent="0.2">
      <c r="I770">
        <v>760</v>
      </c>
      <c r="J770" s="4">
        <v>2852287618.2877593</v>
      </c>
      <c r="K770">
        <f t="shared" si="14"/>
        <v>0</v>
      </c>
    </row>
    <row r="771" spans="9:11" x14ac:dyDescent="0.2">
      <c r="I771">
        <v>761</v>
      </c>
      <c r="J771" s="4">
        <v>2860199793.5981922</v>
      </c>
      <c r="K771">
        <f t="shared" si="14"/>
        <v>0</v>
      </c>
    </row>
    <row r="772" spans="9:11" x14ac:dyDescent="0.2">
      <c r="I772">
        <v>762</v>
      </c>
      <c r="J772" s="4">
        <v>3202577101.6413507</v>
      </c>
      <c r="K772">
        <f t="shared" si="14"/>
        <v>0</v>
      </c>
    </row>
    <row r="773" spans="9:11" x14ac:dyDescent="0.2">
      <c r="I773">
        <v>763</v>
      </c>
      <c r="J773" s="4">
        <v>3301487440.571064</v>
      </c>
      <c r="K773">
        <f t="shared" si="14"/>
        <v>0</v>
      </c>
    </row>
    <row r="774" spans="9:11" x14ac:dyDescent="0.2">
      <c r="I774">
        <v>764</v>
      </c>
      <c r="J774" s="4">
        <v>2980527798.883009</v>
      </c>
      <c r="K774">
        <f t="shared" si="14"/>
        <v>0</v>
      </c>
    </row>
    <row r="775" spans="9:11" x14ac:dyDescent="0.2">
      <c r="I775">
        <v>765</v>
      </c>
      <c r="J775" s="4">
        <v>2597539914.3957558</v>
      </c>
      <c r="K775">
        <f t="shared" si="14"/>
        <v>0</v>
      </c>
    </row>
    <row r="776" spans="9:11" x14ac:dyDescent="0.2">
      <c r="I776">
        <v>766</v>
      </c>
      <c r="J776" s="4">
        <v>2845870442.6107907</v>
      </c>
      <c r="K776">
        <f t="shared" si="14"/>
        <v>0</v>
      </c>
    </row>
    <row r="777" spans="9:11" x14ac:dyDescent="0.2">
      <c r="I777">
        <v>767</v>
      </c>
      <c r="J777" s="4">
        <v>3325610914.5801873</v>
      </c>
      <c r="K777">
        <f t="shared" si="14"/>
        <v>0</v>
      </c>
    </row>
    <row r="778" spans="9:11" x14ac:dyDescent="0.2">
      <c r="I778">
        <v>768</v>
      </c>
      <c r="J778" s="4">
        <v>3105006447.7718377</v>
      </c>
      <c r="K778">
        <f t="shared" si="14"/>
        <v>0</v>
      </c>
    </row>
    <row r="779" spans="9:11" x14ac:dyDescent="0.2">
      <c r="I779">
        <v>769</v>
      </c>
      <c r="J779" s="4">
        <v>3254905453.3306475</v>
      </c>
      <c r="K779">
        <f t="shared" si="14"/>
        <v>0</v>
      </c>
    </row>
    <row r="780" spans="9:11" x14ac:dyDescent="0.2">
      <c r="I780">
        <v>770</v>
      </c>
      <c r="J780" s="4">
        <v>2896064240.206408</v>
      </c>
      <c r="K780">
        <f t="shared" ref="K780:K843" si="15">IF(J780&lt;1700000000,1,0)</f>
        <v>0</v>
      </c>
    </row>
    <row r="781" spans="9:11" x14ac:dyDescent="0.2">
      <c r="I781">
        <v>771</v>
      </c>
      <c r="J781" s="4">
        <v>2765341696.1762767</v>
      </c>
      <c r="K781">
        <f t="shared" si="15"/>
        <v>0</v>
      </c>
    </row>
    <row r="782" spans="9:11" x14ac:dyDescent="0.2">
      <c r="I782">
        <v>772</v>
      </c>
      <c r="J782" s="4">
        <v>2752595351.7077579</v>
      </c>
      <c r="K782">
        <f t="shared" si="15"/>
        <v>0</v>
      </c>
    </row>
    <row r="783" spans="9:11" x14ac:dyDescent="0.2">
      <c r="I783">
        <v>773</v>
      </c>
      <c r="J783" s="4">
        <v>2904338846.3869405</v>
      </c>
      <c r="K783">
        <f t="shared" si="15"/>
        <v>0</v>
      </c>
    </row>
    <row r="784" spans="9:11" x14ac:dyDescent="0.2">
      <c r="I784">
        <v>774</v>
      </c>
      <c r="J784" s="4">
        <v>3019844187.2414918</v>
      </c>
      <c r="K784">
        <f t="shared" si="15"/>
        <v>0</v>
      </c>
    </row>
    <row r="785" spans="9:11" x14ac:dyDescent="0.2">
      <c r="I785">
        <v>775</v>
      </c>
      <c r="J785" s="4">
        <v>2906382345.1361589</v>
      </c>
      <c r="K785">
        <f t="shared" si="15"/>
        <v>0</v>
      </c>
    </row>
    <row r="786" spans="9:11" x14ac:dyDescent="0.2">
      <c r="I786">
        <v>776</v>
      </c>
      <c r="J786" s="4">
        <v>2868992462.4619117</v>
      </c>
      <c r="K786">
        <f t="shared" si="15"/>
        <v>0</v>
      </c>
    </row>
    <row r="787" spans="9:11" x14ac:dyDescent="0.2">
      <c r="I787">
        <v>777</v>
      </c>
      <c r="J787" s="4">
        <v>3152773619.2672</v>
      </c>
      <c r="K787">
        <f t="shared" si="15"/>
        <v>0</v>
      </c>
    </row>
    <row r="788" spans="9:11" x14ac:dyDescent="0.2">
      <c r="I788">
        <v>778</v>
      </c>
      <c r="J788" s="4">
        <v>3211297208.562211</v>
      </c>
      <c r="K788">
        <f t="shared" si="15"/>
        <v>0</v>
      </c>
    </row>
    <row r="789" spans="9:11" x14ac:dyDescent="0.2">
      <c r="I789">
        <v>779</v>
      </c>
      <c r="J789" s="4">
        <v>2736435243.0126762</v>
      </c>
      <c r="K789">
        <f t="shared" si="15"/>
        <v>0</v>
      </c>
    </row>
    <row r="790" spans="9:11" x14ac:dyDescent="0.2">
      <c r="I790">
        <v>780</v>
      </c>
      <c r="J790" s="4">
        <v>3125711777.6787133</v>
      </c>
      <c r="K790">
        <f t="shared" si="15"/>
        <v>0</v>
      </c>
    </row>
    <row r="791" spans="9:11" x14ac:dyDescent="0.2">
      <c r="I791">
        <v>781</v>
      </c>
      <c r="J791" s="4">
        <v>2975556019.0245156</v>
      </c>
      <c r="K791">
        <f t="shared" si="15"/>
        <v>0</v>
      </c>
    </row>
    <row r="792" spans="9:11" x14ac:dyDescent="0.2">
      <c r="I792">
        <v>782</v>
      </c>
      <c r="J792" s="4">
        <v>3127350459.222393</v>
      </c>
      <c r="K792">
        <f t="shared" si="15"/>
        <v>0</v>
      </c>
    </row>
    <row r="793" spans="9:11" x14ac:dyDescent="0.2">
      <c r="I793">
        <v>783</v>
      </c>
      <c r="J793" s="4">
        <v>2800739866.8034806</v>
      </c>
      <c r="K793">
        <f t="shared" si="15"/>
        <v>0</v>
      </c>
    </row>
    <row r="794" spans="9:11" x14ac:dyDescent="0.2">
      <c r="I794">
        <v>784</v>
      </c>
      <c r="J794" s="4">
        <v>3122620291.6485529</v>
      </c>
      <c r="K794">
        <f t="shared" si="15"/>
        <v>0</v>
      </c>
    </row>
    <row r="795" spans="9:11" x14ac:dyDescent="0.2">
      <c r="I795">
        <v>785</v>
      </c>
      <c r="J795" s="4">
        <v>3028153506.8435826</v>
      </c>
      <c r="K795">
        <f t="shared" si="15"/>
        <v>0</v>
      </c>
    </row>
    <row r="796" spans="9:11" x14ac:dyDescent="0.2">
      <c r="I796">
        <v>786</v>
      </c>
      <c r="J796" s="4">
        <v>3047517306.2155089</v>
      </c>
      <c r="K796">
        <f t="shared" si="15"/>
        <v>0</v>
      </c>
    </row>
    <row r="797" spans="9:11" x14ac:dyDescent="0.2">
      <c r="I797">
        <v>787</v>
      </c>
      <c r="J797" s="4">
        <v>2904077509.8628163</v>
      </c>
      <c r="K797">
        <f t="shared" si="15"/>
        <v>0</v>
      </c>
    </row>
    <row r="798" spans="9:11" x14ac:dyDescent="0.2">
      <c r="I798">
        <v>788</v>
      </c>
      <c r="J798" s="4">
        <v>2991073878.8244224</v>
      </c>
      <c r="K798">
        <f t="shared" si="15"/>
        <v>0</v>
      </c>
    </row>
    <row r="799" spans="9:11" x14ac:dyDescent="0.2">
      <c r="I799">
        <v>789</v>
      </c>
      <c r="J799" s="4">
        <v>2950000443.1554661</v>
      </c>
      <c r="K799">
        <f t="shared" si="15"/>
        <v>0</v>
      </c>
    </row>
    <row r="800" spans="9:11" x14ac:dyDescent="0.2">
      <c r="I800">
        <v>790</v>
      </c>
      <c r="J800" s="4">
        <v>3002192647.295114</v>
      </c>
      <c r="K800">
        <f t="shared" si="15"/>
        <v>0</v>
      </c>
    </row>
    <row r="801" spans="9:11" x14ac:dyDescent="0.2">
      <c r="I801">
        <v>791</v>
      </c>
      <c r="J801" s="4">
        <v>3006469334.8404922</v>
      </c>
      <c r="K801">
        <f t="shared" si="15"/>
        <v>0</v>
      </c>
    </row>
    <row r="802" spans="9:11" x14ac:dyDescent="0.2">
      <c r="I802">
        <v>792</v>
      </c>
      <c r="J802" s="4">
        <v>3035522781.981627</v>
      </c>
      <c r="K802">
        <f t="shared" si="15"/>
        <v>0</v>
      </c>
    </row>
    <row r="803" spans="9:11" x14ac:dyDescent="0.2">
      <c r="I803">
        <v>793</v>
      </c>
      <c r="J803" s="4">
        <v>2997424896.1763587</v>
      </c>
      <c r="K803">
        <f t="shared" si="15"/>
        <v>0</v>
      </c>
    </row>
    <row r="804" spans="9:11" x14ac:dyDescent="0.2">
      <c r="I804">
        <v>794</v>
      </c>
      <c r="J804" s="4">
        <v>3151541902.8845224</v>
      </c>
      <c r="K804">
        <f t="shared" si="15"/>
        <v>0</v>
      </c>
    </row>
    <row r="805" spans="9:11" x14ac:dyDescent="0.2">
      <c r="I805">
        <v>795</v>
      </c>
      <c r="J805" s="4">
        <v>2834885559.6004663</v>
      </c>
      <c r="K805">
        <f t="shared" si="15"/>
        <v>0</v>
      </c>
    </row>
    <row r="806" spans="9:11" x14ac:dyDescent="0.2">
      <c r="I806">
        <v>796</v>
      </c>
      <c r="J806" s="4">
        <v>2956993465.2462277</v>
      </c>
      <c r="K806">
        <f t="shared" si="15"/>
        <v>0</v>
      </c>
    </row>
    <row r="807" spans="9:11" x14ac:dyDescent="0.2">
      <c r="I807">
        <v>797</v>
      </c>
      <c r="J807" s="4">
        <v>3043462203.6938057</v>
      </c>
      <c r="K807">
        <f t="shared" si="15"/>
        <v>0</v>
      </c>
    </row>
    <row r="808" spans="9:11" x14ac:dyDescent="0.2">
      <c r="I808">
        <v>798</v>
      </c>
      <c r="J808" s="4">
        <v>2898819876.2478881</v>
      </c>
      <c r="K808">
        <f t="shared" si="15"/>
        <v>0</v>
      </c>
    </row>
    <row r="809" spans="9:11" x14ac:dyDescent="0.2">
      <c r="I809">
        <v>799</v>
      </c>
      <c r="J809" s="4">
        <v>2960223878.3458724</v>
      </c>
      <c r="K809">
        <f t="shared" si="15"/>
        <v>0</v>
      </c>
    </row>
    <row r="810" spans="9:11" x14ac:dyDescent="0.2">
      <c r="I810">
        <v>800</v>
      </c>
      <c r="J810" s="4">
        <v>2896376982.4616537</v>
      </c>
      <c r="K810">
        <f t="shared" si="15"/>
        <v>0</v>
      </c>
    </row>
    <row r="811" spans="9:11" x14ac:dyDescent="0.2">
      <c r="I811">
        <v>801</v>
      </c>
      <c r="J811" s="4">
        <v>3231355424.8993297</v>
      </c>
      <c r="K811">
        <f t="shared" si="15"/>
        <v>0</v>
      </c>
    </row>
    <row r="812" spans="9:11" x14ac:dyDescent="0.2">
      <c r="I812">
        <v>802</v>
      </c>
      <c r="J812" s="4">
        <v>2715064185.008503</v>
      </c>
      <c r="K812">
        <f t="shared" si="15"/>
        <v>0</v>
      </c>
    </row>
    <row r="813" spans="9:11" x14ac:dyDescent="0.2">
      <c r="I813">
        <v>803</v>
      </c>
      <c r="J813" s="4">
        <v>2915187604.1559062</v>
      </c>
      <c r="K813">
        <f t="shared" si="15"/>
        <v>0</v>
      </c>
    </row>
    <row r="814" spans="9:11" x14ac:dyDescent="0.2">
      <c r="I814">
        <v>804</v>
      </c>
      <c r="J814" s="4">
        <v>2680327393.945621</v>
      </c>
      <c r="K814">
        <f t="shared" si="15"/>
        <v>0</v>
      </c>
    </row>
    <row r="815" spans="9:11" x14ac:dyDescent="0.2">
      <c r="I815">
        <v>805</v>
      </c>
      <c r="J815" s="4">
        <v>2935183604.0818982</v>
      </c>
      <c r="K815">
        <f t="shared" si="15"/>
        <v>0</v>
      </c>
    </row>
    <row r="816" spans="9:11" x14ac:dyDescent="0.2">
      <c r="I816">
        <v>806</v>
      </c>
      <c r="J816" s="4">
        <v>3156412933.1933975</v>
      </c>
      <c r="K816">
        <f t="shared" si="15"/>
        <v>0</v>
      </c>
    </row>
    <row r="817" spans="9:11" x14ac:dyDescent="0.2">
      <c r="I817">
        <v>807</v>
      </c>
      <c r="J817" s="4">
        <v>2968521711.0794125</v>
      </c>
      <c r="K817">
        <f t="shared" si="15"/>
        <v>0</v>
      </c>
    </row>
    <row r="818" spans="9:11" x14ac:dyDescent="0.2">
      <c r="I818">
        <v>808</v>
      </c>
      <c r="J818" s="4">
        <v>3000491924.721077</v>
      </c>
      <c r="K818">
        <f t="shared" si="15"/>
        <v>0</v>
      </c>
    </row>
    <row r="819" spans="9:11" x14ac:dyDescent="0.2">
      <c r="I819">
        <v>809</v>
      </c>
      <c r="J819" s="4">
        <v>3127723370.2020636</v>
      </c>
      <c r="K819">
        <f t="shared" si="15"/>
        <v>0</v>
      </c>
    </row>
    <row r="820" spans="9:11" x14ac:dyDescent="0.2">
      <c r="I820">
        <v>810</v>
      </c>
      <c r="J820" s="4">
        <v>2893491811.7103024</v>
      </c>
      <c r="K820">
        <f t="shared" si="15"/>
        <v>0</v>
      </c>
    </row>
    <row r="821" spans="9:11" x14ac:dyDescent="0.2">
      <c r="I821">
        <v>811</v>
      </c>
      <c r="J821" s="4">
        <v>3067234913.6067743</v>
      </c>
      <c r="K821">
        <f t="shared" si="15"/>
        <v>0</v>
      </c>
    </row>
    <row r="822" spans="9:11" x14ac:dyDescent="0.2">
      <c r="I822">
        <v>812</v>
      </c>
      <c r="J822" s="4">
        <v>3084037371.0801806</v>
      </c>
      <c r="K822">
        <f t="shared" si="15"/>
        <v>0</v>
      </c>
    </row>
    <row r="823" spans="9:11" x14ac:dyDescent="0.2">
      <c r="I823">
        <v>813</v>
      </c>
      <c r="J823" s="4">
        <v>2677322564.9978375</v>
      </c>
      <c r="K823">
        <f t="shared" si="15"/>
        <v>0</v>
      </c>
    </row>
    <row r="824" spans="9:11" x14ac:dyDescent="0.2">
      <c r="I824">
        <v>814</v>
      </c>
      <c r="J824" s="4">
        <v>3053407988.5488911</v>
      </c>
      <c r="K824">
        <f t="shared" si="15"/>
        <v>0</v>
      </c>
    </row>
    <row r="825" spans="9:11" x14ac:dyDescent="0.2">
      <c r="I825">
        <v>815</v>
      </c>
      <c r="J825" s="4">
        <v>3072231228.1879644</v>
      </c>
      <c r="K825">
        <f t="shared" si="15"/>
        <v>0</v>
      </c>
    </row>
    <row r="826" spans="9:11" x14ac:dyDescent="0.2">
      <c r="I826">
        <v>816</v>
      </c>
      <c r="J826" s="4">
        <v>2792892098.9653125</v>
      </c>
      <c r="K826">
        <f t="shared" si="15"/>
        <v>0</v>
      </c>
    </row>
    <row r="827" spans="9:11" x14ac:dyDescent="0.2">
      <c r="I827">
        <v>817</v>
      </c>
      <c r="J827" s="4">
        <v>2865460351.9166198</v>
      </c>
      <c r="K827">
        <f t="shared" si="15"/>
        <v>0</v>
      </c>
    </row>
    <row r="828" spans="9:11" x14ac:dyDescent="0.2">
      <c r="I828">
        <v>818</v>
      </c>
      <c r="J828" s="4">
        <v>3057392394.8179083</v>
      </c>
      <c r="K828">
        <f t="shared" si="15"/>
        <v>0</v>
      </c>
    </row>
    <row r="829" spans="9:11" x14ac:dyDescent="0.2">
      <c r="I829">
        <v>819</v>
      </c>
      <c r="J829" s="4">
        <v>3206828960.4312239</v>
      </c>
      <c r="K829">
        <f t="shared" si="15"/>
        <v>0</v>
      </c>
    </row>
    <row r="830" spans="9:11" x14ac:dyDescent="0.2">
      <c r="I830">
        <v>820</v>
      </c>
      <c r="J830" s="4">
        <v>3187900648.1088591</v>
      </c>
      <c r="K830">
        <f t="shared" si="15"/>
        <v>0</v>
      </c>
    </row>
    <row r="831" spans="9:11" x14ac:dyDescent="0.2">
      <c r="I831">
        <v>821</v>
      </c>
      <c r="J831" s="4">
        <v>3039752489.6542063</v>
      </c>
      <c r="K831">
        <f t="shared" si="15"/>
        <v>0</v>
      </c>
    </row>
    <row r="832" spans="9:11" x14ac:dyDescent="0.2">
      <c r="I832">
        <v>822</v>
      </c>
      <c r="J832" s="4">
        <v>2984723801.5297441</v>
      </c>
      <c r="K832">
        <f t="shared" si="15"/>
        <v>0</v>
      </c>
    </row>
    <row r="833" spans="9:11" x14ac:dyDescent="0.2">
      <c r="I833">
        <v>823</v>
      </c>
      <c r="J833" s="4">
        <v>2940787382.1604748</v>
      </c>
      <c r="K833">
        <f t="shared" si="15"/>
        <v>0</v>
      </c>
    </row>
    <row r="834" spans="9:11" x14ac:dyDescent="0.2">
      <c r="I834">
        <v>824</v>
      </c>
      <c r="J834" s="4">
        <v>3140200715.2866535</v>
      </c>
      <c r="K834">
        <f t="shared" si="15"/>
        <v>0</v>
      </c>
    </row>
    <row r="835" spans="9:11" x14ac:dyDescent="0.2">
      <c r="I835">
        <v>825</v>
      </c>
      <c r="J835" s="4">
        <v>2793561507.3599558</v>
      </c>
      <c r="K835">
        <f t="shared" si="15"/>
        <v>0</v>
      </c>
    </row>
    <row r="836" spans="9:11" x14ac:dyDescent="0.2">
      <c r="I836">
        <v>826</v>
      </c>
      <c r="J836" s="4">
        <v>2918470697.1540728</v>
      </c>
      <c r="K836">
        <f t="shared" si="15"/>
        <v>0</v>
      </c>
    </row>
    <row r="837" spans="9:11" x14ac:dyDescent="0.2">
      <c r="I837">
        <v>827</v>
      </c>
      <c r="J837" s="4">
        <v>2964246918.4261746</v>
      </c>
      <c r="K837">
        <f t="shared" si="15"/>
        <v>0</v>
      </c>
    </row>
    <row r="838" spans="9:11" x14ac:dyDescent="0.2">
      <c r="I838">
        <v>828</v>
      </c>
      <c r="J838" s="4">
        <v>2960831017.9526753</v>
      </c>
      <c r="K838">
        <f t="shared" si="15"/>
        <v>0</v>
      </c>
    </row>
    <row r="839" spans="9:11" x14ac:dyDescent="0.2">
      <c r="I839">
        <v>829</v>
      </c>
      <c r="J839" s="4">
        <v>2907426653.219408</v>
      </c>
      <c r="K839">
        <f t="shared" si="15"/>
        <v>0</v>
      </c>
    </row>
    <row r="840" spans="9:11" x14ac:dyDescent="0.2">
      <c r="I840">
        <v>830</v>
      </c>
      <c r="J840" s="4">
        <v>2752249326.4964833</v>
      </c>
      <c r="K840">
        <f t="shared" si="15"/>
        <v>0</v>
      </c>
    </row>
    <row r="841" spans="9:11" x14ac:dyDescent="0.2">
      <c r="I841">
        <v>831</v>
      </c>
      <c r="J841" s="4">
        <v>2757256852.8852391</v>
      </c>
      <c r="K841">
        <f t="shared" si="15"/>
        <v>0</v>
      </c>
    </row>
    <row r="842" spans="9:11" x14ac:dyDescent="0.2">
      <c r="I842">
        <v>832</v>
      </c>
      <c r="J842" s="4">
        <v>3020690727.8988581</v>
      </c>
      <c r="K842">
        <f t="shared" si="15"/>
        <v>0</v>
      </c>
    </row>
    <row r="843" spans="9:11" x14ac:dyDescent="0.2">
      <c r="I843">
        <v>833</v>
      </c>
      <c r="J843" s="4">
        <v>2805448495.1371598</v>
      </c>
      <c r="K843">
        <f t="shared" si="15"/>
        <v>0</v>
      </c>
    </row>
    <row r="844" spans="9:11" x14ac:dyDescent="0.2">
      <c r="I844">
        <v>834</v>
      </c>
      <c r="J844" s="4">
        <v>2848841097.7568083</v>
      </c>
      <c r="K844">
        <f t="shared" ref="K844:K907" si="16">IF(J844&lt;1700000000,1,0)</f>
        <v>0</v>
      </c>
    </row>
    <row r="845" spans="9:11" x14ac:dyDescent="0.2">
      <c r="I845">
        <v>835</v>
      </c>
      <c r="J845" s="4">
        <v>3162191802.6230884</v>
      </c>
      <c r="K845">
        <f t="shared" si="16"/>
        <v>0</v>
      </c>
    </row>
    <row r="846" spans="9:11" x14ac:dyDescent="0.2">
      <c r="I846">
        <v>836</v>
      </c>
      <c r="J846" s="4">
        <v>2851735104.1910362</v>
      </c>
      <c r="K846">
        <f t="shared" si="16"/>
        <v>0</v>
      </c>
    </row>
    <row r="847" spans="9:11" x14ac:dyDescent="0.2">
      <c r="I847">
        <v>837</v>
      </c>
      <c r="J847" s="4">
        <v>2945094166.9069757</v>
      </c>
      <c r="K847">
        <f t="shared" si="16"/>
        <v>0</v>
      </c>
    </row>
    <row r="848" spans="9:11" x14ac:dyDescent="0.2">
      <c r="I848">
        <v>838</v>
      </c>
      <c r="J848" s="4">
        <v>3016550111.5557871</v>
      </c>
      <c r="K848">
        <f t="shared" si="16"/>
        <v>0</v>
      </c>
    </row>
    <row r="849" spans="9:11" x14ac:dyDescent="0.2">
      <c r="I849">
        <v>839</v>
      </c>
      <c r="J849" s="4">
        <v>3251082444.1203513</v>
      </c>
      <c r="K849">
        <f t="shared" si="16"/>
        <v>0</v>
      </c>
    </row>
    <row r="850" spans="9:11" x14ac:dyDescent="0.2">
      <c r="I850">
        <v>840</v>
      </c>
      <c r="J850" s="4">
        <v>3009031175.5517492</v>
      </c>
      <c r="K850">
        <f t="shared" si="16"/>
        <v>0</v>
      </c>
    </row>
    <row r="851" spans="9:11" x14ac:dyDescent="0.2">
      <c r="I851">
        <v>841</v>
      </c>
      <c r="J851" s="4">
        <v>2697588107.6843419</v>
      </c>
      <c r="K851">
        <f t="shared" si="16"/>
        <v>0</v>
      </c>
    </row>
    <row r="852" spans="9:11" x14ac:dyDescent="0.2">
      <c r="I852">
        <v>842</v>
      </c>
      <c r="J852" s="4">
        <v>2916859246.1183414</v>
      </c>
      <c r="K852">
        <f t="shared" si="16"/>
        <v>0</v>
      </c>
    </row>
    <row r="853" spans="9:11" x14ac:dyDescent="0.2">
      <c r="I853">
        <v>843</v>
      </c>
      <c r="J853" s="4">
        <v>2902221125.5168777</v>
      </c>
      <c r="K853">
        <f t="shared" si="16"/>
        <v>0</v>
      </c>
    </row>
    <row r="854" spans="9:11" x14ac:dyDescent="0.2">
      <c r="I854">
        <v>844</v>
      </c>
      <c r="J854" s="4">
        <v>3006087893.6883759</v>
      </c>
      <c r="K854">
        <f t="shared" si="16"/>
        <v>0</v>
      </c>
    </row>
    <row r="855" spans="9:11" x14ac:dyDescent="0.2">
      <c r="I855">
        <v>845</v>
      </c>
      <c r="J855" s="4">
        <v>3327427531.3816833</v>
      </c>
      <c r="K855">
        <f t="shared" si="16"/>
        <v>0</v>
      </c>
    </row>
    <row r="856" spans="9:11" x14ac:dyDescent="0.2">
      <c r="I856">
        <v>846</v>
      </c>
      <c r="J856" s="4">
        <v>2757797521.299046</v>
      </c>
      <c r="K856">
        <f t="shared" si="16"/>
        <v>0</v>
      </c>
    </row>
    <row r="857" spans="9:11" x14ac:dyDescent="0.2">
      <c r="I857">
        <v>847</v>
      </c>
      <c r="J857" s="4">
        <v>2838899412.2177262</v>
      </c>
      <c r="K857">
        <f t="shared" si="16"/>
        <v>0</v>
      </c>
    </row>
    <row r="858" spans="9:11" x14ac:dyDescent="0.2">
      <c r="I858">
        <v>848</v>
      </c>
      <c r="J858" s="4">
        <v>2877436112.1850829</v>
      </c>
      <c r="K858">
        <f t="shared" si="16"/>
        <v>0</v>
      </c>
    </row>
    <row r="859" spans="9:11" x14ac:dyDescent="0.2">
      <c r="I859">
        <v>849</v>
      </c>
      <c r="J859" s="4">
        <v>2985797119.2805786</v>
      </c>
      <c r="K859">
        <f t="shared" si="16"/>
        <v>0</v>
      </c>
    </row>
    <row r="860" spans="9:11" x14ac:dyDescent="0.2">
      <c r="I860">
        <v>850</v>
      </c>
      <c r="J860" s="4">
        <v>2936838828.7254887</v>
      </c>
      <c r="K860">
        <f t="shared" si="16"/>
        <v>0</v>
      </c>
    </row>
    <row r="861" spans="9:11" x14ac:dyDescent="0.2">
      <c r="I861">
        <v>851</v>
      </c>
      <c r="J861" s="4">
        <v>2921095381.0640864</v>
      </c>
      <c r="K861">
        <f t="shared" si="16"/>
        <v>0</v>
      </c>
    </row>
    <row r="862" spans="9:11" x14ac:dyDescent="0.2">
      <c r="I862">
        <v>852</v>
      </c>
      <c r="J862" s="4">
        <v>3043317528.0826077</v>
      </c>
      <c r="K862">
        <f t="shared" si="16"/>
        <v>0</v>
      </c>
    </row>
    <row r="863" spans="9:11" x14ac:dyDescent="0.2">
      <c r="I863">
        <v>853</v>
      </c>
      <c r="J863" s="4">
        <v>2929421910.3553267</v>
      </c>
      <c r="K863">
        <f t="shared" si="16"/>
        <v>0</v>
      </c>
    </row>
    <row r="864" spans="9:11" x14ac:dyDescent="0.2">
      <c r="I864">
        <v>854</v>
      </c>
      <c r="J864" s="4">
        <v>2974524003.547019</v>
      </c>
      <c r="K864">
        <f t="shared" si="16"/>
        <v>0</v>
      </c>
    </row>
    <row r="865" spans="9:11" x14ac:dyDescent="0.2">
      <c r="I865">
        <v>855</v>
      </c>
      <c r="J865" s="4">
        <v>2999750282.4411354</v>
      </c>
      <c r="K865">
        <f t="shared" si="16"/>
        <v>0</v>
      </c>
    </row>
    <row r="866" spans="9:11" x14ac:dyDescent="0.2">
      <c r="I866">
        <v>856</v>
      </c>
      <c r="J866" s="4">
        <v>3003640185.7533836</v>
      </c>
      <c r="K866">
        <f t="shared" si="16"/>
        <v>0</v>
      </c>
    </row>
    <row r="867" spans="9:11" x14ac:dyDescent="0.2">
      <c r="I867">
        <v>857</v>
      </c>
      <c r="J867" s="4">
        <v>3102409558.9691029</v>
      </c>
      <c r="K867">
        <f t="shared" si="16"/>
        <v>0</v>
      </c>
    </row>
    <row r="868" spans="9:11" x14ac:dyDescent="0.2">
      <c r="I868">
        <v>858</v>
      </c>
      <c r="J868" s="4">
        <v>3123473520.6620364</v>
      </c>
      <c r="K868">
        <f t="shared" si="16"/>
        <v>0</v>
      </c>
    </row>
    <row r="869" spans="9:11" x14ac:dyDescent="0.2">
      <c r="I869">
        <v>859</v>
      </c>
      <c r="J869" s="4">
        <v>3090309652.6893296</v>
      </c>
      <c r="K869">
        <f t="shared" si="16"/>
        <v>0</v>
      </c>
    </row>
    <row r="870" spans="9:11" x14ac:dyDescent="0.2">
      <c r="I870">
        <v>860</v>
      </c>
      <c r="J870" s="4">
        <v>2955873072.3815012</v>
      </c>
      <c r="K870">
        <f t="shared" si="16"/>
        <v>0</v>
      </c>
    </row>
    <row r="871" spans="9:11" x14ac:dyDescent="0.2">
      <c r="I871">
        <v>861</v>
      </c>
      <c r="J871" s="4">
        <v>3111716770.5357704</v>
      </c>
      <c r="K871">
        <f t="shared" si="16"/>
        <v>0</v>
      </c>
    </row>
    <row r="872" spans="9:11" x14ac:dyDescent="0.2">
      <c r="I872">
        <v>862</v>
      </c>
      <c r="J872" s="4">
        <v>2711315221.9871392</v>
      </c>
      <c r="K872">
        <f t="shared" si="16"/>
        <v>0</v>
      </c>
    </row>
    <row r="873" spans="9:11" x14ac:dyDescent="0.2">
      <c r="I873">
        <v>863</v>
      </c>
      <c r="J873" s="4">
        <v>3139508136.5532899</v>
      </c>
      <c r="K873">
        <f t="shared" si="16"/>
        <v>0</v>
      </c>
    </row>
    <row r="874" spans="9:11" x14ac:dyDescent="0.2">
      <c r="I874">
        <v>864</v>
      </c>
      <c r="J874" s="4">
        <v>2926695127.6025028</v>
      </c>
      <c r="K874">
        <f t="shared" si="16"/>
        <v>0</v>
      </c>
    </row>
    <row r="875" spans="9:11" x14ac:dyDescent="0.2">
      <c r="I875">
        <v>865</v>
      </c>
      <c r="J875" s="4">
        <v>2675745363.745616</v>
      </c>
      <c r="K875">
        <f t="shared" si="16"/>
        <v>0</v>
      </c>
    </row>
    <row r="876" spans="9:11" x14ac:dyDescent="0.2">
      <c r="I876">
        <v>866</v>
      </c>
      <c r="J876" s="4">
        <v>2972430092.2490883</v>
      </c>
      <c r="K876">
        <f t="shared" si="16"/>
        <v>0</v>
      </c>
    </row>
    <row r="877" spans="9:11" x14ac:dyDescent="0.2">
      <c r="I877">
        <v>867</v>
      </c>
      <c r="J877" s="4">
        <v>2895351940.1317024</v>
      </c>
      <c r="K877">
        <f t="shared" si="16"/>
        <v>0</v>
      </c>
    </row>
    <row r="878" spans="9:11" x14ac:dyDescent="0.2">
      <c r="I878">
        <v>868</v>
      </c>
      <c r="J878" s="4">
        <v>2685222695.0141439</v>
      </c>
      <c r="K878">
        <f t="shared" si="16"/>
        <v>0</v>
      </c>
    </row>
    <row r="879" spans="9:11" x14ac:dyDescent="0.2">
      <c r="I879">
        <v>869</v>
      </c>
      <c r="J879" s="4">
        <v>2893145673.1606913</v>
      </c>
      <c r="K879">
        <f t="shared" si="16"/>
        <v>0</v>
      </c>
    </row>
    <row r="880" spans="9:11" x14ac:dyDescent="0.2">
      <c r="I880">
        <v>870</v>
      </c>
      <c r="J880" s="4">
        <v>2725818033.0285549</v>
      </c>
      <c r="K880">
        <f t="shared" si="16"/>
        <v>0</v>
      </c>
    </row>
    <row r="881" spans="9:11" x14ac:dyDescent="0.2">
      <c r="I881">
        <v>871</v>
      </c>
      <c r="J881" s="4">
        <v>2797828283.2370892</v>
      </c>
      <c r="K881">
        <f t="shared" si="16"/>
        <v>0</v>
      </c>
    </row>
    <row r="882" spans="9:11" x14ac:dyDescent="0.2">
      <c r="I882">
        <v>872</v>
      </c>
      <c r="J882" s="4">
        <v>3181393923.2428784</v>
      </c>
      <c r="K882">
        <f t="shared" si="16"/>
        <v>0</v>
      </c>
    </row>
    <row r="883" spans="9:11" x14ac:dyDescent="0.2">
      <c r="I883">
        <v>873</v>
      </c>
      <c r="J883" s="4">
        <v>2889435629.1965394</v>
      </c>
      <c r="K883">
        <f t="shared" si="16"/>
        <v>0</v>
      </c>
    </row>
    <row r="884" spans="9:11" x14ac:dyDescent="0.2">
      <c r="I884">
        <v>874</v>
      </c>
      <c r="J884" s="4">
        <v>2731592430.3248587</v>
      </c>
      <c r="K884">
        <f t="shared" si="16"/>
        <v>0</v>
      </c>
    </row>
    <row r="885" spans="9:11" x14ac:dyDescent="0.2">
      <c r="I885">
        <v>875</v>
      </c>
      <c r="J885" s="4">
        <v>2899985684.0071926</v>
      </c>
      <c r="K885">
        <f t="shared" si="16"/>
        <v>0</v>
      </c>
    </row>
    <row r="886" spans="9:11" x14ac:dyDescent="0.2">
      <c r="I886">
        <v>876</v>
      </c>
      <c r="J886" s="4">
        <v>3004549410.2099333</v>
      </c>
      <c r="K886">
        <f t="shared" si="16"/>
        <v>0</v>
      </c>
    </row>
    <row r="887" spans="9:11" x14ac:dyDescent="0.2">
      <c r="I887">
        <v>877</v>
      </c>
      <c r="J887" s="4">
        <v>3055317780.6671238</v>
      </c>
      <c r="K887">
        <f t="shared" si="16"/>
        <v>0</v>
      </c>
    </row>
    <row r="888" spans="9:11" x14ac:dyDescent="0.2">
      <c r="I888">
        <v>878</v>
      </c>
      <c r="J888" s="4">
        <v>2871606946.7137032</v>
      </c>
      <c r="K888">
        <f t="shared" si="16"/>
        <v>0</v>
      </c>
    </row>
    <row r="889" spans="9:11" x14ac:dyDescent="0.2">
      <c r="I889">
        <v>879</v>
      </c>
      <c r="J889" s="4">
        <v>3011582346.0687795</v>
      </c>
      <c r="K889">
        <f t="shared" si="16"/>
        <v>0</v>
      </c>
    </row>
    <row r="890" spans="9:11" x14ac:dyDescent="0.2">
      <c r="I890">
        <v>880</v>
      </c>
      <c r="J890" s="4">
        <v>2938434981.2205977</v>
      </c>
      <c r="K890">
        <f t="shared" si="16"/>
        <v>0</v>
      </c>
    </row>
    <row r="891" spans="9:11" x14ac:dyDescent="0.2">
      <c r="I891">
        <v>881</v>
      </c>
      <c r="J891" s="4">
        <v>2610259971.8270812</v>
      </c>
      <c r="K891">
        <f t="shared" si="16"/>
        <v>0</v>
      </c>
    </row>
    <row r="892" spans="9:11" x14ac:dyDescent="0.2">
      <c r="I892">
        <v>882</v>
      </c>
      <c r="J892" s="4">
        <v>2823720781.1486082</v>
      </c>
      <c r="K892">
        <f t="shared" si="16"/>
        <v>0</v>
      </c>
    </row>
    <row r="893" spans="9:11" x14ac:dyDescent="0.2">
      <c r="I893">
        <v>883</v>
      </c>
      <c r="J893" s="4">
        <v>2900971463.0844936</v>
      </c>
      <c r="K893">
        <f t="shared" si="16"/>
        <v>0</v>
      </c>
    </row>
    <row r="894" spans="9:11" x14ac:dyDescent="0.2">
      <c r="I894">
        <v>884</v>
      </c>
      <c r="J894" s="4">
        <v>3006284525.7208757</v>
      </c>
      <c r="K894">
        <f t="shared" si="16"/>
        <v>0</v>
      </c>
    </row>
    <row r="895" spans="9:11" x14ac:dyDescent="0.2">
      <c r="I895">
        <v>885</v>
      </c>
      <c r="J895" s="4">
        <v>3148486598.1850939</v>
      </c>
      <c r="K895">
        <f t="shared" si="16"/>
        <v>0</v>
      </c>
    </row>
    <row r="896" spans="9:11" x14ac:dyDescent="0.2">
      <c r="I896">
        <v>886</v>
      </c>
      <c r="J896" s="4">
        <v>2988310651.1697764</v>
      </c>
      <c r="K896">
        <f t="shared" si="16"/>
        <v>0</v>
      </c>
    </row>
    <row r="897" spans="9:11" x14ac:dyDescent="0.2">
      <c r="I897">
        <v>887</v>
      </c>
      <c r="J897" s="4">
        <v>2827354635.1249218</v>
      </c>
      <c r="K897">
        <f t="shared" si="16"/>
        <v>0</v>
      </c>
    </row>
    <row r="898" spans="9:11" x14ac:dyDescent="0.2">
      <c r="I898">
        <v>888</v>
      </c>
      <c r="J898" s="4">
        <v>2946881963.5188484</v>
      </c>
      <c r="K898">
        <f t="shared" si="16"/>
        <v>0</v>
      </c>
    </row>
    <row r="899" spans="9:11" x14ac:dyDescent="0.2">
      <c r="I899">
        <v>889</v>
      </c>
      <c r="J899" s="4">
        <v>3246163429.5253406</v>
      </c>
      <c r="K899">
        <f t="shared" si="16"/>
        <v>0</v>
      </c>
    </row>
    <row r="900" spans="9:11" x14ac:dyDescent="0.2">
      <c r="I900">
        <v>890</v>
      </c>
      <c r="J900" s="4">
        <v>2964089547.9896226</v>
      </c>
      <c r="K900">
        <f t="shared" si="16"/>
        <v>0</v>
      </c>
    </row>
    <row r="901" spans="9:11" x14ac:dyDescent="0.2">
      <c r="I901">
        <v>891</v>
      </c>
      <c r="J901" s="4">
        <v>2925082621.1952286</v>
      </c>
      <c r="K901">
        <f t="shared" si="16"/>
        <v>0</v>
      </c>
    </row>
    <row r="902" spans="9:11" x14ac:dyDescent="0.2">
      <c r="I902">
        <v>892</v>
      </c>
      <c r="J902" s="4">
        <v>2934266677.25665</v>
      </c>
      <c r="K902">
        <f t="shared" si="16"/>
        <v>0</v>
      </c>
    </row>
    <row r="903" spans="9:11" x14ac:dyDescent="0.2">
      <c r="I903">
        <v>893</v>
      </c>
      <c r="J903" s="4">
        <v>2920944567.1397343</v>
      </c>
      <c r="K903">
        <f t="shared" si="16"/>
        <v>0</v>
      </c>
    </row>
    <row r="904" spans="9:11" x14ac:dyDescent="0.2">
      <c r="I904">
        <v>894</v>
      </c>
      <c r="J904" s="4">
        <v>2981649121.860074</v>
      </c>
      <c r="K904">
        <f t="shared" si="16"/>
        <v>0</v>
      </c>
    </row>
    <row r="905" spans="9:11" x14ac:dyDescent="0.2">
      <c r="I905">
        <v>895</v>
      </c>
      <c r="J905" s="4">
        <v>2962807123.5763879</v>
      </c>
      <c r="K905">
        <f t="shared" si="16"/>
        <v>0</v>
      </c>
    </row>
    <row r="906" spans="9:11" x14ac:dyDescent="0.2">
      <c r="I906">
        <v>896</v>
      </c>
      <c r="J906" s="4">
        <v>2649303093.637917</v>
      </c>
      <c r="K906">
        <f t="shared" si="16"/>
        <v>0</v>
      </c>
    </row>
    <row r="907" spans="9:11" x14ac:dyDescent="0.2">
      <c r="I907">
        <v>897</v>
      </c>
      <c r="J907" s="4">
        <v>2864397743.9512482</v>
      </c>
      <c r="K907">
        <f t="shared" si="16"/>
        <v>0</v>
      </c>
    </row>
    <row r="908" spans="9:11" x14ac:dyDescent="0.2">
      <c r="I908">
        <v>898</v>
      </c>
      <c r="J908" s="4">
        <v>2990978573.6965637</v>
      </c>
      <c r="K908">
        <f t="shared" ref="K908:K971" si="17">IF(J908&lt;1700000000,1,0)</f>
        <v>0</v>
      </c>
    </row>
    <row r="909" spans="9:11" x14ac:dyDescent="0.2">
      <c r="I909">
        <v>899</v>
      </c>
      <c r="J909" s="4">
        <v>2891348874.8653927</v>
      </c>
      <c r="K909">
        <f t="shared" si="17"/>
        <v>0</v>
      </c>
    </row>
    <row r="910" spans="9:11" x14ac:dyDescent="0.2">
      <c r="I910">
        <v>900</v>
      </c>
      <c r="J910" s="4">
        <v>3019532761.7251239</v>
      </c>
      <c r="K910">
        <f t="shared" si="17"/>
        <v>0</v>
      </c>
    </row>
    <row r="911" spans="9:11" x14ac:dyDescent="0.2">
      <c r="I911">
        <v>901</v>
      </c>
      <c r="J911" s="4">
        <v>2960319759.3536572</v>
      </c>
      <c r="K911">
        <f t="shared" si="17"/>
        <v>0</v>
      </c>
    </row>
    <row r="912" spans="9:11" x14ac:dyDescent="0.2">
      <c r="I912">
        <v>902</v>
      </c>
      <c r="J912" s="4">
        <v>2913395544.9885249</v>
      </c>
      <c r="K912">
        <f t="shared" si="17"/>
        <v>0</v>
      </c>
    </row>
    <row r="913" spans="9:11" x14ac:dyDescent="0.2">
      <c r="I913">
        <v>903</v>
      </c>
      <c r="J913" s="4">
        <v>3022515220.1161366</v>
      </c>
      <c r="K913">
        <f t="shared" si="17"/>
        <v>0</v>
      </c>
    </row>
    <row r="914" spans="9:11" x14ac:dyDescent="0.2">
      <c r="I914">
        <v>904</v>
      </c>
      <c r="J914" s="4">
        <v>2991178293.1671367</v>
      </c>
      <c r="K914">
        <f t="shared" si="17"/>
        <v>0</v>
      </c>
    </row>
    <row r="915" spans="9:11" x14ac:dyDescent="0.2">
      <c r="I915">
        <v>905</v>
      </c>
      <c r="J915" s="4">
        <v>2855597364.3623285</v>
      </c>
      <c r="K915">
        <f t="shared" si="17"/>
        <v>0</v>
      </c>
    </row>
    <row r="916" spans="9:11" x14ac:dyDescent="0.2">
      <c r="I916">
        <v>906</v>
      </c>
      <c r="J916" s="4">
        <v>2809156926.683136</v>
      </c>
      <c r="K916">
        <f t="shared" si="17"/>
        <v>0</v>
      </c>
    </row>
    <row r="917" spans="9:11" x14ac:dyDescent="0.2">
      <c r="I917">
        <v>907</v>
      </c>
      <c r="J917" s="4">
        <v>3047643087.0695682</v>
      </c>
      <c r="K917">
        <f t="shared" si="17"/>
        <v>0</v>
      </c>
    </row>
    <row r="918" spans="9:11" x14ac:dyDescent="0.2">
      <c r="I918">
        <v>908</v>
      </c>
      <c r="J918" s="4">
        <v>3015661705.0326004</v>
      </c>
      <c r="K918">
        <f t="shared" si="17"/>
        <v>0</v>
      </c>
    </row>
    <row r="919" spans="9:11" x14ac:dyDescent="0.2">
      <c r="I919">
        <v>909</v>
      </c>
      <c r="J919" s="4">
        <v>2951474535.2867389</v>
      </c>
      <c r="K919">
        <f t="shared" si="17"/>
        <v>0</v>
      </c>
    </row>
    <row r="920" spans="9:11" x14ac:dyDescent="0.2">
      <c r="I920">
        <v>910</v>
      </c>
      <c r="J920" s="4">
        <v>3132636106.4841919</v>
      </c>
      <c r="K920">
        <f t="shared" si="17"/>
        <v>0</v>
      </c>
    </row>
    <row r="921" spans="9:11" x14ac:dyDescent="0.2">
      <c r="I921">
        <v>911</v>
      </c>
      <c r="J921" s="4">
        <v>2962256888.0007806</v>
      </c>
      <c r="K921">
        <f t="shared" si="17"/>
        <v>0</v>
      </c>
    </row>
    <row r="922" spans="9:11" x14ac:dyDescent="0.2">
      <c r="I922">
        <v>912</v>
      </c>
      <c r="J922" s="4">
        <v>2900820858.554914</v>
      </c>
      <c r="K922">
        <f t="shared" si="17"/>
        <v>0</v>
      </c>
    </row>
    <row r="923" spans="9:11" x14ac:dyDescent="0.2">
      <c r="I923">
        <v>913</v>
      </c>
      <c r="J923" s="4">
        <v>3062627058.8263569</v>
      </c>
      <c r="K923">
        <f t="shared" si="17"/>
        <v>0</v>
      </c>
    </row>
    <row r="924" spans="9:11" x14ac:dyDescent="0.2">
      <c r="I924">
        <v>914</v>
      </c>
      <c r="J924" s="4">
        <v>2895843395.3938413</v>
      </c>
      <c r="K924">
        <f t="shared" si="17"/>
        <v>0</v>
      </c>
    </row>
    <row r="925" spans="9:11" x14ac:dyDescent="0.2">
      <c r="I925">
        <v>915</v>
      </c>
      <c r="J925" s="4">
        <v>3135783514.7837615</v>
      </c>
      <c r="K925">
        <f t="shared" si="17"/>
        <v>0</v>
      </c>
    </row>
    <row r="926" spans="9:11" x14ac:dyDescent="0.2">
      <c r="I926">
        <v>916</v>
      </c>
      <c r="J926" s="4">
        <v>3186866972.3224411</v>
      </c>
      <c r="K926">
        <f t="shared" si="17"/>
        <v>0</v>
      </c>
    </row>
    <row r="927" spans="9:11" x14ac:dyDescent="0.2">
      <c r="I927">
        <v>917</v>
      </c>
      <c r="J927" s="4">
        <v>2651858149.2445927</v>
      </c>
      <c r="K927">
        <f t="shared" si="17"/>
        <v>0</v>
      </c>
    </row>
    <row r="928" spans="9:11" x14ac:dyDescent="0.2">
      <c r="I928">
        <v>918</v>
      </c>
      <c r="J928" s="4">
        <v>2897184150.026083</v>
      </c>
      <c r="K928">
        <f t="shared" si="17"/>
        <v>0</v>
      </c>
    </row>
    <row r="929" spans="9:11" x14ac:dyDescent="0.2">
      <c r="I929">
        <v>919</v>
      </c>
      <c r="J929" s="4">
        <v>3240161997.76686</v>
      </c>
      <c r="K929">
        <f t="shared" si="17"/>
        <v>0</v>
      </c>
    </row>
    <row r="930" spans="9:11" x14ac:dyDescent="0.2">
      <c r="I930">
        <v>920</v>
      </c>
      <c r="J930" s="4">
        <v>2885713789.3081541</v>
      </c>
      <c r="K930">
        <f t="shared" si="17"/>
        <v>0</v>
      </c>
    </row>
    <row r="931" spans="9:11" x14ac:dyDescent="0.2">
      <c r="I931">
        <v>921</v>
      </c>
      <c r="J931" s="4">
        <v>2962245994.8476462</v>
      </c>
      <c r="K931">
        <f t="shared" si="17"/>
        <v>0</v>
      </c>
    </row>
    <row r="932" spans="9:11" x14ac:dyDescent="0.2">
      <c r="I932">
        <v>922</v>
      </c>
      <c r="J932" s="4">
        <v>2912797784.9086771</v>
      </c>
      <c r="K932">
        <f t="shared" si="17"/>
        <v>0</v>
      </c>
    </row>
    <row r="933" spans="9:11" x14ac:dyDescent="0.2">
      <c r="I933">
        <v>923</v>
      </c>
      <c r="J933" s="4">
        <v>2857209575.2444487</v>
      </c>
      <c r="K933">
        <f t="shared" si="17"/>
        <v>0</v>
      </c>
    </row>
    <row r="934" spans="9:11" x14ac:dyDescent="0.2">
      <c r="I934">
        <v>924</v>
      </c>
      <c r="J934" s="4">
        <v>2894151207.6151414</v>
      </c>
      <c r="K934">
        <f t="shared" si="17"/>
        <v>0</v>
      </c>
    </row>
    <row r="935" spans="9:11" x14ac:dyDescent="0.2">
      <c r="I935">
        <v>925</v>
      </c>
      <c r="J935" s="4">
        <v>3206841023.7927566</v>
      </c>
      <c r="K935">
        <f t="shared" si="17"/>
        <v>0</v>
      </c>
    </row>
    <row r="936" spans="9:11" x14ac:dyDescent="0.2">
      <c r="I936">
        <v>926</v>
      </c>
      <c r="J936" s="4">
        <v>2974101427.3714976</v>
      </c>
      <c r="K936">
        <f t="shared" si="17"/>
        <v>0</v>
      </c>
    </row>
    <row r="937" spans="9:11" x14ac:dyDescent="0.2">
      <c r="I937">
        <v>927</v>
      </c>
      <c r="J937" s="4">
        <v>3024387049.4140797</v>
      </c>
      <c r="K937">
        <f t="shared" si="17"/>
        <v>0</v>
      </c>
    </row>
    <row r="938" spans="9:11" x14ac:dyDescent="0.2">
      <c r="I938">
        <v>928</v>
      </c>
      <c r="J938" s="4">
        <v>2808050741.6407094</v>
      </c>
      <c r="K938">
        <f t="shared" si="17"/>
        <v>0</v>
      </c>
    </row>
    <row r="939" spans="9:11" x14ac:dyDescent="0.2">
      <c r="I939">
        <v>929</v>
      </c>
      <c r="J939" s="4">
        <v>2951511027.3282833</v>
      </c>
      <c r="K939">
        <f t="shared" si="17"/>
        <v>0</v>
      </c>
    </row>
    <row r="940" spans="9:11" x14ac:dyDescent="0.2">
      <c r="I940">
        <v>930</v>
      </c>
      <c r="J940" s="4">
        <v>2925031008.0751615</v>
      </c>
      <c r="K940">
        <f t="shared" si="17"/>
        <v>0</v>
      </c>
    </row>
    <row r="941" spans="9:11" x14ac:dyDescent="0.2">
      <c r="I941">
        <v>931</v>
      </c>
      <c r="J941" s="4">
        <v>3072963530.1883259</v>
      </c>
      <c r="K941">
        <f t="shared" si="17"/>
        <v>0</v>
      </c>
    </row>
    <row r="942" spans="9:11" x14ac:dyDescent="0.2">
      <c r="I942">
        <v>932</v>
      </c>
      <c r="J942" s="4">
        <v>3381830532.6182699</v>
      </c>
      <c r="K942">
        <f t="shared" si="17"/>
        <v>0</v>
      </c>
    </row>
    <row r="943" spans="9:11" x14ac:dyDescent="0.2">
      <c r="I943">
        <v>933</v>
      </c>
      <c r="J943" s="4">
        <v>2942607835.5961194</v>
      </c>
      <c r="K943">
        <f t="shared" si="17"/>
        <v>0</v>
      </c>
    </row>
    <row r="944" spans="9:11" x14ac:dyDescent="0.2">
      <c r="I944">
        <v>934</v>
      </c>
      <c r="J944" s="4">
        <v>3002437591.0271716</v>
      </c>
      <c r="K944">
        <f t="shared" si="17"/>
        <v>0</v>
      </c>
    </row>
    <row r="945" spans="9:11" x14ac:dyDescent="0.2">
      <c r="I945">
        <v>935</v>
      </c>
      <c r="J945" s="4">
        <v>2846433498.1142049</v>
      </c>
      <c r="K945">
        <f t="shared" si="17"/>
        <v>0</v>
      </c>
    </row>
    <row r="946" spans="9:11" x14ac:dyDescent="0.2">
      <c r="I946">
        <v>936</v>
      </c>
      <c r="J946" s="4">
        <v>3078544950.6159644</v>
      </c>
      <c r="K946">
        <f t="shared" si="17"/>
        <v>0</v>
      </c>
    </row>
    <row r="947" spans="9:11" x14ac:dyDescent="0.2">
      <c r="I947">
        <v>937</v>
      </c>
      <c r="J947" s="4">
        <v>2901158545.4703345</v>
      </c>
      <c r="K947">
        <f t="shared" si="17"/>
        <v>0</v>
      </c>
    </row>
    <row r="948" spans="9:11" x14ac:dyDescent="0.2">
      <c r="I948">
        <v>938</v>
      </c>
      <c r="J948" s="4">
        <v>2999941417.6589899</v>
      </c>
      <c r="K948">
        <f t="shared" si="17"/>
        <v>0</v>
      </c>
    </row>
    <row r="949" spans="9:11" x14ac:dyDescent="0.2">
      <c r="I949">
        <v>939</v>
      </c>
      <c r="J949" s="4">
        <v>2981951740.2782898</v>
      </c>
      <c r="K949">
        <f t="shared" si="17"/>
        <v>0</v>
      </c>
    </row>
    <row r="950" spans="9:11" x14ac:dyDescent="0.2">
      <c r="I950">
        <v>940</v>
      </c>
      <c r="J950" s="4">
        <v>2915599505.9680152</v>
      </c>
      <c r="K950">
        <f t="shared" si="17"/>
        <v>0</v>
      </c>
    </row>
    <row r="951" spans="9:11" x14ac:dyDescent="0.2">
      <c r="I951">
        <v>941</v>
      </c>
      <c r="J951" s="4">
        <v>2837158915.8918767</v>
      </c>
      <c r="K951">
        <f t="shared" si="17"/>
        <v>0</v>
      </c>
    </row>
    <row r="952" spans="9:11" x14ac:dyDescent="0.2">
      <c r="I952">
        <v>942</v>
      </c>
      <c r="J952" s="4">
        <v>3140686971.851922</v>
      </c>
      <c r="K952">
        <f t="shared" si="17"/>
        <v>0</v>
      </c>
    </row>
    <row r="953" spans="9:11" x14ac:dyDescent="0.2">
      <c r="I953">
        <v>943</v>
      </c>
      <c r="J953" s="4">
        <v>2686528642.7315664</v>
      </c>
      <c r="K953">
        <f t="shared" si="17"/>
        <v>0</v>
      </c>
    </row>
    <row r="954" spans="9:11" x14ac:dyDescent="0.2">
      <c r="I954">
        <v>944</v>
      </c>
      <c r="J954" s="4">
        <v>2753568316.5130095</v>
      </c>
      <c r="K954">
        <f t="shared" si="17"/>
        <v>0</v>
      </c>
    </row>
    <row r="955" spans="9:11" x14ac:dyDescent="0.2">
      <c r="I955">
        <v>945</v>
      </c>
      <c r="J955" s="4">
        <v>2926651645.5906911</v>
      </c>
      <c r="K955">
        <f t="shared" si="17"/>
        <v>0</v>
      </c>
    </row>
    <row r="956" spans="9:11" x14ac:dyDescent="0.2">
      <c r="I956">
        <v>946</v>
      </c>
      <c r="J956" s="4">
        <v>3162680081.2008595</v>
      </c>
      <c r="K956">
        <f t="shared" si="17"/>
        <v>0</v>
      </c>
    </row>
    <row r="957" spans="9:11" x14ac:dyDescent="0.2">
      <c r="I957">
        <v>947</v>
      </c>
      <c r="J957" s="4">
        <v>2781803653.3069038</v>
      </c>
      <c r="K957">
        <f t="shared" si="17"/>
        <v>0</v>
      </c>
    </row>
    <row r="958" spans="9:11" x14ac:dyDescent="0.2">
      <c r="I958">
        <v>948</v>
      </c>
      <c r="J958" s="4">
        <v>2877825927.6432471</v>
      </c>
      <c r="K958">
        <f t="shared" si="17"/>
        <v>0</v>
      </c>
    </row>
    <row r="959" spans="9:11" x14ac:dyDescent="0.2">
      <c r="I959">
        <v>949</v>
      </c>
      <c r="J959" s="4">
        <v>2903844465.5835791</v>
      </c>
      <c r="K959">
        <f t="shared" si="17"/>
        <v>0</v>
      </c>
    </row>
    <row r="960" spans="9:11" x14ac:dyDescent="0.2">
      <c r="I960">
        <v>950</v>
      </c>
      <c r="J960" s="4">
        <v>2825555350.0244627</v>
      </c>
      <c r="K960">
        <f t="shared" si="17"/>
        <v>0</v>
      </c>
    </row>
    <row r="961" spans="9:11" x14ac:dyDescent="0.2">
      <c r="I961">
        <v>951</v>
      </c>
      <c r="J961" s="4">
        <v>2965268723.8537745</v>
      </c>
      <c r="K961">
        <f t="shared" si="17"/>
        <v>0</v>
      </c>
    </row>
    <row r="962" spans="9:11" x14ac:dyDescent="0.2">
      <c r="I962">
        <v>952</v>
      </c>
      <c r="J962" s="4">
        <v>2974313890.7194448</v>
      </c>
      <c r="K962">
        <f t="shared" si="17"/>
        <v>0</v>
      </c>
    </row>
    <row r="963" spans="9:11" x14ac:dyDescent="0.2">
      <c r="I963">
        <v>953</v>
      </c>
      <c r="J963" s="4">
        <v>2771159241.8392134</v>
      </c>
      <c r="K963">
        <f t="shared" si="17"/>
        <v>0</v>
      </c>
    </row>
    <row r="964" spans="9:11" x14ac:dyDescent="0.2">
      <c r="I964">
        <v>954</v>
      </c>
      <c r="J964" s="4">
        <v>2927302795.638042</v>
      </c>
      <c r="K964">
        <f t="shared" si="17"/>
        <v>0</v>
      </c>
    </row>
    <row r="965" spans="9:11" x14ac:dyDescent="0.2">
      <c r="I965">
        <v>955</v>
      </c>
      <c r="J965" s="4">
        <v>2926307052.4584093</v>
      </c>
      <c r="K965">
        <f t="shared" si="17"/>
        <v>0</v>
      </c>
    </row>
    <row r="966" spans="9:11" x14ac:dyDescent="0.2">
      <c r="I966">
        <v>956</v>
      </c>
      <c r="J966" s="4">
        <v>2846839440.3476319</v>
      </c>
      <c r="K966">
        <f t="shared" si="17"/>
        <v>0</v>
      </c>
    </row>
    <row r="967" spans="9:11" x14ac:dyDescent="0.2">
      <c r="I967">
        <v>957</v>
      </c>
      <c r="J967" s="4">
        <v>2724298209.4764862</v>
      </c>
      <c r="K967">
        <f t="shared" si="17"/>
        <v>0</v>
      </c>
    </row>
    <row r="968" spans="9:11" x14ac:dyDescent="0.2">
      <c r="I968">
        <v>958</v>
      </c>
      <c r="J968" s="4">
        <v>2877805713.4451437</v>
      </c>
      <c r="K968">
        <f t="shared" si="17"/>
        <v>0</v>
      </c>
    </row>
    <row r="969" spans="9:11" x14ac:dyDescent="0.2">
      <c r="I969">
        <v>959</v>
      </c>
      <c r="J969" s="4">
        <v>2996954432.9438891</v>
      </c>
      <c r="K969">
        <f t="shared" si="17"/>
        <v>0</v>
      </c>
    </row>
    <row r="970" spans="9:11" x14ac:dyDescent="0.2">
      <c r="I970">
        <v>960</v>
      </c>
      <c r="J970" s="4">
        <v>2627739091.8329515</v>
      </c>
      <c r="K970">
        <f t="shared" si="17"/>
        <v>0</v>
      </c>
    </row>
    <row r="971" spans="9:11" x14ac:dyDescent="0.2">
      <c r="I971">
        <v>961</v>
      </c>
      <c r="J971" s="4">
        <v>2976622803.9058008</v>
      </c>
      <c r="K971">
        <f t="shared" si="17"/>
        <v>0</v>
      </c>
    </row>
    <row r="972" spans="9:11" x14ac:dyDescent="0.2">
      <c r="I972">
        <v>962</v>
      </c>
      <c r="J972" s="4">
        <v>2817663412.9860568</v>
      </c>
      <c r="K972">
        <f t="shared" ref="K972:K1010" si="18">IF(J972&lt;1700000000,1,0)</f>
        <v>0</v>
      </c>
    </row>
    <row r="973" spans="9:11" x14ac:dyDescent="0.2">
      <c r="I973">
        <v>963</v>
      </c>
      <c r="J973" s="4">
        <v>3018199497.8522534</v>
      </c>
      <c r="K973">
        <f t="shared" si="18"/>
        <v>0</v>
      </c>
    </row>
    <row r="974" spans="9:11" x14ac:dyDescent="0.2">
      <c r="I974">
        <v>964</v>
      </c>
      <c r="J974" s="4">
        <v>2992355567.6348896</v>
      </c>
      <c r="K974">
        <f t="shared" si="18"/>
        <v>0</v>
      </c>
    </row>
    <row r="975" spans="9:11" x14ac:dyDescent="0.2">
      <c r="I975">
        <v>965</v>
      </c>
      <c r="J975" s="4">
        <v>3025698494.224566</v>
      </c>
      <c r="K975">
        <f t="shared" si="18"/>
        <v>0</v>
      </c>
    </row>
    <row r="976" spans="9:11" x14ac:dyDescent="0.2">
      <c r="I976">
        <v>966</v>
      </c>
      <c r="J976" s="4">
        <v>3049802472.8934703</v>
      </c>
      <c r="K976">
        <f t="shared" si="18"/>
        <v>0</v>
      </c>
    </row>
    <row r="977" spans="9:11" x14ac:dyDescent="0.2">
      <c r="I977">
        <v>967</v>
      </c>
      <c r="J977" s="4">
        <v>2598306052.7209792</v>
      </c>
      <c r="K977">
        <f t="shared" si="18"/>
        <v>0</v>
      </c>
    </row>
    <row r="978" spans="9:11" x14ac:dyDescent="0.2">
      <c r="I978">
        <v>968</v>
      </c>
      <c r="J978" s="4">
        <v>3147813959.8718529</v>
      </c>
      <c r="K978">
        <f t="shared" si="18"/>
        <v>0</v>
      </c>
    </row>
    <row r="979" spans="9:11" x14ac:dyDescent="0.2">
      <c r="I979">
        <v>969</v>
      </c>
      <c r="J979" s="4">
        <v>2928540360.7399492</v>
      </c>
      <c r="K979">
        <f t="shared" si="18"/>
        <v>0</v>
      </c>
    </row>
    <row r="980" spans="9:11" x14ac:dyDescent="0.2">
      <c r="I980">
        <v>970</v>
      </c>
      <c r="J980" s="4">
        <v>2917496355.004087</v>
      </c>
      <c r="K980">
        <f t="shared" si="18"/>
        <v>0</v>
      </c>
    </row>
    <row r="981" spans="9:11" x14ac:dyDescent="0.2">
      <c r="I981">
        <v>971</v>
      </c>
      <c r="J981" s="4">
        <v>3060406632.4632311</v>
      </c>
      <c r="K981">
        <f t="shared" si="18"/>
        <v>0</v>
      </c>
    </row>
    <row r="982" spans="9:11" x14ac:dyDescent="0.2">
      <c r="I982">
        <v>972</v>
      </c>
      <c r="J982" s="4">
        <v>2982988248.1206517</v>
      </c>
      <c r="K982">
        <f t="shared" si="18"/>
        <v>0</v>
      </c>
    </row>
    <row r="983" spans="9:11" x14ac:dyDescent="0.2">
      <c r="I983">
        <v>973</v>
      </c>
      <c r="J983" s="4">
        <v>2830219933.0543308</v>
      </c>
      <c r="K983">
        <f t="shared" si="18"/>
        <v>0</v>
      </c>
    </row>
    <row r="984" spans="9:11" x14ac:dyDescent="0.2">
      <c r="I984">
        <v>974</v>
      </c>
      <c r="J984" s="4">
        <v>2853447068.3840423</v>
      </c>
      <c r="K984">
        <f t="shared" si="18"/>
        <v>0</v>
      </c>
    </row>
    <row r="985" spans="9:11" x14ac:dyDescent="0.2">
      <c r="I985">
        <v>975</v>
      </c>
      <c r="J985" s="4">
        <v>3374857954.3561106</v>
      </c>
      <c r="K985">
        <f t="shared" si="18"/>
        <v>0</v>
      </c>
    </row>
    <row r="986" spans="9:11" x14ac:dyDescent="0.2">
      <c r="I986">
        <v>976</v>
      </c>
      <c r="J986" s="4">
        <v>2902881432.0591745</v>
      </c>
      <c r="K986">
        <f t="shared" si="18"/>
        <v>0</v>
      </c>
    </row>
    <row r="987" spans="9:11" x14ac:dyDescent="0.2">
      <c r="I987">
        <v>977</v>
      </c>
      <c r="J987" s="4">
        <v>2619591465.8115048</v>
      </c>
      <c r="K987">
        <f t="shared" si="18"/>
        <v>0</v>
      </c>
    </row>
    <row r="988" spans="9:11" x14ac:dyDescent="0.2">
      <c r="I988">
        <v>978</v>
      </c>
      <c r="J988" s="4">
        <v>2913106585.1812181</v>
      </c>
      <c r="K988">
        <f t="shared" si="18"/>
        <v>0</v>
      </c>
    </row>
    <row r="989" spans="9:11" x14ac:dyDescent="0.2">
      <c r="I989">
        <v>979</v>
      </c>
      <c r="J989" s="4">
        <v>2716199529.9867001</v>
      </c>
      <c r="K989">
        <f t="shared" si="18"/>
        <v>0</v>
      </c>
    </row>
    <row r="990" spans="9:11" x14ac:dyDescent="0.2">
      <c r="I990">
        <v>980</v>
      </c>
      <c r="J990" s="4">
        <v>3020741108.9076614</v>
      </c>
      <c r="K990">
        <f t="shared" si="18"/>
        <v>0</v>
      </c>
    </row>
    <row r="991" spans="9:11" x14ac:dyDescent="0.2">
      <c r="I991">
        <v>981</v>
      </c>
      <c r="J991" s="4">
        <v>2949787448.1615834</v>
      </c>
      <c r="K991">
        <f t="shared" si="18"/>
        <v>0</v>
      </c>
    </row>
    <row r="992" spans="9:11" x14ac:dyDescent="0.2">
      <c r="I992">
        <v>982</v>
      </c>
      <c r="J992" s="4">
        <v>2882209104.7775578</v>
      </c>
      <c r="K992">
        <f t="shared" si="18"/>
        <v>0</v>
      </c>
    </row>
    <row r="993" spans="9:11" x14ac:dyDescent="0.2">
      <c r="I993">
        <v>983</v>
      </c>
      <c r="J993" s="4">
        <v>2736468254.3747578</v>
      </c>
      <c r="K993">
        <f t="shared" si="18"/>
        <v>0</v>
      </c>
    </row>
    <row r="994" spans="9:11" x14ac:dyDescent="0.2">
      <c r="I994">
        <v>984</v>
      </c>
      <c r="J994" s="4">
        <v>2717629356.0500627</v>
      </c>
      <c r="K994">
        <f t="shared" si="18"/>
        <v>0</v>
      </c>
    </row>
    <row r="995" spans="9:11" x14ac:dyDescent="0.2">
      <c r="I995">
        <v>985</v>
      </c>
      <c r="J995" s="4">
        <v>2979147717.1555252</v>
      </c>
      <c r="K995">
        <f t="shared" si="18"/>
        <v>0</v>
      </c>
    </row>
    <row r="996" spans="9:11" x14ac:dyDescent="0.2">
      <c r="I996">
        <v>986</v>
      </c>
      <c r="J996" s="4">
        <v>2971460288.5708961</v>
      </c>
      <c r="K996">
        <f t="shared" si="18"/>
        <v>0</v>
      </c>
    </row>
    <row r="997" spans="9:11" x14ac:dyDescent="0.2">
      <c r="I997">
        <v>987</v>
      </c>
      <c r="J997" s="4">
        <v>2820174449.3761868</v>
      </c>
      <c r="K997">
        <f t="shared" si="18"/>
        <v>0</v>
      </c>
    </row>
    <row r="998" spans="9:11" x14ac:dyDescent="0.2">
      <c r="I998">
        <v>988</v>
      </c>
      <c r="J998" s="4">
        <v>2610411855.7704201</v>
      </c>
      <c r="K998">
        <f t="shared" si="18"/>
        <v>0</v>
      </c>
    </row>
    <row r="999" spans="9:11" x14ac:dyDescent="0.2">
      <c r="I999">
        <v>989</v>
      </c>
      <c r="J999" s="4">
        <v>2818563966.1408153</v>
      </c>
      <c r="K999">
        <f t="shared" si="18"/>
        <v>0</v>
      </c>
    </row>
    <row r="1000" spans="9:11" x14ac:dyDescent="0.2">
      <c r="I1000">
        <v>990</v>
      </c>
      <c r="J1000" s="4">
        <v>3466955085.8264413</v>
      </c>
      <c r="K1000">
        <f t="shared" si="18"/>
        <v>0</v>
      </c>
    </row>
    <row r="1001" spans="9:11" x14ac:dyDescent="0.2">
      <c r="I1001">
        <v>991</v>
      </c>
      <c r="J1001" s="4">
        <v>2756464235.0304503</v>
      </c>
      <c r="K1001">
        <f t="shared" si="18"/>
        <v>0</v>
      </c>
    </row>
    <row r="1002" spans="9:11" x14ac:dyDescent="0.2">
      <c r="I1002">
        <v>992</v>
      </c>
      <c r="J1002" s="4">
        <v>2895219884.8528914</v>
      </c>
      <c r="K1002">
        <f t="shared" si="18"/>
        <v>0</v>
      </c>
    </row>
    <row r="1003" spans="9:11" x14ac:dyDescent="0.2">
      <c r="I1003">
        <v>993</v>
      </c>
      <c r="J1003" s="4">
        <v>2953125719.6523461</v>
      </c>
      <c r="K1003">
        <f t="shared" si="18"/>
        <v>0</v>
      </c>
    </row>
    <row r="1004" spans="9:11" x14ac:dyDescent="0.2">
      <c r="I1004">
        <v>994</v>
      </c>
      <c r="J1004" s="4">
        <v>3045863649.1864944</v>
      </c>
      <c r="K1004">
        <f t="shared" si="18"/>
        <v>0</v>
      </c>
    </row>
    <row r="1005" spans="9:11" x14ac:dyDescent="0.2">
      <c r="I1005">
        <v>995</v>
      </c>
      <c r="J1005" s="4">
        <v>3298265621.2682261</v>
      </c>
      <c r="K1005">
        <f t="shared" si="18"/>
        <v>0</v>
      </c>
    </row>
    <row r="1006" spans="9:11" x14ac:dyDescent="0.2">
      <c r="I1006">
        <v>996</v>
      </c>
      <c r="J1006" s="4">
        <v>2900393572.8315554</v>
      </c>
      <c r="K1006">
        <f t="shared" si="18"/>
        <v>0</v>
      </c>
    </row>
    <row r="1007" spans="9:11" x14ac:dyDescent="0.2">
      <c r="I1007">
        <v>997</v>
      </c>
      <c r="J1007" s="4">
        <v>2967595960.3905768</v>
      </c>
      <c r="K1007">
        <f t="shared" si="18"/>
        <v>0</v>
      </c>
    </row>
    <row r="1008" spans="9:11" x14ac:dyDescent="0.2">
      <c r="I1008">
        <v>998</v>
      </c>
      <c r="J1008" s="4">
        <v>3108081096.0716529</v>
      </c>
      <c r="K1008">
        <f t="shared" si="18"/>
        <v>0</v>
      </c>
    </row>
    <row r="1009" spans="9:11" x14ac:dyDescent="0.2">
      <c r="I1009">
        <v>999</v>
      </c>
      <c r="J1009" s="4">
        <v>3109898384.1893115</v>
      </c>
      <c r="K1009">
        <f t="shared" si="18"/>
        <v>0</v>
      </c>
    </row>
    <row r="1010" spans="9:11" x14ac:dyDescent="0.2">
      <c r="I1010">
        <v>1000</v>
      </c>
      <c r="J1010" s="4">
        <v>2985298328.0552001</v>
      </c>
      <c r="K1010">
        <f t="shared" si="18"/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1B1F-82D5-1642-B9E3-66C40E4C9603}">
  <dimension ref="A4:AA1009"/>
  <sheetViews>
    <sheetView zoomScale="143" workbookViewId="0">
      <selection activeCell="R11" sqref="R11"/>
    </sheetView>
  </sheetViews>
  <sheetFormatPr baseColWidth="10" defaultRowHeight="16" x14ac:dyDescent="0.2"/>
  <cols>
    <col min="2" max="5" width="19.5" bestFit="1" customWidth="1"/>
    <col min="6" max="6" width="25.33203125" bestFit="1" customWidth="1"/>
    <col min="8" max="8" width="12.33203125" bestFit="1" customWidth="1"/>
    <col min="9" max="9" width="21" bestFit="1" customWidth="1"/>
    <col min="10" max="10" width="14.33203125" bestFit="1" customWidth="1"/>
    <col min="11" max="11" width="34.6640625" bestFit="1" customWidth="1"/>
    <col min="12" max="12" width="20.6640625" bestFit="1" customWidth="1"/>
    <col min="13" max="13" width="26.6640625" bestFit="1" customWidth="1"/>
    <col min="14" max="14" width="27.1640625" bestFit="1" customWidth="1"/>
    <col min="15" max="15" width="20.6640625" bestFit="1" customWidth="1"/>
    <col min="16" max="16" width="11.1640625" bestFit="1" customWidth="1"/>
    <col min="18" max="18" width="11.6640625" bestFit="1" customWidth="1"/>
    <col min="19" max="19" width="11.1640625" bestFit="1" customWidth="1"/>
    <col min="21" max="21" width="11.5" bestFit="1" customWidth="1"/>
    <col min="22" max="22" width="11" bestFit="1" customWidth="1"/>
    <col min="26" max="26" width="16.83203125" bestFit="1" customWidth="1"/>
    <col min="27" max="27" width="19.6640625" bestFit="1" customWidth="1"/>
  </cols>
  <sheetData>
    <row r="4" spans="1:27" x14ac:dyDescent="0.2">
      <c r="H4" s="10" t="s">
        <v>75</v>
      </c>
      <c r="I4" s="35">
        <v>0.06</v>
      </c>
    </row>
    <row r="6" spans="1:27" x14ac:dyDescent="0.2">
      <c r="H6" s="10" t="s">
        <v>76</v>
      </c>
      <c r="I6" s="4">
        <f ca="1">NPV(I4,F12:F31)</f>
        <v>3109055821.3342957</v>
      </c>
    </row>
    <row r="8" spans="1:27" x14ac:dyDescent="0.2">
      <c r="H8" s="10" t="s">
        <v>107</v>
      </c>
      <c r="I8" s="10"/>
      <c r="J8" s="10" t="s">
        <v>112</v>
      </c>
      <c r="K8" s="10" t="s">
        <v>124</v>
      </c>
    </row>
    <row r="9" spans="1:27" x14ac:dyDescent="0.2">
      <c r="H9" s="47" t="s">
        <v>78</v>
      </c>
      <c r="I9" s="47" t="s">
        <v>76</v>
      </c>
      <c r="K9" s="58">
        <f ca="1">SUM(J10:J1009)/1000</f>
        <v>0</v>
      </c>
    </row>
    <row r="10" spans="1:27" ht="17" thickBot="1" x14ac:dyDescent="0.25">
      <c r="H10">
        <v>1</v>
      </c>
      <c r="I10" s="24">
        <f ca="1">I6</f>
        <v>3109055821.3342957</v>
      </c>
      <c r="J10">
        <f ca="1">IF(I10&lt;1700000000,1,0)</f>
        <v>0</v>
      </c>
    </row>
    <row r="11" spans="1:27" ht="17" thickBot="1" x14ac:dyDescent="0.25">
      <c r="B11" s="10" t="s">
        <v>105</v>
      </c>
      <c r="C11" s="10" t="s">
        <v>104</v>
      </c>
      <c r="D11" s="10" t="s">
        <v>93</v>
      </c>
      <c r="E11" s="10" t="s">
        <v>97</v>
      </c>
      <c r="F11" s="10" t="s">
        <v>106</v>
      </c>
      <c r="H11">
        <v>2</v>
      </c>
      <c r="I11" s="24">
        <f t="dataTable" ref="I11:I1009" dt2D="0" dtr="0" r1="I9" ca="1"/>
        <v>3046564592.6385589</v>
      </c>
      <c r="J11">
        <f t="shared" ref="J11:J74" si="0">IF(I11&lt;1700000000,1,0)</f>
        <v>0</v>
      </c>
      <c r="L11" s="49" t="s">
        <v>109</v>
      </c>
      <c r="M11" s="48"/>
      <c r="N11" s="50" t="s">
        <v>103</v>
      </c>
      <c r="O11" s="56" t="s">
        <v>102</v>
      </c>
      <c r="P11" s="56" t="s">
        <v>101</v>
      </c>
      <c r="R11" s="84" t="s">
        <v>137</v>
      </c>
      <c r="U11" s="39"/>
      <c r="V11" s="39"/>
      <c r="Z11" s="63" t="s">
        <v>114</v>
      </c>
      <c r="AA11" s="4">
        <f>M13</f>
        <v>3143510833.3941784</v>
      </c>
    </row>
    <row r="12" spans="1:27" x14ac:dyDescent="0.2">
      <c r="A12">
        <v>1</v>
      </c>
      <c r="B12" s="4">
        <f ca="1">'Varity A - Carménère'!BC10</f>
        <v>331279895.94403732</v>
      </c>
      <c r="C12" s="4">
        <f ca="1">'Varity C - Syrah'!AU10</f>
        <v>209184368.22279817</v>
      </c>
      <c r="D12" s="4">
        <f ca="1">B12/2</f>
        <v>165639947.97201866</v>
      </c>
      <c r="E12" s="4">
        <f ca="1">C12/2</f>
        <v>104592184.11139908</v>
      </c>
      <c r="F12" s="4">
        <f ca="1">D12+E12</f>
        <v>270232132.08341777</v>
      </c>
      <c r="H12">
        <v>3</v>
      </c>
      <c r="I12" s="24">
        <v>3089908110.3280392</v>
      </c>
      <c r="J12">
        <f t="shared" si="0"/>
        <v>0</v>
      </c>
      <c r="N12" s="4">
        <f ca="1">I6-M13</f>
        <v>-34455012.059882641</v>
      </c>
      <c r="O12" s="4">
        <v>2681212794.6355863</v>
      </c>
      <c r="P12">
        <v>2</v>
      </c>
      <c r="Z12" s="63" t="s">
        <v>82</v>
      </c>
      <c r="AA12">
        <f>M17</f>
        <v>149572815.62639216</v>
      </c>
    </row>
    <row r="13" spans="1:27" x14ac:dyDescent="0.2">
      <c r="A13">
        <v>2</v>
      </c>
      <c r="B13" s="4">
        <f ca="1">'Varity A - Carménère'!BC11</f>
        <v>333841938.63291919</v>
      </c>
      <c r="C13" s="4">
        <f ca="1">'Varity C - Syrah'!AU11</f>
        <v>388935872.55145568</v>
      </c>
      <c r="D13" s="4">
        <f t="shared" ref="D13:D31" ca="1" si="1">B13/2</f>
        <v>166920969.3164596</v>
      </c>
      <c r="E13" s="4">
        <f t="shared" ref="E13:E31" ca="1" si="2">C13/2</f>
        <v>194467936.27572784</v>
      </c>
      <c r="F13" s="4">
        <f t="shared" ref="F13:F31" ca="1" si="3">D13+E13</f>
        <v>361388905.5921874</v>
      </c>
      <c r="H13">
        <v>4</v>
      </c>
      <c r="I13" s="24">
        <v>3281238301.1237521</v>
      </c>
      <c r="J13">
        <f t="shared" si="0"/>
        <v>0</v>
      </c>
      <c r="L13" s="1" t="s">
        <v>1</v>
      </c>
      <c r="M13" s="38">
        <v>3143510833.3941784</v>
      </c>
      <c r="O13" s="4">
        <v>2710524651.909771</v>
      </c>
      <c r="P13">
        <v>2</v>
      </c>
      <c r="Z13" s="63" t="s">
        <v>115</v>
      </c>
      <c r="AA13">
        <v>1000</v>
      </c>
    </row>
    <row r="14" spans="1:27" x14ac:dyDescent="0.2">
      <c r="A14">
        <v>3</v>
      </c>
      <c r="B14" s="4">
        <f ca="1">'Varity A - Carménère'!BC12</f>
        <v>386051261.17753923</v>
      </c>
      <c r="C14" s="4">
        <f ca="1">'Varity C - Syrah'!AU12</f>
        <v>146763577.01820379</v>
      </c>
      <c r="D14" s="4">
        <f t="shared" ca="1" si="1"/>
        <v>193025630.58876961</v>
      </c>
      <c r="E14" s="4">
        <f t="shared" ca="1" si="2"/>
        <v>73381788.509101897</v>
      </c>
      <c r="F14" s="4">
        <f t="shared" ca="1" si="3"/>
        <v>266407419.09787151</v>
      </c>
      <c r="H14">
        <v>5</v>
      </c>
      <c r="I14" s="24">
        <v>3030306790.4026775</v>
      </c>
      <c r="J14">
        <f t="shared" si="0"/>
        <v>0</v>
      </c>
      <c r="L14" t="s">
        <v>79</v>
      </c>
      <c r="M14">
        <v>4729907.7342382381</v>
      </c>
      <c r="O14" s="4">
        <v>2739836509.1839557</v>
      </c>
      <c r="P14">
        <v>1</v>
      </c>
      <c r="Z14" s="63" t="s">
        <v>116</v>
      </c>
      <c r="AA14" s="35">
        <v>0.95</v>
      </c>
    </row>
    <row r="15" spans="1:27" x14ac:dyDescent="0.2">
      <c r="A15">
        <v>4</v>
      </c>
      <c r="B15" s="4">
        <f ca="1">'Varity A - Carménère'!BC13</f>
        <v>227757817.1930654</v>
      </c>
      <c r="C15" s="4">
        <f ca="1">'Varity C - Syrah'!AU13</f>
        <v>262904225.21342003</v>
      </c>
      <c r="D15" s="4">
        <f t="shared" ca="1" si="1"/>
        <v>113878908.5965327</v>
      </c>
      <c r="E15" s="4">
        <f t="shared" ca="1" si="2"/>
        <v>131452112.60671002</v>
      </c>
      <c r="F15" s="4">
        <f t="shared" ca="1" si="3"/>
        <v>245331021.20324272</v>
      </c>
      <c r="H15">
        <v>6</v>
      </c>
      <c r="I15" s="24">
        <v>3233234146.973845</v>
      </c>
      <c r="J15">
        <f t="shared" si="0"/>
        <v>0</v>
      </c>
      <c r="L15" t="s">
        <v>80</v>
      </c>
      <c r="M15">
        <v>3141862936.4970059</v>
      </c>
      <c r="O15" s="4">
        <v>2769148366.4581404</v>
      </c>
      <c r="P15">
        <v>6</v>
      </c>
      <c r="Z15" s="63"/>
    </row>
    <row r="16" spans="1:27" x14ac:dyDescent="0.2">
      <c r="A16">
        <v>5</v>
      </c>
      <c r="B16" s="4">
        <f ca="1">'Varity A - Carménère'!BC14</f>
        <v>377208657.6407972</v>
      </c>
      <c r="C16" s="4">
        <f ca="1">'Varity C - Syrah'!AU14</f>
        <v>488000229.85759228</v>
      </c>
      <c r="D16" s="4">
        <f t="shared" ca="1" si="1"/>
        <v>188604328.8203986</v>
      </c>
      <c r="E16" s="4">
        <f t="shared" ca="1" si="2"/>
        <v>244000114.92879614</v>
      </c>
      <c r="F16" s="4">
        <f t="shared" ca="1" si="3"/>
        <v>432604443.74919474</v>
      </c>
      <c r="H16">
        <v>7</v>
      </c>
      <c r="I16" s="24">
        <v>3397682697.1399078</v>
      </c>
      <c r="J16">
        <f t="shared" si="0"/>
        <v>0</v>
      </c>
      <c r="L16" t="s">
        <v>81</v>
      </c>
      <c r="M16" t="e">
        <v>#N/A</v>
      </c>
      <c r="O16" s="4">
        <v>2798460223.7323246</v>
      </c>
      <c r="P16">
        <v>7</v>
      </c>
      <c r="Z16" s="47" t="s">
        <v>117</v>
      </c>
      <c r="AA16" s="4">
        <f>_xlfn.CONFIDENCE.NORM(1-AA14,AA12,AA13)</f>
        <v>9270448.8093043938</v>
      </c>
    </row>
    <row r="17" spans="1:27" x14ac:dyDescent="0.2">
      <c r="A17">
        <v>6</v>
      </c>
      <c r="B17" s="4">
        <f ca="1">'Varity A - Carménère'!BC15</f>
        <v>163197880.47879791</v>
      </c>
      <c r="C17" s="4">
        <f ca="1">'Varity C - Syrah'!AU15</f>
        <v>306242381.82856083</v>
      </c>
      <c r="D17" s="4">
        <f t="shared" ca="1" si="1"/>
        <v>81598940.239398956</v>
      </c>
      <c r="E17" s="4">
        <f t="shared" ca="1" si="2"/>
        <v>153121190.91428041</v>
      </c>
      <c r="F17" s="4">
        <f t="shared" ca="1" si="3"/>
        <v>234720131.15367937</v>
      </c>
      <c r="H17">
        <v>8</v>
      </c>
      <c r="I17" s="24">
        <v>3405408703.3967218</v>
      </c>
      <c r="J17">
        <f t="shared" si="0"/>
        <v>0</v>
      </c>
      <c r="L17" s="1" t="s">
        <v>82</v>
      </c>
      <c r="M17" s="1">
        <v>149572815.62639216</v>
      </c>
      <c r="O17" s="4">
        <v>2827772081.0065093</v>
      </c>
      <c r="P17">
        <v>6</v>
      </c>
      <c r="Z17" s="63" t="s">
        <v>118</v>
      </c>
      <c r="AA17" s="4">
        <f>AA11-AA16</f>
        <v>3134240384.5848742</v>
      </c>
    </row>
    <row r="18" spans="1:27" x14ac:dyDescent="0.2">
      <c r="A18">
        <v>7</v>
      </c>
      <c r="B18" s="4">
        <f ca="1">'Varity A - Carménère'!BC16</f>
        <v>182981368.38692796</v>
      </c>
      <c r="C18" s="4">
        <f ca="1">'Varity C - Syrah'!AU16</f>
        <v>159000776.91198897</v>
      </c>
      <c r="D18" s="4">
        <f t="shared" ca="1" si="1"/>
        <v>91490684.193463981</v>
      </c>
      <c r="E18" s="4">
        <f t="shared" ca="1" si="2"/>
        <v>79500388.455994487</v>
      </c>
      <c r="F18" s="4">
        <f t="shared" ca="1" si="3"/>
        <v>170991072.64945847</v>
      </c>
      <c r="H18">
        <v>9</v>
      </c>
      <c r="I18" s="24">
        <v>3200360708.5662804</v>
      </c>
      <c r="J18">
        <f t="shared" si="0"/>
        <v>0</v>
      </c>
      <c r="L18" t="s">
        <v>83</v>
      </c>
      <c r="M18">
        <v>2.23720271744067E+16</v>
      </c>
      <c r="O18" s="4">
        <v>2857083938.280694</v>
      </c>
      <c r="P18">
        <v>15</v>
      </c>
      <c r="Z18" s="63" t="s">
        <v>119</v>
      </c>
      <c r="AA18" s="4">
        <f>AA11+AA16</f>
        <v>3152781282.2034826</v>
      </c>
    </row>
    <row r="19" spans="1:27" x14ac:dyDescent="0.2">
      <c r="A19">
        <v>8</v>
      </c>
      <c r="B19" s="4">
        <f ca="1">'Varity A - Carménère'!BC17</f>
        <v>306738222.04553396</v>
      </c>
      <c r="C19" s="4">
        <f ca="1">'Varity C - Syrah'!AU17</f>
        <v>348816366.88180315</v>
      </c>
      <c r="D19" s="4">
        <f t="shared" ca="1" si="1"/>
        <v>153369111.02276698</v>
      </c>
      <c r="E19" s="4">
        <f t="shared" ca="1" si="2"/>
        <v>174408183.44090158</v>
      </c>
      <c r="F19" s="4">
        <f t="shared" ca="1" si="3"/>
        <v>327777294.46366858</v>
      </c>
      <c r="H19">
        <v>10</v>
      </c>
      <c r="I19" s="24">
        <v>2824795061.1981511</v>
      </c>
      <c r="J19">
        <f t="shared" si="0"/>
        <v>0</v>
      </c>
      <c r="L19" s="1" t="s">
        <v>84</v>
      </c>
      <c r="M19" s="1">
        <v>0.10643579554153071</v>
      </c>
      <c r="O19" s="4">
        <v>2886395795.5548787</v>
      </c>
      <c r="P19">
        <v>18</v>
      </c>
      <c r="Z19" s="47" t="s">
        <v>134</v>
      </c>
      <c r="AA19" s="4">
        <f>AA18-AA17</f>
        <v>18540897.618608475</v>
      </c>
    </row>
    <row r="20" spans="1:27" x14ac:dyDescent="0.2">
      <c r="A20">
        <v>9</v>
      </c>
      <c r="B20" s="4">
        <f ca="1">'Varity A - Carménère'!BC18</f>
        <v>315690935.01321745</v>
      </c>
      <c r="C20" s="4">
        <f ca="1">'Varity C - Syrah'!AU18</f>
        <v>90235928.896359771</v>
      </c>
      <c r="D20" s="4">
        <f t="shared" ca="1" si="1"/>
        <v>157845467.50660872</v>
      </c>
      <c r="E20" s="4">
        <f t="shared" ca="1" si="2"/>
        <v>45117964.448179886</v>
      </c>
      <c r="F20" s="4">
        <f t="shared" ca="1" si="3"/>
        <v>202963431.95478863</v>
      </c>
      <c r="H20">
        <v>11</v>
      </c>
      <c r="I20" s="24">
        <v>3157967170.844995</v>
      </c>
      <c r="J20">
        <f t="shared" si="0"/>
        <v>0</v>
      </c>
      <c r="L20" s="1" t="s">
        <v>85</v>
      </c>
      <c r="M20" s="1">
        <v>1.1080752637626611E-3</v>
      </c>
      <c r="O20" s="4">
        <v>2915707652.8290634</v>
      </c>
      <c r="P20">
        <v>31</v>
      </c>
    </row>
    <row r="21" spans="1:27" x14ac:dyDescent="0.2">
      <c r="A21">
        <v>10</v>
      </c>
      <c r="B21" s="4">
        <f ca="1">'Varity A - Carménère'!BC19</f>
        <v>220857505.61296651</v>
      </c>
      <c r="C21" s="4">
        <f ca="1">'Varity C - Syrah'!AU19</f>
        <v>250055666.26354805</v>
      </c>
      <c r="D21" s="4">
        <f t="shared" ca="1" si="1"/>
        <v>110428752.80648325</v>
      </c>
      <c r="E21" s="4">
        <f t="shared" ca="1" si="2"/>
        <v>125027833.13177402</v>
      </c>
      <c r="F21" s="4">
        <f t="shared" ca="1" si="3"/>
        <v>235456585.93825728</v>
      </c>
      <c r="H21">
        <v>12</v>
      </c>
      <c r="I21" s="24">
        <v>3153424107.9294958</v>
      </c>
      <c r="J21">
        <f t="shared" si="0"/>
        <v>0</v>
      </c>
      <c r="L21" s="1" t="s">
        <v>86</v>
      </c>
      <c r="M21" s="38">
        <v>1010340126.2080774</v>
      </c>
      <c r="O21" s="4">
        <v>2945019510.1032476</v>
      </c>
      <c r="P21">
        <v>25</v>
      </c>
    </row>
    <row r="22" spans="1:27" x14ac:dyDescent="0.2">
      <c r="A22">
        <v>11</v>
      </c>
      <c r="B22" s="4">
        <f ca="1">'Varity A - Carménère'!BC20</f>
        <v>344692451.19253069</v>
      </c>
      <c r="C22" s="4">
        <f ca="1">'Varity C - Syrah'!AU20</f>
        <v>176211565.15721992</v>
      </c>
      <c r="D22" s="4">
        <f t="shared" ca="1" si="1"/>
        <v>172346225.59626535</v>
      </c>
      <c r="E22" s="4">
        <f t="shared" ca="1" si="2"/>
        <v>88105782.578609958</v>
      </c>
      <c r="F22" s="4">
        <f t="shared" ca="1" si="3"/>
        <v>260452008.17487532</v>
      </c>
      <c r="H22">
        <v>13</v>
      </c>
      <c r="I22" s="24">
        <v>3325548530.5192227</v>
      </c>
      <c r="J22">
        <f t="shared" si="0"/>
        <v>0</v>
      </c>
      <c r="L22" s="1" t="s">
        <v>87</v>
      </c>
      <c r="M22" s="38">
        <v>2624939572.338182</v>
      </c>
      <c r="O22" s="4">
        <v>2974331367.3774323</v>
      </c>
      <c r="P22">
        <v>40</v>
      </c>
    </row>
    <row r="23" spans="1:27" x14ac:dyDescent="0.2">
      <c r="A23">
        <v>12</v>
      </c>
      <c r="B23" s="4">
        <f ca="1">'Varity A - Carménère'!BC21</f>
        <v>188049537.51162043</v>
      </c>
      <c r="C23" s="4">
        <f ca="1">'Varity C - Syrah'!AU21</f>
        <v>305785294.6659354</v>
      </c>
      <c r="D23" s="4">
        <f t="shared" ca="1" si="1"/>
        <v>94024768.755810216</v>
      </c>
      <c r="E23" s="4">
        <f t="shared" ca="1" si="2"/>
        <v>152892647.3329677</v>
      </c>
      <c r="F23" s="4">
        <f t="shared" ca="1" si="3"/>
        <v>246917416.0887779</v>
      </c>
      <c r="H23">
        <v>14</v>
      </c>
      <c r="I23" s="24">
        <v>2816205683.8744702</v>
      </c>
      <c r="J23">
        <f t="shared" si="0"/>
        <v>0</v>
      </c>
      <c r="L23" s="1" t="s">
        <v>88</v>
      </c>
      <c r="M23" s="38">
        <v>3635279698.5462594</v>
      </c>
      <c r="O23" s="4">
        <v>3003643224.6516171</v>
      </c>
      <c r="P23">
        <v>41</v>
      </c>
    </row>
    <row r="24" spans="1:27" x14ac:dyDescent="0.2">
      <c r="A24">
        <v>13</v>
      </c>
      <c r="B24" s="4">
        <f ca="1">'Varity A - Carménère'!BC22</f>
        <v>201484783.32206517</v>
      </c>
      <c r="C24" s="4">
        <f ca="1">'Varity C - Syrah'!AU22</f>
        <v>209264267.98595262</v>
      </c>
      <c r="D24" s="4">
        <f t="shared" ca="1" si="1"/>
        <v>100742391.66103259</v>
      </c>
      <c r="E24" s="4">
        <f t="shared" ca="1" si="2"/>
        <v>104632133.99297631</v>
      </c>
      <c r="F24" s="4">
        <f t="shared" ca="1" si="3"/>
        <v>205374525.6540089</v>
      </c>
      <c r="H24">
        <v>15</v>
      </c>
      <c r="I24" s="24">
        <v>3405375675.7758565</v>
      </c>
      <c r="J24">
        <f t="shared" si="0"/>
        <v>0</v>
      </c>
      <c r="L24" t="s">
        <v>89</v>
      </c>
      <c r="M24">
        <v>3143510833394.1782</v>
      </c>
      <c r="O24" s="4">
        <v>3032955081.9258018</v>
      </c>
      <c r="P24">
        <v>52</v>
      </c>
    </row>
    <row r="25" spans="1:27" ht="17" thickBot="1" x14ac:dyDescent="0.25">
      <c r="A25">
        <v>14</v>
      </c>
      <c r="B25" s="4">
        <f ca="1">'Varity A - Carménère'!BC23</f>
        <v>397765015.06750071</v>
      </c>
      <c r="C25" s="4">
        <f ca="1">'Varity C - Syrah'!AU23</f>
        <v>196114888.79109278</v>
      </c>
      <c r="D25" s="4">
        <f t="shared" ca="1" si="1"/>
        <v>198882507.53375036</v>
      </c>
      <c r="E25" s="4">
        <f t="shared" ca="1" si="2"/>
        <v>98057444.395546392</v>
      </c>
      <c r="F25" s="4">
        <f t="shared" ca="1" si="3"/>
        <v>296939951.92929673</v>
      </c>
      <c r="H25">
        <v>16</v>
      </c>
      <c r="I25" s="24">
        <v>3121716341.3008504</v>
      </c>
      <c r="J25">
        <f t="shared" si="0"/>
        <v>0</v>
      </c>
      <c r="L25" s="85" t="s">
        <v>90</v>
      </c>
      <c r="M25" s="85">
        <v>1000</v>
      </c>
      <c r="O25" s="4">
        <v>3062266939.1999865</v>
      </c>
      <c r="P25">
        <v>79</v>
      </c>
    </row>
    <row r="26" spans="1:27" x14ac:dyDescent="0.2">
      <c r="A26">
        <v>15</v>
      </c>
      <c r="B26" s="4">
        <f ca="1">'Varity A - Carménère'!BC24</f>
        <v>393138990.45658851</v>
      </c>
      <c r="C26" s="4">
        <f ca="1">'Varity C - Syrah'!AU24</f>
        <v>245488744.31717837</v>
      </c>
      <c r="D26" s="4">
        <f t="shared" ca="1" si="1"/>
        <v>196569495.22829425</v>
      </c>
      <c r="E26" s="4">
        <f t="shared" ca="1" si="2"/>
        <v>122744372.15858918</v>
      </c>
      <c r="F26" s="4">
        <f t="shared" ca="1" si="3"/>
        <v>319313867.38688344</v>
      </c>
      <c r="H26">
        <v>17</v>
      </c>
      <c r="I26" s="24">
        <v>3049488387.6502137</v>
      </c>
      <c r="J26">
        <f t="shared" si="0"/>
        <v>0</v>
      </c>
      <c r="O26" s="4">
        <v>3091578796.4741712</v>
      </c>
      <c r="P26">
        <v>75</v>
      </c>
    </row>
    <row r="27" spans="1:27" x14ac:dyDescent="0.2">
      <c r="A27">
        <v>16</v>
      </c>
      <c r="B27" s="4">
        <f ca="1">'Varity A - Carménère'!BC25</f>
        <v>322484964.64363545</v>
      </c>
      <c r="C27" s="4">
        <f ca="1">'Varity C - Syrah'!AU25</f>
        <v>261714151.38940558</v>
      </c>
      <c r="D27" s="4">
        <f t="shared" ca="1" si="1"/>
        <v>161242482.32181773</v>
      </c>
      <c r="E27" s="4">
        <f t="shared" ca="1" si="2"/>
        <v>130857075.69470279</v>
      </c>
      <c r="F27" s="4">
        <f t="shared" ca="1" si="3"/>
        <v>292099558.0165205</v>
      </c>
      <c r="H27">
        <v>18</v>
      </c>
      <c r="I27" s="24">
        <v>3136214611.7946777</v>
      </c>
      <c r="J27">
        <f t="shared" si="0"/>
        <v>0</v>
      </c>
      <c r="O27" s="4">
        <v>3120890653.7483559</v>
      </c>
      <c r="P27">
        <v>66</v>
      </c>
    </row>
    <row r="28" spans="1:27" x14ac:dyDescent="0.2">
      <c r="A28">
        <v>17</v>
      </c>
      <c r="B28" s="4">
        <f ca="1">'Varity A - Carménère'!BC26</f>
        <v>307958089.80101401</v>
      </c>
      <c r="C28" s="4">
        <f ca="1">'Varity C - Syrah'!AU26</f>
        <v>130458842.38677961</v>
      </c>
      <c r="D28" s="4">
        <f t="shared" ca="1" si="1"/>
        <v>153979044.900507</v>
      </c>
      <c r="E28" s="4">
        <f t="shared" ca="1" si="2"/>
        <v>65229421.193389803</v>
      </c>
      <c r="F28" s="4">
        <f t="shared" ca="1" si="3"/>
        <v>219208466.09389681</v>
      </c>
      <c r="H28">
        <v>19</v>
      </c>
      <c r="I28" s="24">
        <v>2951887232.0971117</v>
      </c>
      <c r="J28">
        <f t="shared" si="0"/>
        <v>0</v>
      </c>
      <c r="O28" s="4">
        <v>3150202511.0225401</v>
      </c>
      <c r="P28">
        <v>86</v>
      </c>
    </row>
    <row r="29" spans="1:27" x14ac:dyDescent="0.2">
      <c r="A29">
        <v>18</v>
      </c>
      <c r="B29" s="4">
        <f ca="1">'Varity A - Carménère'!BC27</f>
        <v>210815352.36011261</v>
      </c>
      <c r="C29" s="4">
        <f ca="1">'Varity C - Syrah'!AU27</f>
        <v>154598987.39482883</v>
      </c>
      <c r="D29" s="4">
        <f t="shared" ca="1" si="1"/>
        <v>105407676.1800563</v>
      </c>
      <c r="E29" s="4">
        <f t="shared" ca="1" si="2"/>
        <v>77299493.697414413</v>
      </c>
      <c r="F29" s="4">
        <f t="shared" ca="1" si="3"/>
        <v>182707169.87747073</v>
      </c>
      <c r="H29">
        <v>20</v>
      </c>
      <c r="I29" s="24">
        <v>3459115555.5106778</v>
      </c>
      <c r="J29">
        <f t="shared" si="0"/>
        <v>0</v>
      </c>
      <c r="O29" s="4">
        <v>3179514368.2967248</v>
      </c>
      <c r="P29">
        <v>74</v>
      </c>
    </row>
    <row r="30" spans="1:27" x14ac:dyDescent="0.2">
      <c r="A30">
        <v>19</v>
      </c>
      <c r="B30" s="4">
        <f ca="1">'Varity A - Carménère'!BC28</f>
        <v>408757451.44781792</v>
      </c>
      <c r="C30" s="4">
        <f ca="1">'Varity C - Syrah'!AU28</f>
        <v>236556665.61773461</v>
      </c>
      <c r="D30" s="4">
        <f t="shared" ca="1" si="1"/>
        <v>204378725.72390896</v>
      </c>
      <c r="E30" s="4">
        <f t="shared" ca="1" si="2"/>
        <v>118278332.80886731</v>
      </c>
      <c r="F30" s="4">
        <f t="shared" ca="1" si="3"/>
        <v>322657058.53277624</v>
      </c>
      <c r="H30">
        <v>21</v>
      </c>
      <c r="I30" s="24">
        <v>2869566775.5247202</v>
      </c>
      <c r="J30">
        <f t="shared" si="0"/>
        <v>0</v>
      </c>
      <c r="O30" s="4">
        <v>3208826225.5709095</v>
      </c>
      <c r="P30">
        <v>52</v>
      </c>
    </row>
    <row r="31" spans="1:27" x14ac:dyDescent="0.2">
      <c r="A31">
        <v>20</v>
      </c>
      <c r="B31" s="4">
        <f ca="1">'Varity A - Carménère'!BC29</f>
        <v>200762187.12473738</v>
      </c>
      <c r="C31" s="4">
        <f ca="1">'Varity C - Syrah'!AU29</f>
        <v>228625660.77051014</v>
      </c>
      <c r="D31" s="4">
        <f t="shared" ca="1" si="1"/>
        <v>100381093.56236869</v>
      </c>
      <c r="E31" s="4">
        <f t="shared" ca="1" si="2"/>
        <v>114312830.38525507</v>
      </c>
      <c r="F31" s="4">
        <f t="shared" ca="1" si="3"/>
        <v>214693923.94762376</v>
      </c>
      <c r="H31">
        <v>22</v>
      </c>
      <c r="I31" s="24">
        <v>3197662196.8344355</v>
      </c>
      <c r="J31">
        <f t="shared" si="0"/>
        <v>0</v>
      </c>
      <c r="O31" s="4">
        <v>3238138082.8450942</v>
      </c>
      <c r="P31">
        <v>57</v>
      </c>
    </row>
    <row r="32" spans="1:27" x14ac:dyDescent="0.2">
      <c r="H32">
        <v>23</v>
      </c>
      <c r="I32" s="24">
        <v>3365168600.8171592</v>
      </c>
      <c r="J32">
        <f t="shared" si="0"/>
        <v>0</v>
      </c>
      <c r="O32" s="4">
        <v>3267449940.1192789</v>
      </c>
      <c r="P32">
        <v>57</v>
      </c>
    </row>
    <row r="33" spans="8:16" x14ac:dyDescent="0.2">
      <c r="H33">
        <v>24</v>
      </c>
      <c r="I33" s="24">
        <v>3192986700.9518337</v>
      </c>
      <c r="J33">
        <f t="shared" si="0"/>
        <v>0</v>
      </c>
      <c r="O33" s="4">
        <v>3296761797.3934631</v>
      </c>
      <c r="P33">
        <v>44</v>
      </c>
    </row>
    <row r="34" spans="8:16" x14ac:dyDescent="0.2">
      <c r="H34">
        <v>25</v>
      </c>
      <c r="I34" s="24">
        <v>3139541687.811738</v>
      </c>
      <c r="J34">
        <f t="shared" si="0"/>
        <v>0</v>
      </c>
      <c r="O34" s="4">
        <v>3326073654.6676483</v>
      </c>
      <c r="P34">
        <v>52</v>
      </c>
    </row>
    <row r="35" spans="8:16" x14ac:dyDescent="0.2">
      <c r="H35">
        <v>26</v>
      </c>
      <c r="I35" s="24">
        <v>3171906734.1887593</v>
      </c>
      <c r="J35">
        <f t="shared" si="0"/>
        <v>0</v>
      </c>
      <c r="O35" s="4">
        <v>3355385511.9418325</v>
      </c>
      <c r="P35">
        <v>33</v>
      </c>
    </row>
    <row r="36" spans="8:16" x14ac:dyDescent="0.2">
      <c r="H36">
        <v>27</v>
      </c>
      <c r="I36" s="24">
        <v>3174510587.3427877</v>
      </c>
      <c r="J36">
        <f t="shared" si="0"/>
        <v>0</v>
      </c>
      <c r="O36" s="4">
        <v>3384697369.2160172</v>
      </c>
      <c r="P36">
        <v>20</v>
      </c>
    </row>
    <row r="37" spans="8:16" x14ac:dyDescent="0.2">
      <c r="H37">
        <v>28</v>
      </c>
      <c r="I37" s="24">
        <v>3011781551.7093835</v>
      </c>
      <c r="J37">
        <f t="shared" si="0"/>
        <v>0</v>
      </c>
      <c r="O37" s="4">
        <v>3414009226.490202</v>
      </c>
      <c r="P37">
        <v>21</v>
      </c>
    </row>
    <row r="38" spans="8:16" x14ac:dyDescent="0.2">
      <c r="H38">
        <v>29</v>
      </c>
      <c r="I38" s="24">
        <v>2913770479.0669761</v>
      </c>
      <c r="J38">
        <f t="shared" si="0"/>
        <v>0</v>
      </c>
      <c r="O38" s="4">
        <v>3443321083.7643867</v>
      </c>
      <c r="P38">
        <v>11</v>
      </c>
    </row>
    <row r="39" spans="8:16" x14ac:dyDescent="0.2">
      <c r="H39">
        <v>30</v>
      </c>
      <c r="I39" s="24">
        <v>3139141056.9572864</v>
      </c>
      <c r="J39">
        <f t="shared" si="0"/>
        <v>0</v>
      </c>
      <c r="O39" s="4">
        <v>3472632941.0385714</v>
      </c>
      <c r="P39">
        <v>13</v>
      </c>
    </row>
    <row r="40" spans="8:16" x14ac:dyDescent="0.2">
      <c r="H40">
        <v>31</v>
      </c>
      <c r="I40" s="24">
        <v>3247166761.3677998</v>
      </c>
      <c r="J40">
        <f t="shared" si="0"/>
        <v>0</v>
      </c>
      <c r="O40" s="4">
        <v>3501944798.3127556</v>
      </c>
      <c r="P40">
        <v>5</v>
      </c>
    </row>
    <row r="41" spans="8:16" x14ac:dyDescent="0.2">
      <c r="H41">
        <v>32</v>
      </c>
      <c r="I41" s="24">
        <v>2868958450.9876022</v>
      </c>
      <c r="J41">
        <f t="shared" si="0"/>
        <v>0</v>
      </c>
      <c r="O41" s="4">
        <v>3531256655.5869403</v>
      </c>
      <c r="P41">
        <v>3</v>
      </c>
    </row>
    <row r="42" spans="8:16" x14ac:dyDescent="0.2">
      <c r="H42">
        <v>33</v>
      </c>
      <c r="I42" s="24">
        <v>3152288076.5667076</v>
      </c>
      <c r="J42">
        <f t="shared" si="0"/>
        <v>0</v>
      </c>
      <c r="O42" s="4">
        <v>3560568512.861125</v>
      </c>
      <c r="P42">
        <v>4</v>
      </c>
    </row>
    <row r="43" spans="8:16" ht="17" thickBot="1" x14ac:dyDescent="0.25">
      <c r="H43">
        <v>34</v>
      </c>
      <c r="I43" s="24">
        <v>2941577263.7859268</v>
      </c>
      <c r="J43">
        <f t="shared" si="0"/>
        <v>0</v>
      </c>
      <c r="O43" s="37" t="s">
        <v>100</v>
      </c>
      <c r="P43" s="37">
        <v>2</v>
      </c>
    </row>
    <row r="44" spans="8:16" x14ac:dyDescent="0.2">
      <c r="H44">
        <v>35</v>
      </c>
      <c r="I44" s="24">
        <v>3244642316.9204173</v>
      </c>
      <c r="J44">
        <f t="shared" si="0"/>
        <v>0</v>
      </c>
    </row>
    <row r="45" spans="8:16" x14ac:dyDescent="0.2">
      <c r="H45">
        <v>36</v>
      </c>
      <c r="I45" s="24">
        <v>3246495151.9812913</v>
      </c>
      <c r="J45">
        <f t="shared" si="0"/>
        <v>0</v>
      </c>
    </row>
    <row r="46" spans="8:16" x14ac:dyDescent="0.2">
      <c r="H46">
        <v>37</v>
      </c>
      <c r="I46" s="24">
        <v>3148887887.0381083</v>
      </c>
      <c r="J46">
        <f t="shared" si="0"/>
        <v>0</v>
      </c>
    </row>
    <row r="47" spans="8:16" x14ac:dyDescent="0.2">
      <c r="H47">
        <v>38</v>
      </c>
      <c r="I47" s="24">
        <v>3404646127.6322694</v>
      </c>
      <c r="J47">
        <f t="shared" si="0"/>
        <v>0</v>
      </c>
    </row>
    <row r="48" spans="8:16" x14ac:dyDescent="0.2">
      <c r="H48">
        <v>39</v>
      </c>
      <c r="I48" s="24">
        <v>3095658297.449595</v>
      </c>
      <c r="J48">
        <f t="shared" si="0"/>
        <v>0</v>
      </c>
    </row>
    <row r="49" spans="8:10" x14ac:dyDescent="0.2">
      <c r="H49">
        <v>40</v>
      </c>
      <c r="I49" s="24">
        <v>3218143854.0386863</v>
      </c>
      <c r="J49">
        <f t="shared" si="0"/>
        <v>0</v>
      </c>
    </row>
    <row r="50" spans="8:10" x14ac:dyDescent="0.2">
      <c r="H50">
        <v>41</v>
      </c>
      <c r="I50" s="24">
        <v>3074735318.8472161</v>
      </c>
      <c r="J50">
        <f t="shared" si="0"/>
        <v>0</v>
      </c>
    </row>
    <row r="51" spans="8:10" x14ac:dyDescent="0.2">
      <c r="H51">
        <v>42</v>
      </c>
      <c r="I51" s="24">
        <v>2972604340.1121616</v>
      </c>
      <c r="J51">
        <f t="shared" si="0"/>
        <v>0</v>
      </c>
    </row>
    <row r="52" spans="8:10" x14ac:dyDescent="0.2">
      <c r="H52">
        <v>43</v>
      </c>
      <c r="I52" s="24">
        <v>3235255475.5712972</v>
      </c>
      <c r="J52">
        <f t="shared" si="0"/>
        <v>0</v>
      </c>
    </row>
    <row r="53" spans="8:10" x14ac:dyDescent="0.2">
      <c r="H53">
        <v>44</v>
      </c>
      <c r="I53" s="24">
        <v>3295471535.2071772</v>
      </c>
      <c r="J53">
        <f t="shared" si="0"/>
        <v>0</v>
      </c>
    </row>
    <row r="54" spans="8:10" x14ac:dyDescent="0.2">
      <c r="H54">
        <v>45</v>
      </c>
      <c r="I54" s="24">
        <v>2986000259.0075932</v>
      </c>
      <c r="J54">
        <f t="shared" si="0"/>
        <v>0</v>
      </c>
    </row>
    <row r="55" spans="8:10" x14ac:dyDescent="0.2">
      <c r="H55">
        <v>46</v>
      </c>
      <c r="I55" s="24">
        <v>3206829383.1342239</v>
      </c>
      <c r="J55">
        <f t="shared" si="0"/>
        <v>0</v>
      </c>
    </row>
    <row r="56" spans="8:10" x14ac:dyDescent="0.2">
      <c r="H56">
        <v>47</v>
      </c>
      <c r="I56" s="24">
        <v>2967101414.8773103</v>
      </c>
      <c r="J56">
        <f t="shared" si="0"/>
        <v>0</v>
      </c>
    </row>
    <row r="57" spans="8:10" x14ac:dyDescent="0.2">
      <c r="H57">
        <v>48</v>
      </c>
      <c r="I57" s="24">
        <v>2909504813.0942092</v>
      </c>
      <c r="J57">
        <f t="shared" si="0"/>
        <v>0</v>
      </c>
    </row>
    <row r="58" spans="8:10" x14ac:dyDescent="0.2">
      <c r="H58">
        <v>49</v>
      </c>
      <c r="I58" s="24">
        <v>3100509791.4945059</v>
      </c>
      <c r="J58">
        <f t="shared" si="0"/>
        <v>0</v>
      </c>
    </row>
    <row r="59" spans="8:10" x14ac:dyDescent="0.2">
      <c r="H59">
        <v>50</v>
      </c>
      <c r="I59" s="24">
        <v>3048670320.944654</v>
      </c>
      <c r="J59">
        <f t="shared" si="0"/>
        <v>0</v>
      </c>
    </row>
    <row r="60" spans="8:10" x14ac:dyDescent="0.2">
      <c r="H60">
        <v>51</v>
      </c>
      <c r="I60" s="24">
        <v>2819816627.0137143</v>
      </c>
      <c r="J60">
        <f t="shared" si="0"/>
        <v>0</v>
      </c>
    </row>
    <row r="61" spans="8:10" x14ac:dyDescent="0.2">
      <c r="H61">
        <v>52</v>
      </c>
      <c r="I61" s="24">
        <v>3226721192.8814158</v>
      </c>
      <c r="J61">
        <f t="shared" si="0"/>
        <v>0</v>
      </c>
    </row>
    <row r="62" spans="8:10" x14ac:dyDescent="0.2">
      <c r="H62">
        <v>53</v>
      </c>
      <c r="I62" s="24">
        <v>3266155261.7231255</v>
      </c>
      <c r="J62">
        <f t="shared" si="0"/>
        <v>0</v>
      </c>
    </row>
    <row r="63" spans="8:10" x14ac:dyDescent="0.2">
      <c r="H63">
        <v>54</v>
      </c>
      <c r="I63" s="24">
        <v>2825966496.1886525</v>
      </c>
      <c r="J63">
        <f t="shared" si="0"/>
        <v>0</v>
      </c>
    </row>
    <row r="64" spans="8:10" x14ac:dyDescent="0.2">
      <c r="H64">
        <v>55</v>
      </c>
      <c r="I64" s="24">
        <v>3225269083.8695283</v>
      </c>
      <c r="J64">
        <f t="shared" si="0"/>
        <v>0</v>
      </c>
    </row>
    <row r="65" spans="8:10" x14ac:dyDescent="0.2">
      <c r="H65">
        <v>56</v>
      </c>
      <c r="I65" s="24">
        <v>2972140145.7642632</v>
      </c>
      <c r="J65">
        <f t="shared" si="0"/>
        <v>0</v>
      </c>
    </row>
    <row r="66" spans="8:10" x14ac:dyDescent="0.2">
      <c r="H66">
        <v>57</v>
      </c>
      <c r="I66" s="24">
        <v>3166961561.3073702</v>
      </c>
      <c r="J66">
        <f t="shared" si="0"/>
        <v>0</v>
      </c>
    </row>
    <row r="67" spans="8:10" x14ac:dyDescent="0.2">
      <c r="H67">
        <v>58</v>
      </c>
      <c r="I67" s="24">
        <v>2963055390.0132828</v>
      </c>
      <c r="J67">
        <f t="shared" si="0"/>
        <v>0</v>
      </c>
    </row>
    <row r="68" spans="8:10" x14ac:dyDescent="0.2">
      <c r="H68">
        <v>59</v>
      </c>
      <c r="I68" s="24">
        <v>3330629160.5045238</v>
      </c>
      <c r="J68">
        <f t="shared" si="0"/>
        <v>0</v>
      </c>
    </row>
    <row r="69" spans="8:10" x14ac:dyDescent="0.2">
      <c r="H69">
        <v>60</v>
      </c>
      <c r="I69" s="24">
        <v>3229576455.3594098</v>
      </c>
      <c r="J69">
        <f t="shared" si="0"/>
        <v>0</v>
      </c>
    </row>
    <row r="70" spans="8:10" x14ac:dyDescent="0.2">
      <c r="H70">
        <v>61</v>
      </c>
      <c r="I70" s="24">
        <v>2938706615.1958809</v>
      </c>
      <c r="J70">
        <f t="shared" si="0"/>
        <v>0</v>
      </c>
    </row>
    <row r="71" spans="8:10" x14ac:dyDescent="0.2">
      <c r="H71">
        <v>62</v>
      </c>
      <c r="I71" s="24">
        <v>3407918613.3484702</v>
      </c>
      <c r="J71">
        <f t="shared" si="0"/>
        <v>0</v>
      </c>
    </row>
    <row r="72" spans="8:10" x14ac:dyDescent="0.2">
      <c r="H72">
        <v>63</v>
      </c>
      <c r="I72" s="24">
        <v>2925992455.5181894</v>
      </c>
      <c r="J72">
        <f t="shared" si="0"/>
        <v>0</v>
      </c>
    </row>
    <row r="73" spans="8:10" x14ac:dyDescent="0.2">
      <c r="H73">
        <v>64</v>
      </c>
      <c r="I73" s="24">
        <v>3277508466.71802</v>
      </c>
      <c r="J73">
        <f t="shared" si="0"/>
        <v>0</v>
      </c>
    </row>
    <row r="74" spans="8:10" x14ac:dyDescent="0.2">
      <c r="H74">
        <v>65</v>
      </c>
      <c r="I74" s="24">
        <v>2905331252.5186243</v>
      </c>
      <c r="J74">
        <f t="shared" si="0"/>
        <v>0</v>
      </c>
    </row>
    <row r="75" spans="8:10" x14ac:dyDescent="0.2">
      <c r="H75">
        <v>66</v>
      </c>
      <c r="I75" s="24">
        <v>3181204093.9999228</v>
      </c>
      <c r="J75">
        <f t="shared" ref="J75:J138" si="4">IF(I75&lt;1700000000,1,0)</f>
        <v>0</v>
      </c>
    </row>
    <row r="76" spans="8:10" x14ac:dyDescent="0.2">
      <c r="H76">
        <v>67</v>
      </c>
      <c r="I76" s="24">
        <v>2918341170.0089269</v>
      </c>
      <c r="J76">
        <f t="shared" si="4"/>
        <v>0</v>
      </c>
    </row>
    <row r="77" spans="8:10" x14ac:dyDescent="0.2">
      <c r="H77">
        <v>68</v>
      </c>
      <c r="I77" s="24">
        <v>2989978057.9629183</v>
      </c>
      <c r="J77">
        <f t="shared" si="4"/>
        <v>0</v>
      </c>
    </row>
    <row r="78" spans="8:10" x14ac:dyDescent="0.2">
      <c r="H78">
        <v>69</v>
      </c>
      <c r="I78" s="24">
        <v>3159205427.8295302</v>
      </c>
      <c r="J78">
        <f t="shared" si="4"/>
        <v>0</v>
      </c>
    </row>
    <row r="79" spans="8:10" x14ac:dyDescent="0.2">
      <c r="H79">
        <v>70</v>
      </c>
      <c r="I79" s="24">
        <v>3267726914.5096903</v>
      </c>
      <c r="J79">
        <f t="shared" si="4"/>
        <v>0</v>
      </c>
    </row>
    <row r="80" spans="8:10" x14ac:dyDescent="0.2">
      <c r="H80">
        <v>71</v>
      </c>
      <c r="I80" s="24">
        <v>3229348259.5618763</v>
      </c>
      <c r="J80">
        <f t="shared" si="4"/>
        <v>0</v>
      </c>
    </row>
    <row r="81" spans="8:10" x14ac:dyDescent="0.2">
      <c r="H81">
        <v>72</v>
      </c>
      <c r="I81" s="24">
        <v>3367486784.4879174</v>
      </c>
      <c r="J81">
        <f t="shared" si="4"/>
        <v>0</v>
      </c>
    </row>
    <row r="82" spans="8:10" x14ac:dyDescent="0.2">
      <c r="H82">
        <v>73</v>
      </c>
      <c r="I82" s="24">
        <v>3186259105.7391434</v>
      </c>
      <c r="J82">
        <f t="shared" si="4"/>
        <v>0</v>
      </c>
    </row>
    <row r="83" spans="8:10" x14ac:dyDescent="0.2">
      <c r="H83">
        <v>74</v>
      </c>
      <c r="I83" s="24">
        <v>3141945898.1898656</v>
      </c>
      <c r="J83">
        <f t="shared" si="4"/>
        <v>0</v>
      </c>
    </row>
    <row r="84" spans="8:10" x14ac:dyDescent="0.2">
      <c r="H84">
        <v>75</v>
      </c>
      <c r="I84" s="24">
        <v>3019354323.2543774</v>
      </c>
      <c r="J84">
        <f t="shared" si="4"/>
        <v>0</v>
      </c>
    </row>
    <row r="85" spans="8:10" x14ac:dyDescent="0.2">
      <c r="H85">
        <v>76</v>
      </c>
      <c r="I85" s="24">
        <v>2968028721.411953</v>
      </c>
      <c r="J85">
        <f t="shared" si="4"/>
        <v>0</v>
      </c>
    </row>
    <row r="86" spans="8:10" x14ac:dyDescent="0.2">
      <c r="H86">
        <v>77</v>
      </c>
      <c r="I86" s="24">
        <v>3031694829.7971554</v>
      </c>
      <c r="J86">
        <f t="shared" si="4"/>
        <v>0</v>
      </c>
    </row>
    <row r="87" spans="8:10" x14ac:dyDescent="0.2">
      <c r="H87">
        <v>78</v>
      </c>
      <c r="I87" s="24">
        <v>3127518069.7097888</v>
      </c>
      <c r="J87">
        <f t="shared" si="4"/>
        <v>0</v>
      </c>
    </row>
    <row r="88" spans="8:10" x14ac:dyDescent="0.2">
      <c r="H88">
        <v>79</v>
      </c>
      <c r="I88" s="24">
        <v>3125836293.3976049</v>
      </c>
      <c r="J88">
        <f t="shared" si="4"/>
        <v>0</v>
      </c>
    </row>
    <row r="89" spans="8:10" x14ac:dyDescent="0.2">
      <c r="H89">
        <v>80</v>
      </c>
      <c r="I89" s="24">
        <v>3049183280.5524569</v>
      </c>
      <c r="J89">
        <f t="shared" si="4"/>
        <v>0</v>
      </c>
    </row>
    <row r="90" spans="8:10" x14ac:dyDescent="0.2">
      <c r="H90">
        <v>81</v>
      </c>
      <c r="I90" s="24">
        <v>3108216558.6827288</v>
      </c>
      <c r="J90">
        <f t="shared" si="4"/>
        <v>0</v>
      </c>
    </row>
    <row r="91" spans="8:10" x14ac:dyDescent="0.2">
      <c r="H91">
        <v>82</v>
      </c>
      <c r="I91" s="24">
        <v>2886841628.6691799</v>
      </c>
      <c r="J91">
        <f t="shared" si="4"/>
        <v>0</v>
      </c>
    </row>
    <row r="92" spans="8:10" x14ac:dyDescent="0.2">
      <c r="H92">
        <v>83</v>
      </c>
      <c r="I92" s="24">
        <v>3334266473.2122965</v>
      </c>
      <c r="J92">
        <f t="shared" si="4"/>
        <v>0</v>
      </c>
    </row>
    <row r="93" spans="8:10" x14ac:dyDescent="0.2">
      <c r="H93">
        <v>84</v>
      </c>
      <c r="I93" s="24">
        <v>3331309278.5611753</v>
      </c>
      <c r="J93">
        <f t="shared" si="4"/>
        <v>0</v>
      </c>
    </row>
    <row r="94" spans="8:10" x14ac:dyDescent="0.2">
      <c r="H94">
        <v>85</v>
      </c>
      <c r="I94" s="24">
        <v>3183917881.699141</v>
      </c>
      <c r="J94">
        <f t="shared" si="4"/>
        <v>0</v>
      </c>
    </row>
    <row r="95" spans="8:10" x14ac:dyDescent="0.2">
      <c r="H95">
        <v>86</v>
      </c>
      <c r="I95" s="24">
        <v>3285064334.2191253</v>
      </c>
      <c r="J95">
        <f t="shared" si="4"/>
        <v>0</v>
      </c>
    </row>
    <row r="96" spans="8:10" x14ac:dyDescent="0.2">
      <c r="H96">
        <v>87</v>
      </c>
      <c r="I96" s="24">
        <v>3321043060.8069768</v>
      </c>
      <c r="J96">
        <f t="shared" si="4"/>
        <v>0</v>
      </c>
    </row>
    <row r="97" spans="8:10" x14ac:dyDescent="0.2">
      <c r="H97">
        <v>88</v>
      </c>
      <c r="I97" s="24">
        <v>3098228378.3241296</v>
      </c>
      <c r="J97">
        <f t="shared" si="4"/>
        <v>0</v>
      </c>
    </row>
    <row r="98" spans="8:10" x14ac:dyDescent="0.2">
      <c r="H98">
        <v>89</v>
      </c>
      <c r="I98" s="24">
        <v>3040139107.3842311</v>
      </c>
      <c r="J98">
        <f t="shared" si="4"/>
        <v>0</v>
      </c>
    </row>
    <row r="99" spans="8:10" x14ac:dyDescent="0.2">
      <c r="H99">
        <v>90</v>
      </c>
      <c r="I99" s="24">
        <v>3253696661.2998099</v>
      </c>
      <c r="J99">
        <f t="shared" si="4"/>
        <v>0</v>
      </c>
    </row>
    <row r="100" spans="8:10" x14ac:dyDescent="0.2">
      <c r="H100">
        <v>91</v>
      </c>
      <c r="I100" s="24">
        <v>3041073772.9008193</v>
      </c>
      <c r="J100">
        <f t="shared" si="4"/>
        <v>0</v>
      </c>
    </row>
    <row r="101" spans="8:10" x14ac:dyDescent="0.2">
      <c r="H101">
        <v>92</v>
      </c>
      <c r="I101" s="24">
        <v>3009418704.440835</v>
      </c>
      <c r="J101">
        <f t="shared" si="4"/>
        <v>0</v>
      </c>
    </row>
    <row r="102" spans="8:10" x14ac:dyDescent="0.2">
      <c r="H102">
        <v>93</v>
      </c>
      <c r="I102" s="24">
        <v>3250584073.6222801</v>
      </c>
      <c r="J102">
        <f t="shared" si="4"/>
        <v>0</v>
      </c>
    </row>
    <row r="103" spans="8:10" x14ac:dyDescent="0.2">
      <c r="H103">
        <v>94</v>
      </c>
      <c r="I103" s="24">
        <v>3021254662.7042508</v>
      </c>
      <c r="J103">
        <f t="shared" si="4"/>
        <v>0</v>
      </c>
    </row>
    <row r="104" spans="8:10" x14ac:dyDescent="0.2">
      <c r="H104">
        <v>95</v>
      </c>
      <c r="I104" s="24">
        <v>2936468968.9656162</v>
      </c>
      <c r="J104">
        <f t="shared" si="4"/>
        <v>0</v>
      </c>
    </row>
    <row r="105" spans="8:10" x14ac:dyDescent="0.2">
      <c r="H105">
        <v>96</v>
      </c>
      <c r="I105" s="24">
        <v>3301816839.0541968</v>
      </c>
      <c r="J105">
        <f t="shared" si="4"/>
        <v>0</v>
      </c>
    </row>
    <row r="106" spans="8:10" x14ac:dyDescent="0.2">
      <c r="H106">
        <v>97</v>
      </c>
      <c r="I106" s="24">
        <v>3154654694.0613732</v>
      </c>
      <c r="J106">
        <f t="shared" si="4"/>
        <v>0</v>
      </c>
    </row>
    <row r="107" spans="8:10" x14ac:dyDescent="0.2">
      <c r="H107">
        <v>98</v>
      </c>
      <c r="I107" s="24">
        <v>3170949160.952889</v>
      </c>
      <c r="J107">
        <f t="shared" si="4"/>
        <v>0</v>
      </c>
    </row>
    <row r="108" spans="8:10" x14ac:dyDescent="0.2">
      <c r="H108">
        <v>99</v>
      </c>
      <c r="I108" s="24">
        <v>3336462913.4227357</v>
      </c>
      <c r="J108">
        <f t="shared" si="4"/>
        <v>0</v>
      </c>
    </row>
    <row r="109" spans="8:10" x14ac:dyDescent="0.2">
      <c r="H109">
        <v>100</v>
      </c>
      <c r="I109" s="24">
        <v>3403197848.3950844</v>
      </c>
      <c r="J109">
        <f t="shared" si="4"/>
        <v>0</v>
      </c>
    </row>
    <row r="110" spans="8:10" x14ac:dyDescent="0.2">
      <c r="H110">
        <v>101</v>
      </c>
      <c r="I110" s="24">
        <v>3100626567.8782005</v>
      </c>
      <c r="J110">
        <f t="shared" si="4"/>
        <v>0</v>
      </c>
    </row>
    <row r="111" spans="8:10" x14ac:dyDescent="0.2">
      <c r="H111">
        <v>102</v>
      </c>
      <c r="I111" s="24">
        <v>2884224604.0833158</v>
      </c>
      <c r="J111">
        <f t="shared" si="4"/>
        <v>0</v>
      </c>
    </row>
    <row r="112" spans="8:10" x14ac:dyDescent="0.2">
      <c r="H112">
        <v>103</v>
      </c>
      <c r="I112" s="24">
        <v>3212648248.8877468</v>
      </c>
      <c r="J112">
        <f t="shared" si="4"/>
        <v>0</v>
      </c>
    </row>
    <row r="113" spans="8:10" x14ac:dyDescent="0.2">
      <c r="H113">
        <v>104</v>
      </c>
      <c r="I113" s="24">
        <v>3278048013.9706717</v>
      </c>
      <c r="J113">
        <f t="shared" si="4"/>
        <v>0</v>
      </c>
    </row>
    <row r="114" spans="8:10" x14ac:dyDescent="0.2">
      <c r="H114">
        <v>105</v>
      </c>
      <c r="I114" s="24">
        <v>3271883450.7173209</v>
      </c>
      <c r="J114">
        <f t="shared" si="4"/>
        <v>0</v>
      </c>
    </row>
    <row r="115" spans="8:10" x14ac:dyDescent="0.2">
      <c r="H115">
        <v>106</v>
      </c>
      <c r="I115" s="24">
        <v>3163611841.7244606</v>
      </c>
      <c r="J115">
        <f t="shared" si="4"/>
        <v>0</v>
      </c>
    </row>
    <row r="116" spans="8:10" x14ac:dyDescent="0.2">
      <c r="H116">
        <v>107</v>
      </c>
      <c r="I116" s="24">
        <v>3182733760.5850391</v>
      </c>
      <c r="J116">
        <f t="shared" si="4"/>
        <v>0</v>
      </c>
    </row>
    <row r="117" spans="8:10" x14ac:dyDescent="0.2">
      <c r="H117">
        <v>108</v>
      </c>
      <c r="I117" s="24">
        <v>3195417273.714047</v>
      </c>
      <c r="J117">
        <f t="shared" si="4"/>
        <v>0</v>
      </c>
    </row>
    <row r="118" spans="8:10" x14ac:dyDescent="0.2">
      <c r="H118">
        <v>109</v>
      </c>
      <c r="I118" s="24">
        <v>3093811577.1159167</v>
      </c>
      <c r="J118">
        <f t="shared" si="4"/>
        <v>0</v>
      </c>
    </row>
    <row r="119" spans="8:10" x14ac:dyDescent="0.2">
      <c r="H119">
        <v>110</v>
      </c>
      <c r="I119" s="24">
        <v>2886732842.2536383</v>
      </c>
      <c r="J119">
        <f t="shared" si="4"/>
        <v>0</v>
      </c>
    </row>
    <row r="120" spans="8:10" x14ac:dyDescent="0.2">
      <c r="H120">
        <v>111</v>
      </c>
      <c r="I120" s="24">
        <v>3033201802.3611217</v>
      </c>
      <c r="J120">
        <f t="shared" si="4"/>
        <v>0</v>
      </c>
    </row>
    <row r="121" spans="8:10" x14ac:dyDescent="0.2">
      <c r="H121">
        <v>112</v>
      </c>
      <c r="I121" s="24">
        <v>3141153381.1545148</v>
      </c>
      <c r="J121">
        <f t="shared" si="4"/>
        <v>0</v>
      </c>
    </row>
    <row r="122" spans="8:10" x14ac:dyDescent="0.2">
      <c r="H122">
        <v>113</v>
      </c>
      <c r="I122" s="24">
        <v>2914748162.4433661</v>
      </c>
      <c r="J122">
        <f t="shared" si="4"/>
        <v>0</v>
      </c>
    </row>
    <row r="123" spans="8:10" x14ac:dyDescent="0.2">
      <c r="H123">
        <v>114</v>
      </c>
      <c r="I123" s="24">
        <v>3280326286.5281343</v>
      </c>
      <c r="J123">
        <f t="shared" si="4"/>
        <v>0</v>
      </c>
    </row>
    <row r="124" spans="8:10" x14ac:dyDescent="0.2">
      <c r="H124">
        <v>115</v>
      </c>
      <c r="I124" s="24">
        <v>3255969622.9873419</v>
      </c>
      <c r="J124">
        <f t="shared" si="4"/>
        <v>0</v>
      </c>
    </row>
    <row r="125" spans="8:10" x14ac:dyDescent="0.2">
      <c r="H125">
        <v>116</v>
      </c>
      <c r="I125" s="24">
        <v>3465870700.5630665</v>
      </c>
      <c r="J125">
        <f t="shared" si="4"/>
        <v>0</v>
      </c>
    </row>
    <row r="126" spans="8:10" x14ac:dyDescent="0.2">
      <c r="H126">
        <v>117</v>
      </c>
      <c r="I126" s="24">
        <v>3108651013.5174952</v>
      </c>
      <c r="J126">
        <f t="shared" si="4"/>
        <v>0</v>
      </c>
    </row>
    <row r="127" spans="8:10" x14ac:dyDescent="0.2">
      <c r="H127">
        <v>118</v>
      </c>
      <c r="I127" s="24">
        <v>2835862779.2495909</v>
      </c>
      <c r="J127">
        <f t="shared" si="4"/>
        <v>0</v>
      </c>
    </row>
    <row r="128" spans="8:10" x14ac:dyDescent="0.2">
      <c r="H128">
        <v>119</v>
      </c>
      <c r="I128" s="24">
        <v>3159448050.624876</v>
      </c>
      <c r="J128">
        <f t="shared" si="4"/>
        <v>0</v>
      </c>
    </row>
    <row r="129" spans="8:10" x14ac:dyDescent="0.2">
      <c r="H129">
        <v>120</v>
      </c>
      <c r="I129" s="24">
        <v>2910452434.3547621</v>
      </c>
      <c r="J129">
        <f t="shared" si="4"/>
        <v>0</v>
      </c>
    </row>
    <row r="130" spans="8:10" x14ac:dyDescent="0.2">
      <c r="H130">
        <v>121</v>
      </c>
      <c r="I130" s="24">
        <v>2928993074.0392637</v>
      </c>
      <c r="J130">
        <f t="shared" si="4"/>
        <v>0</v>
      </c>
    </row>
    <row r="131" spans="8:10" x14ac:dyDescent="0.2">
      <c r="H131">
        <v>122</v>
      </c>
      <c r="I131" s="24">
        <v>3139854549.3138313</v>
      </c>
      <c r="J131">
        <f t="shared" si="4"/>
        <v>0</v>
      </c>
    </row>
    <row r="132" spans="8:10" x14ac:dyDescent="0.2">
      <c r="H132">
        <v>123</v>
      </c>
      <c r="I132" s="24">
        <v>3079117277.8987641</v>
      </c>
      <c r="J132">
        <f t="shared" si="4"/>
        <v>0</v>
      </c>
    </row>
    <row r="133" spans="8:10" x14ac:dyDescent="0.2">
      <c r="H133">
        <v>124</v>
      </c>
      <c r="I133" s="24">
        <v>3199778477.8174062</v>
      </c>
      <c r="J133">
        <f t="shared" si="4"/>
        <v>0</v>
      </c>
    </row>
    <row r="134" spans="8:10" x14ac:dyDescent="0.2">
      <c r="H134">
        <v>125</v>
      </c>
      <c r="I134" s="24">
        <v>3361026694.0875211</v>
      </c>
      <c r="J134">
        <f t="shared" si="4"/>
        <v>0</v>
      </c>
    </row>
    <row r="135" spans="8:10" x14ac:dyDescent="0.2">
      <c r="H135">
        <v>126</v>
      </c>
      <c r="I135" s="24">
        <v>2726844921.2174573</v>
      </c>
      <c r="J135">
        <f t="shared" si="4"/>
        <v>0</v>
      </c>
    </row>
    <row r="136" spans="8:10" x14ac:dyDescent="0.2">
      <c r="H136">
        <v>127</v>
      </c>
      <c r="I136" s="24">
        <v>3148472436.273591</v>
      </c>
      <c r="J136">
        <f t="shared" si="4"/>
        <v>0</v>
      </c>
    </row>
    <row r="137" spans="8:10" x14ac:dyDescent="0.2">
      <c r="H137">
        <v>128</v>
      </c>
      <c r="I137" s="24">
        <v>3160651265.04283</v>
      </c>
      <c r="J137">
        <f t="shared" si="4"/>
        <v>0</v>
      </c>
    </row>
    <row r="138" spans="8:10" x14ac:dyDescent="0.2">
      <c r="H138">
        <v>129</v>
      </c>
      <c r="I138" s="24">
        <v>3121307015.9796276</v>
      </c>
      <c r="J138">
        <f t="shared" si="4"/>
        <v>0</v>
      </c>
    </row>
    <row r="139" spans="8:10" x14ac:dyDescent="0.2">
      <c r="H139">
        <v>130</v>
      </c>
      <c r="I139" s="24">
        <v>2995674571.9459715</v>
      </c>
      <c r="J139">
        <f t="shared" ref="J139:J202" si="5">IF(I139&lt;1700000000,1,0)</f>
        <v>0</v>
      </c>
    </row>
    <row r="140" spans="8:10" x14ac:dyDescent="0.2">
      <c r="H140">
        <v>131</v>
      </c>
      <c r="I140" s="24">
        <v>3088179173.2808938</v>
      </c>
      <c r="J140">
        <f t="shared" si="5"/>
        <v>0</v>
      </c>
    </row>
    <row r="141" spans="8:10" x14ac:dyDescent="0.2">
      <c r="H141">
        <v>132</v>
      </c>
      <c r="I141" s="24">
        <v>3362382707.6139894</v>
      </c>
      <c r="J141">
        <f t="shared" si="5"/>
        <v>0</v>
      </c>
    </row>
    <row r="142" spans="8:10" x14ac:dyDescent="0.2">
      <c r="H142">
        <v>133</v>
      </c>
      <c r="I142" s="24">
        <v>3276833266.1691222</v>
      </c>
      <c r="J142">
        <f t="shared" si="5"/>
        <v>0</v>
      </c>
    </row>
    <row r="143" spans="8:10" x14ac:dyDescent="0.2">
      <c r="H143">
        <v>134</v>
      </c>
      <c r="I143" s="24">
        <v>3218373499.2074046</v>
      </c>
      <c r="J143">
        <f t="shared" si="5"/>
        <v>0</v>
      </c>
    </row>
    <row r="144" spans="8:10" x14ac:dyDescent="0.2">
      <c r="H144">
        <v>135</v>
      </c>
      <c r="I144" s="24">
        <v>3130274716.7755022</v>
      </c>
      <c r="J144">
        <f t="shared" si="5"/>
        <v>0</v>
      </c>
    </row>
    <row r="145" spans="8:10" x14ac:dyDescent="0.2">
      <c r="H145">
        <v>136</v>
      </c>
      <c r="I145" s="24">
        <v>3046149036.5429435</v>
      </c>
      <c r="J145">
        <f t="shared" si="5"/>
        <v>0</v>
      </c>
    </row>
    <row r="146" spans="8:10" x14ac:dyDescent="0.2">
      <c r="H146">
        <v>137</v>
      </c>
      <c r="I146" s="24">
        <v>3282744040.8440351</v>
      </c>
      <c r="J146">
        <f t="shared" si="5"/>
        <v>0</v>
      </c>
    </row>
    <row r="147" spans="8:10" x14ac:dyDescent="0.2">
      <c r="H147">
        <v>138</v>
      </c>
      <c r="I147" s="24">
        <v>3226172186.4818521</v>
      </c>
      <c r="J147">
        <f t="shared" si="5"/>
        <v>0</v>
      </c>
    </row>
    <row r="148" spans="8:10" x14ac:dyDescent="0.2">
      <c r="H148">
        <v>139</v>
      </c>
      <c r="I148" s="24">
        <v>3035905831.5306311</v>
      </c>
      <c r="J148">
        <f t="shared" si="5"/>
        <v>0</v>
      </c>
    </row>
    <row r="149" spans="8:10" x14ac:dyDescent="0.2">
      <c r="H149">
        <v>140</v>
      </c>
      <c r="I149" s="24">
        <v>3275074057.5730009</v>
      </c>
      <c r="J149">
        <f t="shared" si="5"/>
        <v>0</v>
      </c>
    </row>
    <row r="150" spans="8:10" x14ac:dyDescent="0.2">
      <c r="H150">
        <v>141</v>
      </c>
      <c r="I150" s="24">
        <v>3321318258.2026186</v>
      </c>
      <c r="J150">
        <f t="shared" si="5"/>
        <v>0</v>
      </c>
    </row>
    <row r="151" spans="8:10" x14ac:dyDescent="0.2">
      <c r="H151">
        <v>142</v>
      </c>
      <c r="I151" s="24">
        <v>3135858288.5998354</v>
      </c>
      <c r="J151">
        <f t="shared" si="5"/>
        <v>0</v>
      </c>
    </row>
    <row r="152" spans="8:10" x14ac:dyDescent="0.2">
      <c r="H152">
        <v>143</v>
      </c>
      <c r="I152" s="24">
        <v>2994952371.3832293</v>
      </c>
      <c r="J152">
        <f t="shared" si="5"/>
        <v>0</v>
      </c>
    </row>
    <row r="153" spans="8:10" x14ac:dyDescent="0.2">
      <c r="H153">
        <v>144</v>
      </c>
      <c r="I153" s="24">
        <v>2881440183.4142642</v>
      </c>
      <c r="J153">
        <f t="shared" si="5"/>
        <v>0</v>
      </c>
    </row>
    <row r="154" spans="8:10" x14ac:dyDescent="0.2">
      <c r="H154">
        <v>145</v>
      </c>
      <c r="I154" s="24">
        <v>3267195561.4764152</v>
      </c>
      <c r="J154">
        <f t="shared" si="5"/>
        <v>0</v>
      </c>
    </row>
    <row r="155" spans="8:10" x14ac:dyDescent="0.2">
      <c r="H155">
        <v>146</v>
      </c>
      <c r="I155" s="24">
        <v>3127030081.8041606</v>
      </c>
      <c r="J155">
        <f t="shared" si="5"/>
        <v>0</v>
      </c>
    </row>
    <row r="156" spans="8:10" x14ac:dyDescent="0.2">
      <c r="H156">
        <v>147</v>
      </c>
      <c r="I156" s="24">
        <v>2891420940.1712828</v>
      </c>
      <c r="J156">
        <f t="shared" si="5"/>
        <v>0</v>
      </c>
    </row>
    <row r="157" spans="8:10" x14ac:dyDescent="0.2">
      <c r="H157">
        <v>148</v>
      </c>
      <c r="I157" s="24">
        <v>3180268514.5515175</v>
      </c>
      <c r="J157">
        <f t="shared" si="5"/>
        <v>0</v>
      </c>
    </row>
    <row r="158" spans="8:10" x14ac:dyDescent="0.2">
      <c r="H158">
        <v>149</v>
      </c>
      <c r="I158" s="24">
        <v>3155667237.6041799</v>
      </c>
      <c r="J158">
        <f t="shared" si="5"/>
        <v>0</v>
      </c>
    </row>
    <row r="159" spans="8:10" x14ac:dyDescent="0.2">
      <c r="H159">
        <v>150</v>
      </c>
      <c r="I159" s="24">
        <v>3355819569.3850622</v>
      </c>
      <c r="J159">
        <f t="shared" si="5"/>
        <v>0</v>
      </c>
    </row>
    <row r="160" spans="8:10" x14ac:dyDescent="0.2">
      <c r="H160">
        <v>151</v>
      </c>
      <c r="I160" s="24">
        <v>2979737587.0204968</v>
      </c>
      <c r="J160">
        <f t="shared" si="5"/>
        <v>0</v>
      </c>
    </row>
    <row r="161" spans="8:10" x14ac:dyDescent="0.2">
      <c r="H161">
        <v>152</v>
      </c>
      <c r="I161" s="24">
        <v>3161014271.3607779</v>
      </c>
      <c r="J161">
        <f t="shared" si="5"/>
        <v>0</v>
      </c>
    </row>
    <row r="162" spans="8:10" x14ac:dyDescent="0.2">
      <c r="H162">
        <v>153</v>
      </c>
      <c r="I162" s="24">
        <v>3159717175.869297</v>
      </c>
      <c r="J162">
        <f t="shared" si="5"/>
        <v>0</v>
      </c>
    </row>
    <row r="163" spans="8:10" x14ac:dyDescent="0.2">
      <c r="H163">
        <v>154</v>
      </c>
      <c r="I163" s="24">
        <v>3120876288.015574</v>
      </c>
      <c r="J163">
        <f t="shared" si="5"/>
        <v>0</v>
      </c>
    </row>
    <row r="164" spans="8:10" x14ac:dyDescent="0.2">
      <c r="H164">
        <v>155</v>
      </c>
      <c r="I164" s="24">
        <v>3260118943.3308592</v>
      </c>
      <c r="J164">
        <f t="shared" si="5"/>
        <v>0</v>
      </c>
    </row>
    <row r="165" spans="8:10" x14ac:dyDescent="0.2">
      <c r="H165">
        <v>156</v>
      </c>
      <c r="I165" s="24">
        <v>3267152230.8733449</v>
      </c>
      <c r="J165">
        <f t="shared" si="5"/>
        <v>0</v>
      </c>
    </row>
    <row r="166" spans="8:10" x14ac:dyDescent="0.2">
      <c r="H166">
        <v>157</v>
      </c>
      <c r="I166" s="24">
        <v>3210359907.5844717</v>
      </c>
      <c r="J166">
        <f t="shared" si="5"/>
        <v>0</v>
      </c>
    </row>
    <row r="167" spans="8:10" x14ac:dyDescent="0.2">
      <c r="H167">
        <v>158</v>
      </c>
      <c r="I167" s="24">
        <v>2987336574.155807</v>
      </c>
      <c r="J167">
        <f t="shared" si="5"/>
        <v>0</v>
      </c>
    </row>
    <row r="168" spans="8:10" x14ac:dyDescent="0.2">
      <c r="H168">
        <v>159</v>
      </c>
      <c r="I168" s="24">
        <v>3136756551.6659317</v>
      </c>
      <c r="J168">
        <f t="shared" si="5"/>
        <v>0</v>
      </c>
    </row>
    <row r="169" spans="8:10" x14ac:dyDescent="0.2">
      <c r="H169">
        <v>160</v>
      </c>
      <c r="I169" s="24">
        <v>2968971176.0139771</v>
      </c>
      <c r="J169">
        <f t="shared" si="5"/>
        <v>0</v>
      </c>
    </row>
    <row r="170" spans="8:10" x14ac:dyDescent="0.2">
      <c r="H170">
        <v>161</v>
      </c>
      <c r="I170" s="24">
        <v>3345338903.364984</v>
      </c>
      <c r="J170">
        <f t="shared" si="5"/>
        <v>0</v>
      </c>
    </row>
    <row r="171" spans="8:10" x14ac:dyDescent="0.2">
      <c r="H171">
        <v>162</v>
      </c>
      <c r="I171" s="24">
        <v>3057729042.5144067</v>
      </c>
      <c r="J171">
        <f t="shared" si="5"/>
        <v>0</v>
      </c>
    </row>
    <row r="172" spans="8:10" x14ac:dyDescent="0.2">
      <c r="H172">
        <v>163</v>
      </c>
      <c r="I172" s="24">
        <v>3314486510.6417937</v>
      </c>
      <c r="J172">
        <f t="shared" si="5"/>
        <v>0</v>
      </c>
    </row>
    <row r="173" spans="8:10" x14ac:dyDescent="0.2">
      <c r="H173">
        <v>164</v>
      </c>
      <c r="I173" s="24">
        <v>3382519233.8316317</v>
      </c>
      <c r="J173">
        <f t="shared" si="5"/>
        <v>0</v>
      </c>
    </row>
    <row r="174" spans="8:10" x14ac:dyDescent="0.2">
      <c r="H174">
        <v>165</v>
      </c>
      <c r="I174" s="24">
        <v>3118006098.4174571</v>
      </c>
      <c r="J174">
        <f t="shared" si="5"/>
        <v>0</v>
      </c>
    </row>
    <row r="175" spans="8:10" x14ac:dyDescent="0.2">
      <c r="H175">
        <v>166</v>
      </c>
      <c r="I175" s="24">
        <v>2973585010.109786</v>
      </c>
      <c r="J175">
        <f t="shared" si="5"/>
        <v>0</v>
      </c>
    </row>
    <row r="176" spans="8:10" x14ac:dyDescent="0.2">
      <c r="H176">
        <v>167</v>
      </c>
      <c r="I176" s="24">
        <v>2889202666.6138663</v>
      </c>
      <c r="J176">
        <f t="shared" si="5"/>
        <v>0</v>
      </c>
    </row>
    <row r="177" spans="8:10" x14ac:dyDescent="0.2">
      <c r="H177">
        <v>168</v>
      </c>
      <c r="I177" s="24">
        <v>3005682450.4237046</v>
      </c>
      <c r="J177">
        <f t="shared" si="5"/>
        <v>0</v>
      </c>
    </row>
    <row r="178" spans="8:10" x14ac:dyDescent="0.2">
      <c r="H178">
        <v>169</v>
      </c>
      <c r="I178" s="24">
        <v>3151773156.9099836</v>
      </c>
      <c r="J178">
        <f t="shared" si="5"/>
        <v>0</v>
      </c>
    </row>
    <row r="179" spans="8:10" x14ac:dyDescent="0.2">
      <c r="H179">
        <v>170</v>
      </c>
      <c r="I179" s="24">
        <v>3237242216.2735734</v>
      </c>
      <c r="J179">
        <f t="shared" si="5"/>
        <v>0</v>
      </c>
    </row>
    <row r="180" spans="8:10" x14ac:dyDescent="0.2">
      <c r="H180">
        <v>171</v>
      </c>
      <c r="I180" s="24">
        <v>3450540977.4357319</v>
      </c>
      <c r="J180">
        <f t="shared" si="5"/>
        <v>0</v>
      </c>
    </row>
    <row r="181" spans="8:10" x14ac:dyDescent="0.2">
      <c r="H181">
        <v>172</v>
      </c>
      <c r="I181" s="24">
        <v>3140765683.1080847</v>
      </c>
      <c r="J181">
        <f t="shared" si="5"/>
        <v>0</v>
      </c>
    </row>
    <row r="182" spans="8:10" x14ac:dyDescent="0.2">
      <c r="H182">
        <v>173</v>
      </c>
      <c r="I182" s="24">
        <v>3269409441.8089209</v>
      </c>
      <c r="J182">
        <f t="shared" si="5"/>
        <v>0</v>
      </c>
    </row>
    <row r="183" spans="8:10" x14ac:dyDescent="0.2">
      <c r="H183">
        <v>174</v>
      </c>
      <c r="I183" s="24">
        <v>3048665569.101213</v>
      </c>
      <c r="J183">
        <f t="shared" si="5"/>
        <v>0</v>
      </c>
    </row>
    <row r="184" spans="8:10" x14ac:dyDescent="0.2">
      <c r="H184">
        <v>175</v>
      </c>
      <c r="I184" s="24">
        <v>3252479540.4362297</v>
      </c>
      <c r="J184">
        <f t="shared" si="5"/>
        <v>0</v>
      </c>
    </row>
    <row r="185" spans="8:10" x14ac:dyDescent="0.2">
      <c r="H185">
        <v>176</v>
      </c>
      <c r="I185" s="24">
        <v>3378043280.8070183</v>
      </c>
      <c r="J185">
        <f t="shared" si="5"/>
        <v>0</v>
      </c>
    </row>
    <row r="186" spans="8:10" x14ac:dyDescent="0.2">
      <c r="H186">
        <v>177</v>
      </c>
      <c r="I186" s="24">
        <v>3358406682.3152118</v>
      </c>
      <c r="J186">
        <f t="shared" si="5"/>
        <v>0</v>
      </c>
    </row>
    <row r="187" spans="8:10" x14ac:dyDescent="0.2">
      <c r="H187">
        <v>178</v>
      </c>
      <c r="I187" s="24">
        <v>2889398407.2775378</v>
      </c>
      <c r="J187">
        <f t="shared" si="5"/>
        <v>0</v>
      </c>
    </row>
    <row r="188" spans="8:10" x14ac:dyDescent="0.2">
      <c r="H188">
        <v>179</v>
      </c>
      <c r="I188" s="24">
        <v>3246449027.3266726</v>
      </c>
      <c r="J188">
        <f t="shared" si="5"/>
        <v>0</v>
      </c>
    </row>
    <row r="189" spans="8:10" x14ac:dyDescent="0.2">
      <c r="H189">
        <v>180</v>
      </c>
      <c r="I189" s="24">
        <v>3309394087.5210533</v>
      </c>
      <c r="J189">
        <f t="shared" si="5"/>
        <v>0</v>
      </c>
    </row>
    <row r="190" spans="8:10" x14ac:dyDescent="0.2">
      <c r="H190">
        <v>181</v>
      </c>
      <c r="I190" s="24">
        <v>3073903216.7024684</v>
      </c>
      <c r="J190">
        <f t="shared" si="5"/>
        <v>0</v>
      </c>
    </row>
    <row r="191" spans="8:10" x14ac:dyDescent="0.2">
      <c r="H191">
        <v>182</v>
      </c>
      <c r="I191" s="24">
        <v>2916341805.4414163</v>
      </c>
      <c r="J191">
        <f t="shared" si="5"/>
        <v>0</v>
      </c>
    </row>
    <row r="192" spans="8:10" x14ac:dyDescent="0.2">
      <c r="H192">
        <v>183</v>
      </c>
      <c r="I192" s="24">
        <v>3213701893.4556584</v>
      </c>
      <c r="J192">
        <f t="shared" si="5"/>
        <v>0</v>
      </c>
    </row>
    <row r="193" spans="8:10" x14ac:dyDescent="0.2">
      <c r="H193">
        <v>184</v>
      </c>
      <c r="I193" s="24">
        <v>3058518647.5370979</v>
      </c>
      <c r="J193">
        <f t="shared" si="5"/>
        <v>0</v>
      </c>
    </row>
    <row r="194" spans="8:10" x14ac:dyDescent="0.2">
      <c r="H194">
        <v>185</v>
      </c>
      <c r="I194" s="24">
        <v>3283722864.595459</v>
      </c>
      <c r="J194">
        <f t="shared" si="5"/>
        <v>0</v>
      </c>
    </row>
    <row r="195" spans="8:10" x14ac:dyDescent="0.2">
      <c r="H195">
        <v>186</v>
      </c>
      <c r="I195" s="24">
        <v>3238688050.3663492</v>
      </c>
      <c r="J195">
        <f t="shared" si="5"/>
        <v>0</v>
      </c>
    </row>
    <row r="196" spans="8:10" x14ac:dyDescent="0.2">
      <c r="H196">
        <v>187</v>
      </c>
      <c r="I196" s="24">
        <v>3269202404.0514622</v>
      </c>
      <c r="J196">
        <f t="shared" si="5"/>
        <v>0</v>
      </c>
    </row>
    <row r="197" spans="8:10" x14ac:dyDescent="0.2">
      <c r="H197">
        <v>188</v>
      </c>
      <c r="I197" s="24">
        <v>3309261872.0947595</v>
      </c>
      <c r="J197">
        <f t="shared" si="5"/>
        <v>0</v>
      </c>
    </row>
    <row r="198" spans="8:10" x14ac:dyDescent="0.2">
      <c r="H198">
        <v>189</v>
      </c>
      <c r="I198" s="24">
        <v>2941949291.9339108</v>
      </c>
      <c r="J198">
        <f t="shared" si="5"/>
        <v>0</v>
      </c>
    </row>
    <row r="199" spans="8:10" x14ac:dyDescent="0.2">
      <c r="H199">
        <v>190</v>
      </c>
      <c r="I199" s="24">
        <v>3397876255.6645565</v>
      </c>
      <c r="J199">
        <f t="shared" si="5"/>
        <v>0</v>
      </c>
    </row>
    <row r="200" spans="8:10" x14ac:dyDescent="0.2">
      <c r="H200">
        <v>191</v>
      </c>
      <c r="I200" s="24">
        <v>3273750194.371078</v>
      </c>
      <c r="J200">
        <f t="shared" si="5"/>
        <v>0</v>
      </c>
    </row>
    <row r="201" spans="8:10" x14ac:dyDescent="0.2">
      <c r="H201">
        <v>192</v>
      </c>
      <c r="I201" s="24">
        <v>3427945461.5169816</v>
      </c>
      <c r="J201">
        <f t="shared" si="5"/>
        <v>0</v>
      </c>
    </row>
    <row r="202" spans="8:10" x14ac:dyDescent="0.2">
      <c r="H202">
        <v>193</v>
      </c>
      <c r="I202" s="24">
        <v>3280328453.4015851</v>
      </c>
      <c r="J202">
        <f t="shared" si="5"/>
        <v>0</v>
      </c>
    </row>
    <row r="203" spans="8:10" x14ac:dyDescent="0.2">
      <c r="H203">
        <v>194</v>
      </c>
      <c r="I203" s="24">
        <v>3129964199.39361</v>
      </c>
      <c r="J203">
        <f t="shared" ref="J203:J266" si="6">IF(I203&lt;1700000000,1,0)</f>
        <v>0</v>
      </c>
    </row>
    <row r="204" spans="8:10" x14ac:dyDescent="0.2">
      <c r="H204">
        <v>195</v>
      </c>
      <c r="I204" s="24">
        <v>2936699620.2338552</v>
      </c>
      <c r="J204">
        <f t="shared" si="6"/>
        <v>0</v>
      </c>
    </row>
    <row r="205" spans="8:10" x14ac:dyDescent="0.2">
      <c r="H205">
        <v>196</v>
      </c>
      <c r="I205" s="24">
        <v>3124534281.432858</v>
      </c>
      <c r="J205">
        <f t="shared" si="6"/>
        <v>0</v>
      </c>
    </row>
    <row r="206" spans="8:10" x14ac:dyDescent="0.2">
      <c r="H206">
        <v>197</v>
      </c>
      <c r="I206" s="24">
        <v>3388762716.4064498</v>
      </c>
      <c r="J206">
        <f t="shared" si="6"/>
        <v>0</v>
      </c>
    </row>
    <row r="207" spans="8:10" x14ac:dyDescent="0.2">
      <c r="H207">
        <v>198</v>
      </c>
      <c r="I207" s="24">
        <v>3625468561.4040408</v>
      </c>
      <c r="J207">
        <f t="shared" si="6"/>
        <v>0</v>
      </c>
    </row>
    <row r="208" spans="8:10" x14ac:dyDescent="0.2">
      <c r="H208">
        <v>199</v>
      </c>
      <c r="I208" s="24">
        <v>3221785347.0495858</v>
      </c>
      <c r="J208">
        <f t="shared" si="6"/>
        <v>0</v>
      </c>
    </row>
    <row r="209" spans="8:10" x14ac:dyDescent="0.2">
      <c r="H209">
        <v>200</v>
      </c>
      <c r="I209" s="24">
        <v>3160541318.0650096</v>
      </c>
      <c r="J209">
        <f t="shared" si="6"/>
        <v>0</v>
      </c>
    </row>
    <row r="210" spans="8:10" x14ac:dyDescent="0.2">
      <c r="H210">
        <v>201</v>
      </c>
      <c r="I210" s="24">
        <v>3087100208.6036916</v>
      </c>
      <c r="J210">
        <f t="shared" si="6"/>
        <v>0</v>
      </c>
    </row>
    <row r="211" spans="8:10" x14ac:dyDescent="0.2">
      <c r="H211">
        <v>202</v>
      </c>
      <c r="I211" s="24">
        <v>3098143101.7770925</v>
      </c>
      <c r="J211">
        <f t="shared" si="6"/>
        <v>0</v>
      </c>
    </row>
    <row r="212" spans="8:10" x14ac:dyDescent="0.2">
      <c r="H212">
        <v>203</v>
      </c>
      <c r="I212" s="24">
        <v>3138407890.5478382</v>
      </c>
      <c r="J212">
        <f t="shared" si="6"/>
        <v>0</v>
      </c>
    </row>
    <row r="213" spans="8:10" x14ac:dyDescent="0.2">
      <c r="H213">
        <v>204</v>
      </c>
      <c r="I213" s="24">
        <v>3384467889.5455527</v>
      </c>
      <c r="J213">
        <f t="shared" si="6"/>
        <v>0</v>
      </c>
    </row>
    <row r="214" spans="8:10" x14ac:dyDescent="0.2">
      <c r="H214">
        <v>205</v>
      </c>
      <c r="I214" s="24">
        <v>2891093969.9313598</v>
      </c>
      <c r="J214">
        <f t="shared" si="6"/>
        <v>0</v>
      </c>
    </row>
    <row r="215" spans="8:10" x14ac:dyDescent="0.2">
      <c r="H215">
        <v>206</v>
      </c>
      <c r="I215" s="24">
        <v>3431934520.8082147</v>
      </c>
      <c r="J215">
        <f t="shared" si="6"/>
        <v>0</v>
      </c>
    </row>
    <row r="216" spans="8:10" x14ac:dyDescent="0.2">
      <c r="H216">
        <v>207</v>
      </c>
      <c r="I216" s="24">
        <v>3028040146.4473</v>
      </c>
      <c r="J216">
        <f t="shared" si="6"/>
        <v>0</v>
      </c>
    </row>
    <row r="217" spans="8:10" x14ac:dyDescent="0.2">
      <c r="H217">
        <v>208</v>
      </c>
      <c r="I217" s="24">
        <v>3331689958.6690092</v>
      </c>
      <c r="J217">
        <f t="shared" si="6"/>
        <v>0</v>
      </c>
    </row>
    <row r="218" spans="8:10" x14ac:dyDescent="0.2">
      <c r="H218">
        <v>209</v>
      </c>
      <c r="I218" s="24">
        <v>2829701189.32792</v>
      </c>
      <c r="J218">
        <f t="shared" si="6"/>
        <v>0</v>
      </c>
    </row>
    <row r="219" spans="8:10" x14ac:dyDescent="0.2">
      <c r="H219">
        <v>210</v>
      </c>
      <c r="I219" s="24">
        <v>3211071227.4172649</v>
      </c>
      <c r="J219">
        <f t="shared" si="6"/>
        <v>0</v>
      </c>
    </row>
    <row r="220" spans="8:10" x14ac:dyDescent="0.2">
      <c r="H220">
        <v>211</v>
      </c>
      <c r="I220" s="24">
        <v>3029630421.2931046</v>
      </c>
      <c r="J220">
        <f t="shared" si="6"/>
        <v>0</v>
      </c>
    </row>
    <row r="221" spans="8:10" x14ac:dyDescent="0.2">
      <c r="H221">
        <v>212</v>
      </c>
      <c r="I221" s="24">
        <v>2930596637.7936378</v>
      </c>
      <c r="J221">
        <f t="shared" si="6"/>
        <v>0</v>
      </c>
    </row>
    <row r="222" spans="8:10" x14ac:dyDescent="0.2">
      <c r="H222">
        <v>213</v>
      </c>
      <c r="I222" s="24">
        <v>2990111687.7715287</v>
      </c>
      <c r="J222">
        <f t="shared" si="6"/>
        <v>0</v>
      </c>
    </row>
    <row r="223" spans="8:10" x14ac:dyDescent="0.2">
      <c r="H223">
        <v>214</v>
      </c>
      <c r="I223" s="24">
        <v>3131986374.9847517</v>
      </c>
      <c r="J223">
        <f t="shared" si="6"/>
        <v>0</v>
      </c>
    </row>
    <row r="224" spans="8:10" x14ac:dyDescent="0.2">
      <c r="H224">
        <v>215</v>
      </c>
      <c r="I224" s="24">
        <v>3323469566.3040042</v>
      </c>
      <c r="J224">
        <f t="shared" si="6"/>
        <v>0</v>
      </c>
    </row>
    <row r="225" spans="8:10" x14ac:dyDescent="0.2">
      <c r="H225">
        <v>216</v>
      </c>
      <c r="I225" s="24">
        <v>3201172839.3520041</v>
      </c>
      <c r="J225">
        <f t="shared" si="6"/>
        <v>0</v>
      </c>
    </row>
    <row r="226" spans="8:10" x14ac:dyDescent="0.2">
      <c r="H226">
        <v>217</v>
      </c>
      <c r="I226" s="24">
        <v>3203248702.0445933</v>
      </c>
      <c r="J226">
        <f t="shared" si="6"/>
        <v>0</v>
      </c>
    </row>
    <row r="227" spans="8:10" x14ac:dyDescent="0.2">
      <c r="H227">
        <v>218</v>
      </c>
      <c r="I227" s="24">
        <v>3123475617.8942752</v>
      </c>
      <c r="J227">
        <f t="shared" si="6"/>
        <v>0</v>
      </c>
    </row>
    <row r="228" spans="8:10" x14ac:dyDescent="0.2">
      <c r="H228">
        <v>219</v>
      </c>
      <c r="I228" s="24">
        <v>3315932862.8199363</v>
      </c>
      <c r="J228">
        <f t="shared" si="6"/>
        <v>0</v>
      </c>
    </row>
    <row r="229" spans="8:10" x14ac:dyDescent="0.2">
      <c r="H229">
        <v>220</v>
      </c>
      <c r="I229" s="24">
        <v>3029624447.4879251</v>
      </c>
      <c r="J229">
        <f t="shared" si="6"/>
        <v>0</v>
      </c>
    </row>
    <row r="230" spans="8:10" x14ac:dyDescent="0.2">
      <c r="H230">
        <v>221</v>
      </c>
      <c r="I230" s="24">
        <v>3094167055.6501684</v>
      </c>
      <c r="J230">
        <f t="shared" si="6"/>
        <v>0</v>
      </c>
    </row>
    <row r="231" spans="8:10" x14ac:dyDescent="0.2">
      <c r="H231">
        <v>222</v>
      </c>
      <c r="I231" s="24">
        <v>3103250798.3543863</v>
      </c>
      <c r="J231">
        <f t="shared" si="6"/>
        <v>0</v>
      </c>
    </row>
    <row r="232" spans="8:10" x14ac:dyDescent="0.2">
      <c r="H232">
        <v>223</v>
      </c>
      <c r="I232" s="24">
        <v>3003861960.8217983</v>
      </c>
      <c r="J232">
        <f t="shared" si="6"/>
        <v>0</v>
      </c>
    </row>
    <row r="233" spans="8:10" x14ac:dyDescent="0.2">
      <c r="H233">
        <v>224</v>
      </c>
      <c r="I233" s="24">
        <v>3034568157.4854016</v>
      </c>
      <c r="J233">
        <f t="shared" si="6"/>
        <v>0</v>
      </c>
    </row>
    <row r="234" spans="8:10" x14ac:dyDescent="0.2">
      <c r="H234">
        <v>225</v>
      </c>
      <c r="I234" s="24">
        <v>3023687714.4631543</v>
      </c>
      <c r="J234">
        <f t="shared" si="6"/>
        <v>0</v>
      </c>
    </row>
    <row r="235" spans="8:10" x14ac:dyDescent="0.2">
      <c r="H235">
        <v>226</v>
      </c>
      <c r="I235" s="24">
        <v>3169601297.611032</v>
      </c>
      <c r="J235">
        <f t="shared" si="6"/>
        <v>0</v>
      </c>
    </row>
    <row r="236" spans="8:10" x14ac:dyDescent="0.2">
      <c r="H236">
        <v>227</v>
      </c>
      <c r="I236" s="24">
        <v>3169174734.7147503</v>
      </c>
      <c r="J236">
        <f t="shared" si="6"/>
        <v>0</v>
      </c>
    </row>
    <row r="237" spans="8:10" x14ac:dyDescent="0.2">
      <c r="H237">
        <v>228</v>
      </c>
      <c r="I237" s="24">
        <v>3139652791.3370199</v>
      </c>
      <c r="J237">
        <f t="shared" si="6"/>
        <v>0</v>
      </c>
    </row>
    <row r="238" spans="8:10" x14ac:dyDescent="0.2">
      <c r="H238">
        <v>229</v>
      </c>
      <c r="I238" s="24">
        <v>3124340754.4123778</v>
      </c>
      <c r="J238">
        <f t="shared" si="6"/>
        <v>0</v>
      </c>
    </row>
    <row r="239" spans="8:10" x14ac:dyDescent="0.2">
      <c r="H239">
        <v>230</v>
      </c>
      <c r="I239" s="24">
        <v>3250695746.8511362</v>
      </c>
      <c r="J239">
        <f t="shared" si="6"/>
        <v>0</v>
      </c>
    </row>
    <row r="240" spans="8:10" x14ac:dyDescent="0.2">
      <c r="H240">
        <v>231</v>
      </c>
      <c r="I240" s="24">
        <v>3045200482.2986856</v>
      </c>
      <c r="J240">
        <f t="shared" si="6"/>
        <v>0</v>
      </c>
    </row>
    <row r="241" spans="8:10" x14ac:dyDescent="0.2">
      <c r="H241">
        <v>232</v>
      </c>
      <c r="I241" s="24">
        <v>3089795542.8580894</v>
      </c>
      <c r="J241">
        <f t="shared" si="6"/>
        <v>0</v>
      </c>
    </row>
    <row r="242" spans="8:10" x14ac:dyDescent="0.2">
      <c r="H242">
        <v>233</v>
      </c>
      <c r="I242" s="24">
        <v>3145505758.7190843</v>
      </c>
      <c r="J242">
        <f t="shared" si="6"/>
        <v>0</v>
      </c>
    </row>
    <row r="243" spans="8:10" x14ac:dyDescent="0.2">
      <c r="H243">
        <v>234</v>
      </c>
      <c r="I243" s="24">
        <v>3082594553.630899</v>
      </c>
      <c r="J243">
        <f t="shared" si="6"/>
        <v>0</v>
      </c>
    </row>
    <row r="244" spans="8:10" x14ac:dyDescent="0.2">
      <c r="H244">
        <v>235</v>
      </c>
      <c r="I244" s="24">
        <v>3201042190.1541138</v>
      </c>
      <c r="J244">
        <f t="shared" si="6"/>
        <v>0</v>
      </c>
    </row>
    <row r="245" spans="8:10" x14ac:dyDescent="0.2">
      <c r="H245">
        <v>236</v>
      </c>
      <c r="I245" s="24">
        <v>2919615285.8516078</v>
      </c>
      <c r="J245">
        <f t="shared" si="6"/>
        <v>0</v>
      </c>
    </row>
    <row r="246" spans="8:10" x14ac:dyDescent="0.2">
      <c r="H246">
        <v>237</v>
      </c>
      <c r="I246" s="24">
        <v>3247845211.130053</v>
      </c>
      <c r="J246">
        <f t="shared" si="6"/>
        <v>0</v>
      </c>
    </row>
    <row r="247" spans="8:10" x14ac:dyDescent="0.2">
      <c r="H247">
        <v>238</v>
      </c>
      <c r="I247" s="24">
        <v>3020426951.8017998</v>
      </c>
      <c r="J247">
        <f t="shared" si="6"/>
        <v>0</v>
      </c>
    </row>
    <row r="248" spans="8:10" x14ac:dyDescent="0.2">
      <c r="H248">
        <v>239</v>
      </c>
      <c r="I248" s="24">
        <v>2775587698.5946946</v>
      </c>
      <c r="J248">
        <f t="shared" si="6"/>
        <v>0</v>
      </c>
    </row>
    <row r="249" spans="8:10" x14ac:dyDescent="0.2">
      <c r="H249">
        <v>240</v>
      </c>
      <c r="I249" s="24">
        <v>3261715334.3198318</v>
      </c>
      <c r="J249">
        <f t="shared" si="6"/>
        <v>0</v>
      </c>
    </row>
    <row r="250" spans="8:10" x14ac:dyDescent="0.2">
      <c r="H250">
        <v>241</v>
      </c>
      <c r="I250" s="24">
        <v>3186151054.5771275</v>
      </c>
      <c r="J250">
        <f t="shared" si="6"/>
        <v>0</v>
      </c>
    </row>
    <row r="251" spans="8:10" x14ac:dyDescent="0.2">
      <c r="H251">
        <v>242</v>
      </c>
      <c r="I251" s="24">
        <v>3078568534.8116026</v>
      </c>
      <c r="J251">
        <f t="shared" si="6"/>
        <v>0</v>
      </c>
    </row>
    <row r="252" spans="8:10" x14ac:dyDescent="0.2">
      <c r="H252">
        <v>243</v>
      </c>
      <c r="I252" s="24">
        <v>3070054811.725564</v>
      </c>
      <c r="J252">
        <f t="shared" si="6"/>
        <v>0</v>
      </c>
    </row>
    <row r="253" spans="8:10" x14ac:dyDescent="0.2">
      <c r="H253">
        <v>244</v>
      </c>
      <c r="I253" s="24">
        <v>3124359983.409287</v>
      </c>
      <c r="J253">
        <f t="shared" si="6"/>
        <v>0</v>
      </c>
    </row>
    <row r="254" spans="8:10" x14ac:dyDescent="0.2">
      <c r="H254">
        <v>245</v>
      </c>
      <c r="I254" s="24">
        <v>2982756826.1808109</v>
      </c>
      <c r="J254">
        <f t="shared" si="6"/>
        <v>0</v>
      </c>
    </row>
    <row r="255" spans="8:10" x14ac:dyDescent="0.2">
      <c r="H255">
        <v>246</v>
      </c>
      <c r="I255" s="24">
        <v>2871306486.2907019</v>
      </c>
      <c r="J255">
        <f t="shared" si="6"/>
        <v>0</v>
      </c>
    </row>
    <row r="256" spans="8:10" x14ac:dyDescent="0.2">
      <c r="H256">
        <v>247</v>
      </c>
      <c r="I256" s="24">
        <v>2857795990.2586207</v>
      </c>
      <c r="J256">
        <f t="shared" si="6"/>
        <v>0</v>
      </c>
    </row>
    <row r="257" spans="8:10" x14ac:dyDescent="0.2">
      <c r="H257">
        <v>248</v>
      </c>
      <c r="I257" s="24">
        <v>3092320775.7854714</v>
      </c>
      <c r="J257">
        <f t="shared" si="6"/>
        <v>0</v>
      </c>
    </row>
    <row r="258" spans="8:10" x14ac:dyDescent="0.2">
      <c r="H258">
        <v>249</v>
      </c>
      <c r="I258" s="24">
        <v>2879761940.3283372</v>
      </c>
      <c r="J258">
        <f t="shared" si="6"/>
        <v>0</v>
      </c>
    </row>
    <row r="259" spans="8:10" x14ac:dyDescent="0.2">
      <c r="H259">
        <v>250</v>
      </c>
      <c r="I259" s="24">
        <v>3112501985.8648767</v>
      </c>
      <c r="J259">
        <f t="shared" si="6"/>
        <v>0</v>
      </c>
    </row>
    <row r="260" spans="8:10" x14ac:dyDescent="0.2">
      <c r="H260">
        <v>251</v>
      </c>
      <c r="I260" s="24">
        <v>3131041037.5122752</v>
      </c>
      <c r="J260">
        <f t="shared" si="6"/>
        <v>0</v>
      </c>
    </row>
    <row r="261" spans="8:10" x14ac:dyDescent="0.2">
      <c r="H261">
        <v>252</v>
      </c>
      <c r="I261" s="24">
        <v>2933395836.9237661</v>
      </c>
      <c r="J261">
        <f t="shared" si="6"/>
        <v>0</v>
      </c>
    </row>
    <row r="262" spans="8:10" x14ac:dyDescent="0.2">
      <c r="H262">
        <v>253</v>
      </c>
      <c r="I262" s="24">
        <v>3271921162.0158358</v>
      </c>
      <c r="J262">
        <f t="shared" si="6"/>
        <v>0</v>
      </c>
    </row>
    <row r="263" spans="8:10" x14ac:dyDescent="0.2">
      <c r="H263">
        <v>254</v>
      </c>
      <c r="I263" s="24">
        <v>3154470566.9167438</v>
      </c>
      <c r="J263">
        <f t="shared" si="6"/>
        <v>0</v>
      </c>
    </row>
    <row r="264" spans="8:10" x14ac:dyDescent="0.2">
      <c r="H264">
        <v>255</v>
      </c>
      <c r="I264" s="24">
        <v>3360457672.5292025</v>
      </c>
      <c r="J264">
        <f t="shared" si="6"/>
        <v>0</v>
      </c>
    </row>
    <row r="265" spans="8:10" x14ac:dyDescent="0.2">
      <c r="H265">
        <v>256</v>
      </c>
      <c r="I265" s="24">
        <v>3104185254.2144127</v>
      </c>
      <c r="J265">
        <f t="shared" si="6"/>
        <v>0</v>
      </c>
    </row>
    <row r="266" spans="8:10" x14ac:dyDescent="0.2">
      <c r="H266">
        <v>257</v>
      </c>
      <c r="I266" s="24">
        <v>2961290873.0806537</v>
      </c>
      <c r="J266">
        <f t="shared" si="6"/>
        <v>0</v>
      </c>
    </row>
    <row r="267" spans="8:10" x14ac:dyDescent="0.2">
      <c r="H267">
        <v>258</v>
      </c>
      <c r="I267" s="24">
        <v>2988314176.1698675</v>
      </c>
      <c r="J267">
        <f t="shared" ref="J267:J330" si="7">IF(I267&lt;1700000000,1,0)</f>
        <v>0</v>
      </c>
    </row>
    <row r="268" spans="8:10" x14ac:dyDescent="0.2">
      <c r="H268">
        <v>259</v>
      </c>
      <c r="I268" s="24">
        <v>3406037152.1324964</v>
      </c>
      <c r="J268">
        <f t="shared" si="7"/>
        <v>0</v>
      </c>
    </row>
    <row r="269" spans="8:10" x14ac:dyDescent="0.2">
      <c r="H269">
        <v>260</v>
      </c>
      <c r="I269" s="24">
        <v>3268200164.6153722</v>
      </c>
      <c r="J269">
        <f t="shared" si="7"/>
        <v>0</v>
      </c>
    </row>
    <row r="270" spans="8:10" x14ac:dyDescent="0.2">
      <c r="H270">
        <v>261</v>
      </c>
      <c r="I270" s="24">
        <v>3012679736.6189809</v>
      </c>
      <c r="J270">
        <f t="shared" si="7"/>
        <v>0</v>
      </c>
    </row>
    <row r="271" spans="8:10" x14ac:dyDescent="0.2">
      <c r="H271">
        <v>262</v>
      </c>
      <c r="I271" s="24">
        <v>3259643358.5232534</v>
      </c>
      <c r="J271">
        <f t="shared" si="7"/>
        <v>0</v>
      </c>
    </row>
    <row r="272" spans="8:10" x14ac:dyDescent="0.2">
      <c r="H272">
        <v>263</v>
      </c>
      <c r="I272" s="24">
        <v>3000673423.2166147</v>
      </c>
      <c r="J272">
        <f t="shared" si="7"/>
        <v>0</v>
      </c>
    </row>
    <row r="273" spans="8:10" x14ac:dyDescent="0.2">
      <c r="H273">
        <v>264</v>
      </c>
      <c r="I273" s="24">
        <v>2958817786.060452</v>
      </c>
      <c r="J273">
        <f t="shared" si="7"/>
        <v>0</v>
      </c>
    </row>
    <row r="274" spans="8:10" x14ac:dyDescent="0.2">
      <c r="H274">
        <v>265</v>
      </c>
      <c r="I274" s="24">
        <v>2994549969.0609646</v>
      </c>
      <c r="J274">
        <f t="shared" si="7"/>
        <v>0</v>
      </c>
    </row>
    <row r="275" spans="8:10" x14ac:dyDescent="0.2">
      <c r="H275">
        <v>266</v>
      </c>
      <c r="I275" s="24">
        <v>3128301247.6409731</v>
      </c>
      <c r="J275">
        <f t="shared" si="7"/>
        <v>0</v>
      </c>
    </row>
    <row r="276" spans="8:10" x14ac:dyDescent="0.2">
      <c r="H276">
        <v>267</v>
      </c>
      <c r="I276" s="24">
        <v>3126466874.0970912</v>
      </c>
      <c r="J276">
        <f t="shared" si="7"/>
        <v>0</v>
      </c>
    </row>
    <row r="277" spans="8:10" x14ac:dyDescent="0.2">
      <c r="H277">
        <v>268</v>
      </c>
      <c r="I277" s="24">
        <v>3045833518.2481775</v>
      </c>
      <c r="J277">
        <f t="shared" si="7"/>
        <v>0</v>
      </c>
    </row>
    <row r="278" spans="8:10" x14ac:dyDescent="0.2">
      <c r="H278">
        <v>269</v>
      </c>
      <c r="I278" s="24">
        <v>2949848884.9722357</v>
      </c>
      <c r="J278">
        <f t="shared" si="7"/>
        <v>0</v>
      </c>
    </row>
    <row r="279" spans="8:10" x14ac:dyDescent="0.2">
      <c r="H279">
        <v>270</v>
      </c>
      <c r="I279" s="24">
        <v>3313331930.3735118</v>
      </c>
      <c r="J279">
        <f t="shared" si="7"/>
        <v>0</v>
      </c>
    </row>
    <row r="280" spans="8:10" x14ac:dyDescent="0.2">
      <c r="H280">
        <v>271</v>
      </c>
      <c r="I280" s="24">
        <v>3211947554.0571175</v>
      </c>
      <c r="J280">
        <f t="shared" si="7"/>
        <v>0</v>
      </c>
    </row>
    <row r="281" spans="8:10" x14ac:dyDescent="0.2">
      <c r="H281">
        <v>272</v>
      </c>
      <c r="I281" s="24">
        <v>3424915601.0030603</v>
      </c>
      <c r="J281">
        <f t="shared" si="7"/>
        <v>0</v>
      </c>
    </row>
    <row r="282" spans="8:10" x14ac:dyDescent="0.2">
      <c r="H282">
        <v>273</v>
      </c>
      <c r="I282" s="24">
        <v>3107614873.0594616</v>
      </c>
      <c r="J282">
        <f t="shared" si="7"/>
        <v>0</v>
      </c>
    </row>
    <row r="283" spans="8:10" x14ac:dyDescent="0.2">
      <c r="H283">
        <v>274</v>
      </c>
      <c r="I283" s="24">
        <v>3276165039.2145672</v>
      </c>
      <c r="J283">
        <f t="shared" si="7"/>
        <v>0</v>
      </c>
    </row>
    <row r="284" spans="8:10" x14ac:dyDescent="0.2">
      <c r="H284">
        <v>275</v>
      </c>
      <c r="I284" s="24">
        <v>3291695396.2649198</v>
      </c>
      <c r="J284">
        <f t="shared" si="7"/>
        <v>0</v>
      </c>
    </row>
    <row r="285" spans="8:10" x14ac:dyDescent="0.2">
      <c r="H285">
        <v>276</v>
      </c>
      <c r="I285" s="24">
        <v>3408910154.2447071</v>
      </c>
      <c r="J285">
        <f t="shared" si="7"/>
        <v>0</v>
      </c>
    </row>
    <row r="286" spans="8:10" x14ac:dyDescent="0.2">
      <c r="H286">
        <v>277</v>
      </c>
      <c r="I286" s="24">
        <v>3423468597.5224304</v>
      </c>
      <c r="J286">
        <f t="shared" si="7"/>
        <v>0</v>
      </c>
    </row>
    <row r="287" spans="8:10" x14ac:dyDescent="0.2">
      <c r="H287">
        <v>278</v>
      </c>
      <c r="I287" s="24">
        <v>3351256162.5764127</v>
      </c>
      <c r="J287">
        <f t="shared" si="7"/>
        <v>0</v>
      </c>
    </row>
    <row r="288" spans="8:10" x14ac:dyDescent="0.2">
      <c r="H288">
        <v>279</v>
      </c>
      <c r="I288" s="24">
        <v>3168339562.9092941</v>
      </c>
      <c r="J288">
        <f t="shared" si="7"/>
        <v>0</v>
      </c>
    </row>
    <row r="289" spans="8:10" x14ac:dyDescent="0.2">
      <c r="H289">
        <v>280</v>
      </c>
      <c r="I289" s="24">
        <v>3151331144.4693227</v>
      </c>
      <c r="J289">
        <f t="shared" si="7"/>
        <v>0</v>
      </c>
    </row>
    <row r="290" spans="8:10" x14ac:dyDescent="0.2">
      <c r="H290">
        <v>281</v>
      </c>
      <c r="I290" s="24">
        <v>3171902978.962534</v>
      </c>
      <c r="J290">
        <f t="shared" si="7"/>
        <v>0</v>
      </c>
    </row>
    <row r="291" spans="8:10" x14ac:dyDescent="0.2">
      <c r="H291">
        <v>282</v>
      </c>
      <c r="I291" s="24">
        <v>3243017660.6367569</v>
      </c>
      <c r="J291">
        <f t="shared" si="7"/>
        <v>0</v>
      </c>
    </row>
    <row r="292" spans="8:10" x14ac:dyDescent="0.2">
      <c r="H292">
        <v>283</v>
      </c>
      <c r="I292" s="24">
        <v>3084176814.4793491</v>
      </c>
      <c r="J292">
        <f t="shared" si="7"/>
        <v>0</v>
      </c>
    </row>
    <row r="293" spans="8:10" x14ac:dyDescent="0.2">
      <c r="H293">
        <v>284</v>
      </c>
      <c r="I293" s="24">
        <v>2925206501.4517307</v>
      </c>
      <c r="J293">
        <f t="shared" si="7"/>
        <v>0</v>
      </c>
    </row>
    <row r="294" spans="8:10" x14ac:dyDescent="0.2">
      <c r="H294">
        <v>285</v>
      </c>
      <c r="I294" s="24">
        <v>2997550566.7451611</v>
      </c>
      <c r="J294">
        <f t="shared" si="7"/>
        <v>0</v>
      </c>
    </row>
    <row r="295" spans="8:10" x14ac:dyDescent="0.2">
      <c r="H295">
        <v>286</v>
      </c>
      <c r="I295" s="24">
        <v>3063508799.7194591</v>
      </c>
      <c r="J295">
        <f t="shared" si="7"/>
        <v>0</v>
      </c>
    </row>
    <row r="296" spans="8:10" x14ac:dyDescent="0.2">
      <c r="H296">
        <v>287</v>
      </c>
      <c r="I296" s="24">
        <v>3139096454.8950133</v>
      </c>
      <c r="J296">
        <f t="shared" si="7"/>
        <v>0</v>
      </c>
    </row>
    <row r="297" spans="8:10" x14ac:dyDescent="0.2">
      <c r="H297">
        <v>288</v>
      </c>
      <c r="I297" s="24">
        <v>2989148694.9914398</v>
      </c>
      <c r="J297">
        <f t="shared" si="7"/>
        <v>0</v>
      </c>
    </row>
    <row r="298" spans="8:10" x14ac:dyDescent="0.2">
      <c r="H298">
        <v>289</v>
      </c>
      <c r="I298" s="24">
        <v>3108218450.653554</v>
      </c>
      <c r="J298">
        <f t="shared" si="7"/>
        <v>0</v>
      </c>
    </row>
    <row r="299" spans="8:10" x14ac:dyDescent="0.2">
      <c r="H299">
        <v>290</v>
      </c>
      <c r="I299" s="24">
        <v>3049981443.5534339</v>
      </c>
      <c r="J299">
        <f t="shared" si="7"/>
        <v>0</v>
      </c>
    </row>
    <row r="300" spans="8:10" x14ac:dyDescent="0.2">
      <c r="H300">
        <v>291</v>
      </c>
      <c r="I300" s="24">
        <v>3101970820.3846889</v>
      </c>
      <c r="J300">
        <f t="shared" si="7"/>
        <v>0</v>
      </c>
    </row>
    <row r="301" spans="8:10" x14ac:dyDescent="0.2">
      <c r="H301">
        <v>292</v>
      </c>
      <c r="I301" s="24">
        <v>3142150308.9626913</v>
      </c>
      <c r="J301">
        <f t="shared" si="7"/>
        <v>0</v>
      </c>
    </row>
    <row r="302" spans="8:10" x14ac:dyDescent="0.2">
      <c r="H302">
        <v>293</v>
      </c>
      <c r="I302" s="24">
        <v>3076469718.8237748</v>
      </c>
      <c r="J302">
        <f t="shared" si="7"/>
        <v>0</v>
      </c>
    </row>
    <row r="303" spans="8:10" x14ac:dyDescent="0.2">
      <c r="H303">
        <v>294</v>
      </c>
      <c r="I303" s="24">
        <v>2910137848.0255499</v>
      </c>
      <c r="J303">
        <f t="shared" si="7"/>
        <v>0</v>
      </c>
    </row>
    <row r="304" spans="8:10" x14ac:dyDescent="0.2">
      <c r="H304">
        <v>295</v>
      </c>
      <c r="I304" s="24">
        <v>2899533133.5018716</v>
      </c>
      <c r="J304">
        <f t="shared" si="7"/>
        <v>0</v>
      </c>
    </row>
    <row r="305" spans="8:10" x14ac:dyDescent="0.2">
      <c r="H305">
        <v>296</v>
      </c>
      <c r="I305" s="24">
        <v>3070687351.2889256</v>
      </c>
      <c r="J305">
        <f t="shared" si="7"/>
        <v>0</v>
      </c>
    </row>
    <row r="306" spans="8:10" x14ac:dyDescent="0.2">
      <c r="H306">
        <v>297</v>
      </c>
      <c r="I306" s="24">
        <v>3066345024.3115358</v>
      </c>
      <c r="J306">
        <f t="shared" si="7"/>
        <v>0</v>
      </c>
    </row>
    <row r="307" spans="8:10" x14ac:dyDescent="0.2">
      <c r="H307">
        <v>298</v>
      </c>
      <c r="I307" s="24">
        <v>3276531389.1152391</v>
      </c>
      <c r="J307">
        <f t="shared" si="7"/>
        <v>0</v>
      </c>
    </row>
    <row r="308" spans="8:10" x14ac:dyDescent="0.2">
      <c r="H308">
        <v>299</v>
      </c>
      <c r="I308" s="24">
        <v>3026423521.2620478</v>
      </c>
      <c r="J308">
        <f t="shared" si="7"/>
        <v>0</v>
      </c>
    </row>
    <row r="309" spans="8:10" x14ac:dyDescent="0.2">
      <c r="H309">
        <v>300</v>
      </c>
      <c r="I309" s="24">
        <v>3197023367.2636642</v>
      </c>
      <c r="J309">
        <f t="shared" si="7"/>
        <v>0</v>
      </c>
    </row>
    <row r="310" spans="8:10" x14ac:dyDescent="0.2">
      <c r="H310">
        <v>301</v>
      </c>
      <c r="I310" s="24">
        <v>3273202728.4182372</v>
      </c>
      <c r="J310">
        <f t="shared" si="7"/>
        <v>0</v>
      </c>
    </row>
    <row r="311" spans="8:10" x14ac:dyDescent="0.2">
      <c r="H311">
        <v>302</v>
      </c>
      <c r="I311" s="24">
        <v>2821351428.9046636</v>
      </c>
      <c r="J311">
        <f t="shared" si="7"/>
        <v>0</v>
      </c>
    </row>
    <row r="312" spans="8:10" x14ac:dyDescent="0.2">
      <c r="H312">
        <v>303</v>
      </c>
      <c r="I312" s="24">
        <v>2983258184.9343491</v>
      </c>
      <c r="J312">
        <f t="shared" si="7"/>
        <v>0</v>
      </c>
    </row>
    <row r="313" spans="8:10" x14ac:dyDescent="0.2">
      <c r="H313">
        <v>304</v>
      </c>
      <c r="I313" s="24">
        <v>3161881994.2843966</v>
      </c>
      <c r="J313">
        <f t="shared" si="7"/>
        <v>0</v>
      </c>
    </row>
    <row r="314" spans="8:10" x14ac:dyDescent="0.2">
      <c r="H314">
        <v>305</v>
      </c>
      <c r="I314" s="24">
        <v>2999388038.9754782</v>
      </c>
      <c r="J314">
        <f t="shared" si="7"/>
        <v>0</v>
      </c>
    </row>
    <row r="315" spans="8:10" x14ac:dyDescent="0.2">
      <c r="H315">
        <v>306</v>
      </c>
      <c r="I315" s="24">
        <v>3396990763.2282844</v>
      </c>
      <c r="J315">
        <f t="shared" si="7"/>
        <v>0</v>
      </c>
    </row>
    <row r="316" spans="8:10" x14ac:dyDescent="0.2">
      <c r="H316">
        <v>307</v>
      </c>
      <c r="I316" s="24">
        <v>3427420665.0400853</v>
      </c>
      <c r="J316">
        <f t="shared" si="7"/>
        <v>0</v>
      </c>
    </row>
    <row r="317" spans="8:10" x14ac:dyDescent="0.2">
      <c r="H317">
        <v>308</v>
      </c>
      <c r="I317" s="24">
        <v>3026991425.9093695</v>
      </c>
      <c r="J317">
        <f t="shared" si="7"/>
        <v>0</v>
      </c>
    </row>
    <row r="318" spans="8:10" x14ac:dyDescent="0.2">
      <c r="H318">
        <v>309</v>
      </c>
      <c r="I318" s="24">
        <v>2995205753.4019918</v>
      </c>
      <c r="J318">
        <f t="shared" si="7"/>
        <v>0</v>
      </c>
    </row>
    <row r="319" spans="8:10" x14ac:dyDescent="0.2">
      <c r="H319">
        <v>310</v>
      </c>
      <c r="I319" s="24">
        <v>3026154367.2065353</v>
      </c>
      <c r="J319">
        <f t="shared" si="7"/>
        <v>0</v>
      </c>
    </row>
    <row r="320" spans="8:10" x14ac:dyDescent="0.2">
      <c r="H320">
        <v>311</v>
      </c>
      <c r="I320" s="24">
        <v>3048828794.2482252</v>
      </c>
      <c r="J320">
        <f t="shared" si="7"/>
        <v>0</v>
      </c>
    </row>
    <row r="321" spans="8:10" x14ac:dyDescent="0.2">
      <c r="H321">
        <v>312</v>
      </c>
      <c r="I321" s="24">
        <v>3139040600.5154939</v>
      </c>
      <c r="J321">
        <f t="shared" si="7"/>
        <v>0</v>
      </c>
    </row>
    <row r="322" spans="8:10" x14ac:dyDescent="0.2">
      <c r="H322">
        <v>313</v>
      </c>
      <c r="I322" s="24">
        <v>3054595146.9367809</v>
      </c>
      <c r="J322">
        <f t="shared" si="7"/>
        <v>0</v>
      </c>
    </row>
    <row r="323" spans="8:10" x14ac:dyDescent="0.2">
      <c r="H323">
        <v>314</v>
      </c>
      <c r="I323" s="24">
        <v>2972602055.2923222</v>
      </c>
      <c r="J323">
        <f t="shared" si="7"/>
        <v>0</v>
      </c>
    </row>
    <row r="324" spans="8:10" x14ac:dyDescent="0.2">
      <c r="H324">
        <v>315</v>
      </c>
      <c r="I324" s="24">
        <v>3200627489.2362161</v>
      </c>
      <c r="J324">
        <f t="shared" si="7"/>
        <v>0</v>
      </c>
    </row>
    <row r="325" spans="8:10" x14ac:dyDescent="0.2">
      <c r="H325">
        <v>316</v>
      </c>
      <c r="I325" s="24">
        <v>3200819085.7397642</v>
      </c>
      <c r="J325">
        <f t="shared" si="7"/>
        <v>0</v>
      </c>
    </row>
    <row r="326" spans="8:10" x14ac:dyDescent="0.2">
      <c r="H326">
        <v>317</v>
      </c>
      <c r="I326" s="24">
        <v>2978368885.2830672</v>
      </c>
      <c r="J326">
        <f t="shared" si="7"/>
        <v>0</v>
      </c>
    </row>
    <row r="327" spans="8:10" x14ac:dyDescent="0.2">
      <c r="H327">
        <v>318</v>
      </c>
      <c r="I327" s="24">
        <v>3211102328.8871632</v>
      </c>
      <c r="J327">
        <f t="shared" si="7"/>
        <v>0</v>
      </c>
    </row>
    <row r="328" spans="8:10" x14ac:dyDescent="0.2">
      <c r="H328">
        <v>319</v>
      </c>
      <c r="I328" s="24">
        <v>3447564474.5128093</v>
      </c>
      <c r="J328">
        <f t="shared" si="7"/>
        <v>0</v>
      </c>
    </row>
    <row r="329" spans="8:10" x14ac:dyDescent="0.2">
      <c r="H329">
        <v>320</v>
      </c>
      <c r="I329" s="24">
        <v>3212472907.5664797</v>
      </c>
      <c r="J329">
        <f t="shared" si="7"/>
        <v>0</v>
      </c>
    </row>
    <row r="330" spans="8:10" x14ac:dyDescent="0.2">
      <c r="H330">
        <v>321</v>
      </c>
      <c r="I330" s="24">
        <v>3026880917.9593678</v>
      </c>
      <c r="J330">
        <f t="shared" si="7"/>
        <v>0</v>
      </c>
    </row>
    <row r="331" spans="8:10" x14ac:dyDescent="0.2">
      <c r="H331">
        <v>322</v>
      </c>
      <c r="I331" s="24">
        <v>2916821628.837348</v>
      </c>
      <c r="J331">
        <f t="shared" ref="J331:J394" si="8">IF(I331&lt;1700000000,1,0)</f>
        <v>0</v>
      </c>
    </row>
    <row r="332" spans="8:10" x14ac:dyDescent="0.2">
      <c r="H332">
        <v>323</v>
      </c>
      <c r="I332" s="24">
        <v>3154605735.3977604</v>
      </c>
      <c r="J332">
        <f t="shared" si="8"/>
        <v>0</v>
      </c>
    </row>
    <row r="333" spans="8:10" x14ac:dyDescent="0.2">
      <c r="H333">
        <v>324</v>
      </c>
      <c r="I333" s="24">
        <v>3028011696.0265636</v>
      </c>
      <c r="J333">
        <f t="shared" si="8"/>
        <v>0</v>
      </c>
    </row>
    <row r="334" spans="8:10" x14ac:dyDescent="0.2">
      <c r="H334">
        <v>325</v>
      </c>
      <c r="I334" s="24">
        <v>3160534750.8887615</v>
      </c>
      <c r="J334">
        <f t="shared" si="8"/>
        <v>0</v>
      </c>
    </row>
    <row r="335" spans="8:10" x14ac:dyDescent="0.2">
      <c r="H335">
        <v>326</v>
      </c>
      <c r="I335" s="24">
        <v>3271489676.4282918</v>
      </c>
      <c r="J335">
        <f t="shared" si="8"/>
        <v>0</v>
      </c>
    </row>
    <row r="336" spans="8:10" x14ac:dyDescent="0.2">
      <c r="H336">
        <v>327</v>
      </c>
      <c r="I336" s="24">
        <v>2984944423.6971564</v>
      </c>
      <c r="J336">
        <f t="shared" si="8"/>
        <v>0</v>
      </c>
    </row>
    <row r="337" spans="8:10" x14ac:dyDescent="0.2">
      <c r="H337">
        <v>328</v>
      </c>
      <c r="I337" s="24">
        <v>2821606349.0990653</v>
      </c>
      <c r="J337">
        <f t="shared" si="8"/>
        <v>0</v>
      </c>
    </row>
    <row r="338" spans="8:10" x14ac:dyDescent="0.2">
      <c r="H338">
        <v>329</v>
      </c>
      <c r="I338" s="24">
        <v>3237967586.8228126</v>
      </c>
      <c r="J338">
        <f t="shared" si="8"/>
        <v>0</v>
      </c>
    </row>
    <row r="339" spans="8:10" x14ac:dyDescent="0.2">
      <c r="H339">
        <v>330</v>
      </c>
      <c r="I339" s="24">
        <v>3443266934.6525354</v>
      </c>
      <c r="J339">
        <f t="shared" si="8"/>
        <v>0</v>
      </c>
    </row>
    <row r="340" spans="8:10" x14ac:dyDescent="0.2">
      <c r="H340">
        <v>331</v>
      </c>
      <c r="I340" s="24">
        <v>3303720068.0481324</v>
      </c>
      <c r="J340">
        <f t="shared" si="8"/>
        <v>0</v>
      </c>
    </row>
    <row r="341" spans="8:10" x14ac:dyDescent="0.2">
      <c r="H341">
        <v>332</v>
      </c>
      <c r="I341" s="24">
        <v>3015200408.9010258</v>
      </c>
      <c r="J341">
        <f t="shared" si="8"/>
        <v>0</v>
      </c>
    </row>
    <row r="342" spans="8:10" x14ac:dyDescent="0.2">
      <c r="H342">
        <v>333</v>
      </c>
      <c r="I342" s="24">
        <v>3098074845.8567362</v>
      </c>
      <c r="J342">
        <f t="shared" si="8"/>
        <v>0</v>
      </c>
    </row>
    <row r="343" spans="8:10" x14ac:dyDescent="0.2">
      <c r="H343">
        <v>334</v>
      </c>
      <c r="I343" s="24">
        <v>3072459054.6684494</v>
      </c>
      <c r="J343">
        <f t="shared" si="8"/>
        <v>0</v>
      </c>
    </row>
    <row r="344" spans="8:10" x14ac:dyDescent="0.2">
      <c r="H344">
        <v>335</v>
      </c>
      <c r="I344" s="24">
        <v>2942532086.1682553</v>
      </c>
      <c r="J344">
        <f t="shared" si="8"/>
        <v>0</v>
      </c>
    </row>
    <row r="345" spans="8:10" x14ac:dyDescent="0.2">
      <c r="H345">
        <v>336</v>
      </c>
      <c r="I345" s="24">
        <v>3069298524.2320795</v>
      </c>
      <c r="J345">
        <f t="shared" si="8"/>
        <v>0</v>
      </c>
    </row>
    <row r="346" spans="8:10" x14ac:dyDescent="0.2">
      <c r="H346">
        <v>337</v>
      </c>
      <c r="I346" s="24">
        <v>2917434254.434444</v>
      </c>
      <c r="J346">
        <f t="shared" si="8"/>
        <v>0</v>
      </c>
    </row>
    <row r="347" spans="8:10" x14ac:dyDescent="0.2">
      <c r="H347">
        <v>338</v>
      </c>
      <c r="I347" s="24">
        <v>3378553966.0171304</v>
      </c>
      <c r="J347">
        <f t="shared" si="8"/>
        <v>0</v>
      </c>
    </row>
    <row r="348" spans="8:10" x14ac:dyDescent="0.2">
      <c r="H348">
        <v>339</v>
      </c>
      <c r="I348" s="24">
        <v>3354245970.9420943</v>
      </c>
      <c r="J348">
        <f t="shared" si="8"/>
        <v>0</v>
      </c>
    </row>
    <row r="349" spans="8:10" x14ac:dyDescent="0.2">
      <c r="H349">
        <v>340</v>
      </c>
      <c r="I349" s="24">
        <v>3414612136.2829714</v>
      </c>
      <c r="J349">
        <f t="shared" si="8"/>
        <v>0</v>
      </c>
    </row>
    <row r="350" spans="8:10" x14ac:dyDescent="0.2">
      <c r="H350">
        <v>341</v>
      </c>
      <c r="I350" s="24">
        <v>3141721017.8515272</v>
      </c>
      <c r="J350">
        <f t="shared" si="8"/>
        <v>0</v>
      </c>
    </row>
    <row r="351" spans="8:10" x14ac:dyDescent="0.2">
      <c r="H351">
        <v>342</v>
      </c>
      <c r="I351" s="24">
        <v>3107048871.2018828</v>
      </c>
      <c r="J351">
        <f t="shared" si="8"/>
        <v>0</v>
      </c>
    </row>
    <row r="352" spans="8:10" x14ac:dyDescent="0.2">
      <c r="H352">
        <v>343</v>
      </c>
      <c r="I352" s="24">
        <v>3175370246.7305517</v>
      </c>
      <c r="J352">
        <f t="shared" si="8"/>
        <v>0</v>
      </c>
    </row>
    <row r="353" spans="8:10" x14ac:dyDescent="0.2">
      <c r="H353">
        <v>344</v>
      </c>
      <c r="I353" s="24">
        <v>3182327197.954494</v>
      </c>
      <c r="J353">
        <f t="shared" si="8"/>
        <v>0</v>
      </c>
    </row>
    <row r="354" spans="8:10" x14ac:dyDescent="0.2">
      <c r="H354">
        <v>345</v>
      </c>
      <c r="I354" s="24">
        <v>3057272868.2146235</v>
      </c>
      <c r="J354">
        <f t="shared" si="8"/>
        <v>0</v>
      </c>
    </row>
    <row r="355" spans="8:10" x14ac:dyDescent="0.2">
      <c r="H355">
        <v>346</v>
      </c>
      <c r="I355" s="24">
        <v>3195987398.945868</v>
      </c>
      <c r="J355">
        <f t="shared" si="8"/>
        <v>0</v>
      </c>
    </row>
    <row r="356" spans="8:10" x14ac:dyDescent="0.2">
      <c r="H356">
        <v>347</v>
      </c>
      <c r="I356" s="24">
        <v>3207697617.9944749</v>
      </c>
      <c r="J356">
        <f t="shared" si="8"/>
        <v>0</v>
      </c>
    </row>
    <row r="357" spans="8:10" x14ac:dyDescent="0.2">
      <c r="H357">
        <v>348</v>
      </c>
      <c r="I357" s="24">
        <v>3083610022.8316798</v>
      </c>
      <c r="J357">
        <f t="shared" si="8"/>
        <v>0</v>
      </c>
    </row>
    <row r="358" spans="8:10" x14ac:dyDescent="0.2">
      <c r="H358">
        <v>349</v>
      </c>
      <c r="I358" s="24">
        <v>3051521101.356771</v>
      </c>
      <c r="J358">
        <f t="shared" si="8"/>
        <v>0</v>
      </c>
    </row>
    <row r="359" spans="8:10" x14ac:dyDescent="0.2">
      <c r="H359">
        <v>350</v>
      </c>
      <c r="I359" s="24">
        <v>3406381493.3471422</v>
      </c>
      <c r="J359">
        <f t="shared" si="8"/>
        <v>0</v>
      </c>
    </row>
    <row r="360" spans="8:10" x14ac:dyDescent="0.2">
      <c r="H360">
        <v>351</v>
      </c>
      <c r="I360" s="24">
        <v>3078110804.4830132</v>
      </c>
      <c r="J360">
        <f t="shared" si="8"/>
        <v>0</v>
      </c>
    </row>
    <row r="361" spans="8:10" x14ac:dyDescent="0.2">
      <c r="H361">
        <v>352</v>
      </c>
      <c r="I361" s="24">
        <v>3151829929.2730522</v>
      </c>
      <c r="J361">
        <f t="shared" si="8"/>
        <v>0</v>
      </c>
    </row>
    <row r="362" spans="8:10" x14ac:dyDescent="0.2">
      <c r="H362">
        <v>353</v>
      </c>
      <c r="I362" s="24">
        <v>3151680361.1532302</v>
      </c>
      <c r="J362">
        <f t="shared" si="8"/>
        <v>0</v>
      </c>
    </row>
    <row r="363" spans="8:10" x14ac:dyDescent="0.2">
      <c r="H363">
        <v>354</v>
      </c>
      <c r="I363" s="24">
        <v>3385345461.9346519</v>
      </c>
      <c r="J363">
        <f t="shared" si="8"/>
        <v>0</v>
      </c>
    </row>
    <row r="364" spans="8:10" x14ac:dyDescent="0.2">
      <c r="H364">
        <v>355</v>
      </c>
      <c r="I364" s="24">
        <v>3131107375.8176723</v>
      </c>
      <c r="J364">
        <f t="shared" si="8"/>
        <v>0</v>
      </c>
    </row>
    <row r="365" spans="8:10" x14ac:dyDescent="0.2">
      <c r="H365">
        <v>356</v>
      </c>
      <c r="I365" s="24">
        <v>3125198870.9866571</v>
      </c>
      <c r="J365">
        <f t="shared" si="8"/>
        <v>0</v>
      </c>
    </row>
    <row r="366" spans="8:10" x14ac:dyDescent="0.2">
      <c r="H366">
        <v>357</v>
      </c>
      <c r="I366" s="24">
        <v>3147341729.9385362</v>
      </c>
      <c r="J366">
        <f t="shared" si="8"/>
        <v>0</v>
      </c>
    </row>
    <row r="367" spans="8:10" x14ac:dyDescent="0.2">
      <c r="H367">
        <v>358</v>
      </c>
      <c r="I367" s="24">
        <v>3014368353.8058252</v>
      </c>
      <c r="J367">
        <f t="shared" si="8"/>
        <v>0</v>
      </c>
    </row>
    <row r="368" spans="8:10" x14ac:dyDescent="0.2">
      <c r="H368">
        <v>359</v>
      </c>
      <c r="I368" s="24">
        <v>3163555632.1368499</v>
      </c>
      <c r="J368">
        <f t="shared" si="8"/>
        <v>0</v>
      </c>
    </row>
    <row r="369" spans="8:10" x14ac:dyDescent="0.2">
      <c r="H369">
        <v>360</v>
      </c>
      <c r="I369" s="24">
        <v>3221109206.2840161</v>
      </c>
      <c r="J369">
        <f t="shared" si="8"/>
        <v>0</v>
      </c>
    </row>
    <row r="370" spans="8:10" x14ac:dyDescent="0.2">
      <c r="H370">
        <v>361</v>
      </c>
      <c r="I370" s="24">
        <v>3252070455.0243864</v>
      </c>
      <c r="J370">
        <f t="shared" si="8"/>
        <v>0</v>
      </c>
    </row>
    <row r="371" spans="8:10" x14ac:dyDescent="0.2">
      <c r="H371">
        <v>362</v>
      </c>
      <c r="I371" s="24">
        <v>3145002948.7250338</v>
      </c>
      <c r="J371">
        <f t="shared" si="8"/>
        <v>0</v>
      </c>
    </row>
    <row r="372" spans="8:10" x14ac:dyDescent="0.2">
      <c r="H372">
        <v>363</v>
      </c>
      <c r="I372" s="24">
        <v>3392453305.3120131</v>
      </c>
      <c r="J372">
        <f t="shared" si="8"/>
        <v>0</v>
      </c>
    </row>
    <row r="373" spans="8:10" x14ac:dyDescent="0.2">
      <c r="H373">
        <v>364</v>
      </c>
      <c r="I373" s="24">
        <v>3184531429.9898319</v>
      </c>
      <c r="J373">
        <f t="shared" si="8"/>
        <v>0</v>
      </c>
    </row>
    <row r="374" spans="8:10" x14ac:dyDescent="0.2">
      <c r="H374">
        <v>365</v>
      </c>
      <c r="I374" s="24">
        <v>3269966512.0740361</v>
      </c>
      <c r="J374">
        <f t="shared" si="8"/>
        <v>0</v>
      </c>
    </row>
    <row r="375" spans="8:10" x14ac:dyDescent="0.2">
      <c r="H375">
        <v>366</v>
      </c>
      <c r="I375" s="24">
        <v>3152846311.2825685</v>
      </c>
      <c r="J375">
        <f t="shared" si="8"/>
        <v>0</v>
      </c>
    </row>
    <row r="376" spans="8:10" x14ac:dyDescent="0.2">
      <c r="H376">
        <v>367</v>
      </c>
      <c r="I376" s="24">
        <v>2928247409.2668457</v>
      </c>
      <c r="J376">
        <f t="shared" si="8"/>
        <v>0</v>
      </c>
    </row>
    <row r="377" spans="8:10" x14ac:dyDescent="0.2">
      <c r="H377">
        <v>368</v>
      </c>
      <c r="I377" s="24">
        <v>3137922935.0927706</v>
      </c>
      <c r="J377">
        <f t="shared" si="8"/>
        <v>0</v>
      </c>
    </row>
    <row r="378" spans="8:10" x14ac:dyDescent="0.2">
      <c r="H378">
        <v>369</v>
      </c>
      <c r="I378" s="24">
        <v>3075669892.1240473</v>
      </c>
      <c r="J378">
        <f t="shared" si="8"/>
        <v>0</v>
      </c>
    </row>
    <row r="379" spans="8:10" x14ac:dyDescent="0.2">
      <c r="H379">
        <v>370</v>
      </c>
      <c r="I379" s="24">
        <v>3237808859.4530201</v>
      </c>
      <c r="J379">
        <f t="shared" si="8"/>
        <v>0</v>
      </c>
    </row>
    <row r="380" spans="8:10" x14ac:dyDescent="0.2">
      <c r="H380">
        <v>371</v>
      </c>
      <c r="I380" s="24">
        <v>3307919875.4991703</v>
      </c>
      <c r="J380">
        <f t="shared" si="8"/>
        <v>0</v>
      </c>
    </row>
    <row r="381" spans="8:10" x14ac:dyDescent="0.2">
      <c r="H381">
        <v>372</v>
      </c>
      <c r="I381" s="24">
        <v>3011508164.0060263</v>
      </c>
      <c r="J381">
        <f t="shared" si="8"/>
        <v>0</v>
      </c>
    </row>
    <row r="382" spans="8:10" x14ac:dyDescent="0.2">
      <c r="H382">
        <v>373</v>
      </c>
      <c r="I382" s="24">
        <v>3410532307.9429426</v>
      </c>
      <c r="J382">
        <f t="shared" si="8"/>
        <v>0</v>
      </c>
    </row>
    <row r="383" spans="8:10" x14ac:dyDescent="0.2">
      <c r="H383">
        <v>374</v>
      </c>
      <c r="I383" s="24">
        <v>3206183857.4854012</v>
      </c>
      <c r="J383">
        <f t="shared" si="8"/>
        <v>0</v>
      </c>
    </row>
    <row r="384" spans="8:10" x14ac:dyDescent="0.2">
      <c r="H384">
        <v>375</v>
      </c>
      <c r="I384" s="24">
        <v>3266134028.0030642</v>
      </c>
      <c r="J384">
        <f t="shared" si="8"/>
        <v>0</v>
      </c>
    </row>
    <row r="385" spans="8:10" x14ac:dyDescent="0.2">
      <c r="H385">
        <v>376</v>
      </c>
      <c r="I385" s="24">
        <v>3010178720.7298212</v>
      </c>
      <c r="J385">
        <f t="shared" si="8"/>
        <v>0</v>
      </c>
    </row>
    <row r="386" spans="8:10" x14ac:dyDescent="0.2">
      <c r="H386">
        <v>377</v>
      </c>
      <c r="I386" s="24">
        <v>3225133760.1131988</v>
      </c>
      <c r="J386">
        <f t="shared" si="8"/>
        <v>0</v>
      </c>
    </row>
    <row r="387" spans="8:10" x14ac:dyDescent="0.2">
      <c r="H387">
        <v>378</v>
      </c>
      <c r="I387" s="24">
        <v>2963930038.2257557</v>
      </c>
      <c r="J387">
        <f t="shared" si="8"/>
        <v>0</v>
      </c>
    </row>
    <row r="388" spans="8:10" x14ac:dyDescent="0.2">
      <c r="H388">
        <v>379</v>
      </c>
      <c r="I388" s="24">
        <v>3300641956.3973026</v>
      </c>
      <c r="J388">
        <f t="shared" si="8"/>
        <v>0</v>
      </c>
    </row>
    <row r="389" spans="8:10" x14ac:dyDescent="0.2">
      <c r="H389">
        <v>380</v>
      </c>
      <c r="I389" s="24">
        <v>3267877053.5664163</v>
      </c>
      <c r="J389">
        <f t="shared" si="8"/>
        <v>0</v>
      </c>
    </row>
    <row r="390" spans="8:10" x14ac:dyDescent="0.2">
      <c r="H390">
        <v>381</v>
      </c>
      <c r="I390" s="24">
        <v>3378305343.9917951</v>
      </c>
      <c r="J390">
        <f t="shared" si="8"/>
        <v>0</v>
      </c>
    </row>
    <row r="391" spans="8:10" x14ac:dyDescent="0.2">
      <c r="H391">
        <v>382</v>
      </c>
      <c r="I391" s="24">
        <v>3146363224.1862683</v>
      </c>
      <c r="J391">
        <f t="shared" si="8"/>
        <v>0</v>
      </c>
    </row>
    <row r="392" spans="8:10" x14ac:dyDescent="0.2">
      <c r="H392">
        <v>383</v>
      </c>
      <c r="I392" s="24">
        <v>2961242307.8728609</v>
      </c>
      <c r="J392">
        <f t="shared" si="8"/>
        <v>0</v>
      </c>
    </row>
    <row r="393" spans="8:10" x14ac:dyDescent="0.2">
      <c r="H393">
        <v>384</v>
      </c>
      <c r="I393" s="24">
        <v>2869804350.3041525</v>
      </c>
      <c r="J393">
        <f t="shared" si="8"/>
        <v>0</v>
      </c>
    </row>
    <row r="394" spans="8:10" x14ac:dyDescent="0.2">
      <c r="H394">
        <v>385</v>
      </c>
      <c r="I394" s="24">
        <v>3099601055.9351439</v>
      </c>
      <c r="J394">
        <f t="shared" si="8"/>
        <v>0</v>
      </c>
    </row>
    <row r="395" spans="8:10" x14ac:dyDescent="0.2">
      <c r="H395">
        <v>386</v>
      </c>
      <c r="I395" s="24">
        <v>3243119860.1452174</v>
      </c>
      <c r="J395">
        <f t="shared" ref="J395:J458" si="9">IF(I395&lt;1700000000,1,0)</f>
        <v>0</v>
      </c>
    </row>
    <row r="396" spans="8:10" x14ac:dyDescent="0.2">
      <c r="H396">
        <v>387</v>
      </c>
      <c r="I396" s="24">
        <v>3141994892.5046692</v>
      </c>
      <c r="J396">
        <f t="shared" si="9"/>
        <v>0</v>
      </c>
    </row>
    <row r="397" spans="8:10" x14ac:dyDescent="0.2">
      <c r="H397">
        <v>388</v>
      </c>
      <c r="I397" s="24">
        <v>3197010060.1040816</v>
      </c>
      <c r="J397">
        <f t="shared" si="9"/>
        <v>0</v>
      </c>
    </row>
    <row r="398" spans="8:10" x14ac:dyDescent="0.2">
      <c r="H398">
        <v>389</v>
      </c>
      <c r="I398" s="24">
        <v>2961767200.2741275</v>
      </c>
      <c r="J398">
        <f t="shared" si="9"/>
        <v>0</v>
      </c>
    </row>
    <row r="399" spans="8:10" x14ac:dyDescent="0.2">
      <c r="H399">
        <v>390</v>
      </c>
      <c r="I399" s="24">
        <v>2958986024.1287336</v>
      </c>
      <c r="J399">
        <f t="shared" si="9"/>
        <v>0</v>
      </c>
    </row>
    <row r="400" spans="8:10" x14ac:dyDescent="0.2">
      <c r="H400">
        <v>391</v>
      </c>
      <c r="I400" s="24">
        <v>3065018255.8530526</v>
      </c>
      <c r="J400">
        <f t="shared" si="9"/>
        <v>0</v>
      </c>
    </row>
    <row r="401" spans="8:10" x14ac:dyDescent="0.2">
      <c r="H401">
        <v>392</v>
      </c>
      <c r="I401" s="24">
        <v>3386616216.1863551</v>
      </c>
      <c r="J401">
        <f t="shared" si="9"/>
        <v>0</v>
      </c>
    </row>
    <row r="402" spans="8:10" x14ac:dyDescent="0.2">
      <c r="H402">
        <v>393</v>
      </c>
      <c r="I402" s="24">
        <v>3165223765.5979881</v>
      </c>
      <c r="J402">
        <f t="shared" si="9"/>
        <v>0</v>
      </c>
    </row>
    <row r="403" spans="8:10" x14ac:dyDescent="0.2">
      <c r="H403">
        <v>394</v>
      </c>
      <c r="I403" s="24">
        <v>3032648059.785706</v>
      </c>
      <c r="J403">
        <f t="shared" si="9"/>
        <v>0</v>
      </c>
    </row>
    <row r="404" spans="8:10" x14ac:dyDescent="0.2">
      <c r="H404">
        <v>395</v>
      </c>
      <c r="I404" s="24">
        <v>3019342353.2870345</v>
      </c>
      <c r="J404">
        <f t="shared" si="9"/>
        <v>0</v>
      </c>
    </row>
    <row r="405" spans="8:10" x14ac:dyDescent="0.2">
      <c r="H405">
        <v>396</v>
      </c>
      <c r="I405" s="24">
        <v>3100538017.7226987</v>
      </c>
      <c r="J405">
        <f t="shared" si="9"/>
        <v>0</v>
      </c>
    </row>
    <row r="406" spans="8:10" x14ac:dyDescent="0.2">
      <c r="H406">
        <v>397</v>
      </c>
      <c r="I406" s="24">
        <v>3429822180.6174808</v>
      </c>
      <c r="J406">
        <f t="shared" si="9"/>
        <v>0</v>
      </c>
    </row>
    <row r="407" spans="8:10" x14ac:dyDescent="0.2">
      <c r="H407">
        <v>398</v>
      </c>
      <c r="I407" s="24">
        <v>3048536422.9415421</v>
      </c>
      <c r="J407">
        <f t="shared" si="9"/>
        <v>0</v>
      </c>
    </row>
    <row r="408" spans="8:10" x14ac:dyDescent="0.2">
      <c r="H408">
        <v>399</v>
      </c>
      <c r="I408" s="24">
        <v>3087173447.4056759</v>
      </c>
      <c r="J408">
        <f t="shared" si="9"/>
        <v>0</v>
      </c>
    </row>
    <row r="409" spans="8:10" x14ac:dyDescent="0.2">
      <c r="H409">
        <v>400</v>
      </c>
      <c r="I409" s="24">
        <v>2910747412.3197651</v>
      </c>
      <c r="J409">
        <f t="shared" si="9"/>
        <v>0</v>
      </c>
    </row>
    <row r="410" spans="8:10" x14ac:dyDescent="0.2">
      <c r="H410">
        <v>401</v>
      </c>
      <c r="I410" s="24">
        <v>3196742140.7976813</v>
      </c>
      <c r="J410">
        <f t="shared" si="9"/>
        <v>0</v>
      </c>
    </row>
    <row r="411" spans="8:10" x14ac:dyDescent="0.2">
      <c r="H411">
        <v>402</v>
      </c>
      <c r="I411" s="24">
        <v>3142725465.0456796</v>
      </c>
      <c r="J411">
        <f t="shared" si="9"/>
        <v>0</v>
      </c>
    </row>
    <row r="412" spans="8:10" x14ac:dyDescent="0.2">
      <c r="H412">
        <v>403</v>
      </c>
      <c r="I412" s="24">
        <v>3216728935.1046643</v>
      </c>
      <c r="J412">
        <f t="shared" si="9"/>
        <v>0</v>
      </c>
    </row>
    <row r="413" spans="8:10" x14ac:dyDescent="0.2">
      <c r="H413">
        <v>404</v>
      </c>
      <c r="I413" s="24">
        <v>3280756528.1561942</v>
      </c>
      <c r="J413">
        <f t="shared" si="9"/>
        <v>0</v>
      </c>
    </row>
    <row r="414" spans="8:10" x14ac:dyDescent="0.2">
      <c r="H414">
        <v>405</v>
      </c>
      <c r="I414" s="24">
        <v>3255501779.7052503</v>
      </c>
      <c r="J414">
        <f t="shared" si="9"/>
        <v>0</v>
      </c>
    </row>
    <row r="415" spans="8:10" x14ac:dyDescent="0.2">
      <c r="H415">
        <v>406</v>
      </c>
      <c r="I415" s="24">
        <v>3111023198.1848292</v>
      </c>
      <c r="J415">
        <f t="shared" si="9"/>
        <v>0</v>
      </c>
    </row>
    <row r="416" spans="8:10" x14ac:dyDescent="0.2">
      <c r="H416">
        <v>407</v>
      </c>
      <c r="I416" s="24">
        <v>3185970501.9506717</v>
      </c>
      <c r="J416">
        <f t="shared" si="9"/>
        <v>0</v>
      </c>
    </row>
    <row r="417" spans="8:10" x14ac:dyDescent="0.2">
      <c r="H417">
        <v>408</v>
      </c>
      <c r="I417" s="24">
        <v>2894673284.2159009</v>
      </c>
      <c r="J417">
        <f t="shared" si="9"/>
        <v>0</v>
      </c>
    </row>
    <row r="418" spans="8:10" x14ac:dyDescent="0.2">
      <c r="H418">
        <v>409</v>
      </c>
      <c r="I418" s="24">
        <v>3321653829.6432862</v>
      </c>
      <c r="J418">
        <f t="shared" si="9"/>
        <v>0</v>
      </c>
    </row>
    <row r="419" spans="8:10" x14ac:dyDescent="0.2">
      <c r="H419">
        <v>410</v>
      </c>
      <c r="I419" s="24">
        <v>3026978715.5364289</v>
      </c>
      <c r="J419">
        <f t="shared" si="9"/>
        <v>0</v>
      </c>
    </row>
    <row r="420" spans="8:10" x14ac:dyDescent="0.2">
      <c r="H420">
        <v>411</v>
      </c>
      <c r="I420" s="24">
        <v>3235220817.2617803</v>
      </c>
      <c r="J420">
        <f t="shared" si="9"/>
        <v>0</v>
      </c>
    </row>
    <row r="421" spans="8:10" x14ac:dyDescent="0.2">
      <c r="H421">
        <v>412</v>
      </c>
      <c r="I421" s="24">
        <v>3214679687.6862879</v>
      </c>
      <c r="J421">
        <f t="shared" si="9"/>
        <v>0</v>
      </c>
    </row>
    <row r="422" spans="8:10" x14ac:dyDescent="0.2">
      <c r="H422">
        <v>413</v>
      </c>
      <c r="I422" s="24">
        <v>3140109388.8001323</v>
      </c>
      <c r="J422">
        <f t="shared" si="9"/>
        <v>0</v>
      </c>
    </row>
    <row r="423" spans="8:10" x14ac:dyDescent="0.2">
      <c r="H423">
        <v>414</v>
      </c>
      <c r="I423" s="24">
        <v>2894880204.2508674</v>
      </c>
      <c r="J423">
        <f t="shared" si="9"/>
        <v>0</v>
      </c>
    </row>
    <row r="424" spans="8:10" x14ac:dyDescent="0.2">
      <c r="H424">
        <v>415</v>
      </c>
      <c r="I424" s="24">
        <v>3200265836.689599</v>
      </c>
      <c r="J424">
        <f t="shared" si="9"/>
        <v>0</v>
      </c>
    </row>
    <row r="425" spans="8:10" x14ac:dyDescent="0.2">
      <c r="H425">
        <v>416</v>
      </c>
      <c r="I425" s="24">
        <v>3263881458.0508113</v>
      </c>
      <c r="J425">
        <f t="shared" si="9"/>
        <v>0</v>
      </c>
    </row>
    <row r="426" spans="8:10" x14ac:dyDescent="0.2">
      <c r="H426">
        <v>417</v>
      </c>
      <c r="I426" s="24">
        <v>2845948360.4326344</v>
      </c>
      <c r="J426">
        <f t="shared" si="9"/>
        <v>0</v>
      </c>
    </row>
    <row r="427" spans="8:10" x14ac:dyDescent="0.2">
      <c r="H427">
        <v>418</v>
      </c>
      <c r="I427" s="24">
        <v>3196745112.118576</v>
      </c>
      <c r="J427">
        <f t="shared" si="9"/>
        <v>0</v>
      </c>
    </row>
    <row r="428" spans="8:10" x14ac:dyDescent="0.2">
      <c r="H428">
        <v>419</v>
      </c>
      <c r="I428" s="24">
        <v>3111151220.7474794</v>
      </c>
      <c r="J428">
        <f t="shared" si="9"/>
        <v>0</v>
      </c>
    </row>
    <row r="429" spans="8:10" x14ac:dyDescent="0.2">
      <c r="H429">
        <v>420</v>
      </c>
      <c r="I429" s="24">
        <v>3028059914.9933977</v>
      </c>
      <c r="J429">
        <f t="shared" si="9"/>
        <v>0</v>
      </c>
    </row>
    <row r="430" spans="8:10" x14ac:dyDescent="0.2">
      <c r="H430">
        <v>421</v>
      </c>
      <c r="I430" s="24">
        <v>2980427714.2485657</v>
      </c>
      <c r="J430">
        <f t="shared" si="9"/>
        <v>0</v>
      </c>
    </row>
    <row r="431" spans="8:10" x14ac:dyDescent="0.2">
      <c r="H431">
        <v>422</v>
      </c>
      <c r="I431" s="24">
        <v>2993067494.0667739</v>
      </c>
      <c r="J431">
        <f t="shared" si="9"/>
        <v>0</v>
      </c>
    </row>
    <row r="432" spans="8:10" x14ac:dyDescent="0.2">
      <c r="H432">
        <v>423</v>
      </c>
      <c r="I432" s="24">
        <v>3245134788.3581572</v>
      </c>
      <c r="J432">
        <f t="shared" si="9"/>
        <v>0</v>
      </c>
    </row>
    <row r="433" spans="8:10" x14ac:dyDescent="0.2">
      <c r="H433">
        <v>424</v>
      </c>
      <c r="I433" s="24">
        <v>3140035182.9195495</v>
      </c>
      <c r="J433">
        <f t="shared" si="9"/>
        <v>0</v>
      </c>
    </row>
    <row r="434" spans="8:10" x14ac:dyDescent="0.2">
      <c r="H434">
        <v>425</v>
      </c>
      <c r="I434" s="24">
        <v>3264093032.2361326</v>
      </c>
      <c r="J434">
        <f t="shared" si="9"/>
        <v>0</v>
      </c>
    </row>
    <row r="435" spans="8:10" x14ac:dyDescent="0.2">
      <c r="H435">
        <v>426</v>
      </c>
      <c r="I435" s="24">
        <v>3355264690.2998767</v>
      </c>
      <c r="J435">
        <f t="shared" si="9"/>
        <v>0</v>
      </c>
    </row>
    <row r="436" spans="8:10" x14ac:dyDescent="0.2">
      <c r="H436">
        <v>427</v>
      </c>
      <c r="I436" s="24">
        <v>3153400474.6792974</v>
      </c>
      <c r="J436">
        <f t="shared" si="9"/>
        <v>0</v>
      </c>
    </row>
    <row r="437" spans="8:10" x14ac:dyDescent="0.2">
      <c r="H437">
        <v>428</v>
      </c>
      <c r="I437" s="24">
        <v>3167434372.3469944</v>
      </c>
      <c r="J437">
        <f t="shared" si="9"/>
        <v>0</v>
      </c>
    </row>
    <row r="438" spans="8:10" x14ac:dyDescent="0.2">
      <c r="H438">
        <v>429</v>
      </c>
      <c r="I438" s="24">
        <v>3076325697.0066924</v>
      </c>
      <c r="J438">
        <f t="shared" si="9"/>
        <v>0</v>
      </c>
    </row>
    <row r="439" spans="8:10" x14ac:dyDescent="0.2">
      <c r="H439">
        <v>430</v>
      </c>
      <c r="I439" s="24">
        <v>3179050763.5976272</v>
      </c>
      <c r="J439">
        <f t="shared" si="9"/>
        <v>0</v>
      </c>
    </row>
    <row r="440" spans="8:10" x14ac:dyDescent="0.2">
      <c r="H440">
        <v>431</v>
      </c>
      <c r="I440" s="24">
        <v>3013253250.1299386</v>
      </c>
      <c r="J440">
        <f t="shared" si="9"/>
        <v>0</v>
      </c>
    </row>
    <row r="441" spans="8:10" x14ac:dyDescent="0.2">
      <c r="H441">
        <v>432</v>
      </c>
      <c r="I441" s="24">
        <v>3073798121.6356602</v>
      </c>
      <c r="J441">
        <f t="shared" si="9"/>
        <v>0</v>
      </c>
    </row>
    <row r="442" spans="8:10" x14ac:dyDescent="0.2">
      <c r="H442">
        <v>433</v>
      </c>
      <c r="I442" s="24">
        <v>3236936809.0803013</v>
      </c>
      <c r="J442">
        <f t="shared" si="9"/>
        <v>0</v>
      </c>
    </row>
    <row r="443" spans="8:10" x14ac:dyDescent="0.2">
      <c r="H443">
        <v>434</v>
      </c>
      <c r="I443" s="24">
        <v>3164226416.6704445</v>
      </c>
      <c r="J443">
        <f t="shared" si="9"/>
        <v>0</v>
      </c>
    </row>
    <row r="444" spans="8:10" x14ac:dyDescent="0.2">
      <c r="H444">
        <v>435</v>
      </c>
      <c r="I444" s="24">
        <v>3029739757.7594461</v>
      </c>
      <c r="J444">
        <f t="shared" si="9"/>
        <v>0</v>
      </c>
    </row>
    <row r="445" spans="8:10" x14ac:dyDescent="0.2">
      <c r="H445">
        <v>436</v>
      </c>
      <c r="I445" s="24">
        <v>3265817373.7423096</v>
      </c>
      <c r="J445">
        <f t="shared" si="9"/>
        <v>0</v>
      </c>
    </row>
    <row r="446" spans="8:10" x14ac:dyDescent="0.2">
      <c r="H446">
        <v>437</v>
      </c>
      <c r="I446" s="24">
        <v>3113971011.993084</v>
      </c>
      <c r="J446">
        <f t="shared" si="9"/>
        <v>0</v>
      </c>
    </row>
    <row r="447" spans="8:10" x14ac:dyDescent="0.2">
      <c r="H447">
        <v>438</v>
      </c>
      <c r="I447" s="24">
        <v>3189266565.2882824</v>
      </c>
      <c r="J447">
        <f t="shared" si="9"/>
        <v>0</v>
      </c>
    </row>
    <row r="448" spans="8:10" x14ac:dyDescent="0.2">
      <c r="H448">
        <v>439</v>
      </c>
      <c r="I448" s="24">
        <v>3382001681.8801231</v>
      </c>
      <c r="J448">
        <f t="shared" si="9"/>
        <v>0</v>
      </c>
    </row>
    <row r="449" spans="8:10" x14ac:dyDescent="0.2">
      <c r="H449">
        <v>440</v>
      </c>
      <c r="I449" s="24">
        <v>3168898154.3023295</v>
      </c>
      <c r="J449">
        <f t="shared" si="9"/>
        <v>0</v>
      </c>
    </row>
    <row r="450" spans="8:10" x14ac:dyDescent="0.2">
      <c r="H450">
        <v>441</v>
      </c>
      <c r="I450" s="24">
        <v>3264196150.5811706</v>
      </c>
      <c r="J450">
        <f t="shared" si="9"/>
        <v>0</v>
      </c>
    </row>
    <row r="451" spans="8:10" x14ac:dyDescent="0.2">
      <c r="H451">
        <v>442</v>
      </c>
      <c r="I451" s="24">
        <v>2801566081.0406575</v>
      </c>
      <c r="J451">
        <f t="shared" si="9"/>
        <v>0</v>
      </c>
    </row>
    <row r="452" spans="8:10" x14ac:dyDescent="0.2">
      <c r="H452">
        <v>443</v>
      </c>
      <c r="I452" s="24">
        <v>3228397491.34868</v>
      </c>
      <c r="J452">
        <f t="shared" si="9"/>
        <v>0</v>
      </c>
    </row>
    <row r="453" spans="8:10" x14ac:dyDescent="0.2">
      <c r="H453">
        <v>444</v>
      </c>
      <c r="I453" s="24">
        <v>3411899295.9893746</v>
      </c>
      <c r="J453">
        <f t="shared" si="9"/>
        <v>0</v>
      </c>
    </row>
    <row r="454" spans="8:10" x14ac:dyDescent="0.2">
      <c r="H454">
        <v>445</v>
      </c>
      <c r="I454" s="24">
        <v>3240765757.8898048</v>
      </c>
      <c r="J454">
        <f t="shared" si="9"/>
        <v>0</v>
      </c>
    </row>
    <row r="455" spans="8:10" x14ac:dyDescent="0.2">
      <c r="H455">
        <v>446</v>
      </c>
      <c r="I455" s="24">
        <v>3171442636.2198124</v>
      </c>
      <c r="J455">
        <f t="shared" si="9"/>
        <v>0</v>
      </c>
    </row>
    <row r="456" spans="8:10" x14ac:dyDescent="0.2">
      <c r="H456">
        <v>447</v>
      </c>
      <c r="I456" s="24">
        <v>3198318354.0223603</v>
      </c>
      <c r="J456">
        <f t="shared" si="9"/>
        <v>0</v>
      </c>
    </row>
    <row r="457" spans="8:10" x14ac:dyDescent="0.2">
      <c r="H457">
        <v>448</v>
      </c>
      <c r="I457" s="24">
        <v>2947588204.198812</v>
      </c>
      <c r="J457">
        <f t="shared" si="9"/>
        <v>0</v>
      </c>
    </row>
    <row r="458" spans="8:10" x14ac:dyDescent="0.2">
      <c r="H458">
        <v>449</v>
      </c>
      <c r="I458" s="24">
        <v>3349110972.8715863</v>
      </c>
      <c r="J458">
        <f t="shared" si="9"/>
        <v>0</v>
      </c>
    </row>
    <row r="459" spans="8:10" x14ac:dyDescent="0.2">
      <c r="H459">
        <v>450</v>
      </c>
      <c r="I459" s="24">
        <v>3065046286.2795992</v>
      </c>
      <c r="J459">
        <f t="shared" ref="J459:J522" si="10">IF(I459&lt;1700000000,1,0)</f>
        <v>0</v>
      </c>
    </row>
    <row r="460" spans="8:10" x14ac:dyDescent="0.2">
      <c r="H460">
        <v>451</v>
      </c>
      <c r="I460" s="24">
        <v>3252060317.5861502</v>
      </c>
      <c r="J460">
        <f t="shared" si="10"/>
        <v>0</v>
      </c>
    </row>
    <row r="461" spans="8:10" x14ac:dyDescent="0.2">
      <c r="H461">
        <v>452</v>
      </c>
      <c r="I461" s="24">
        <v>2846958072.295629</v>
      </c>
      <c r="J461">
        <f t="shared" si="10"/>
        <v>0</v>
      </c>
    </row>
    <row r="462" spans="8:10" x14ac:dyDescent="0.2">
      <c r="H462">
        <v>453</v>
      </c>
      <c r="I462" s="24">
        <v>3143706959.5461431</v>
      </c>
      <c r="J462">
        <f t="shared" si="10"/>
        <v>0</v>
      </c>
    </row>
    <row r="463" spans="8:10" x14ac:dyDescent="0.2">
      <c r="H463">
        <v>454</v>
      </c>
      <c r="I463" s="24">
        <v>2772512439.4721274</v>
      </c>
      <c r="J463">
        <f t="shared" si="10"/>
        <v>0</v>
      </c>
    </row>
    <row r="464" spans="8:10" x14ac:dyDescent="0.2">
      <c r="H464">
        <v>455</v>
      </c>
      <c r="I464" s="24">
        <v>3302632377.8409266</v>
      </c>
      <c r="J464">
        <f t="shared" si="10"/>
        <v>0</v>
      </c>
    </row>
    <row r="465" spans="8:10" x14ac:dyDescent="0.2">
      <c r="H465">
        <v>456</v>
      </c>
      <c r="I465" s="24">
        <v>3284357269.1158929</v>
      </c>
      <c r="J465">
        <f t="shared" si="10"/>
        <v>0</v>
      </c>
    </row>
    <row r="466" spans="8:10" x14ac:dyDescent="0.2">
      <c r="H466">
        <v>457</v>
      </c>
      <c r="I466" s="24">
        <v>3156710704.4959097</v>
      </c>
      <c r="J466">
        <f t="shared" si="10"/>
        <v>0</v>
      </c>
    </row>
    <row r="467" spans="8:10" x14ac:dyDescent="0.2">
      <c r="H467">
        <v>458</v>
      </c>
      <c r="I467" s="24">
        <v>3309719255.5214033</v>
      </c>
      <c r="J467">
        <f t="shared" si="10"/>
        <v>0</v>
      </c>
    </row>
    <row r="468" spans="8:10" x14ac:dyDescent="0.2">
      <c r="H468">
        <v>459</v>
      </c>
      <c r="I468" s="24">
        <v>2939940393.7985725</v>
      </c>
      <c r="J468">
        <f t="shared" si="10"/>
        <v>0</v>
      </c>
    </row>
    <row r="469" spans="8:10" x14ac:dyDescent="0.2">
      <c r="H469">
        <v>460</v>
      </c>
      <c r="I469" s="24">
        <v>2983661950.5399685</v>
      </c>
      <c r="J469">
        <f t="shared" si="10"/>
        <v>0</v>
      </c>
    </row>
    <row r="470" spans="8:10" x14ac:dyDescent="0.2">
      <c r="H470">
        <v>461</v>
      </c>
      <c r="I470" s="24">
        <v>3079652964.5404992</v>
      </c>
      <c r="J470">
        <f t="shared" si="10"/>
        <v>0</v>
      </c>
    </row>
    <row r="471" spans="8:10" x14ac:dyDescent="0.2">
      <c r="H471">
        <v>462</v>
      </c>
      <c r="I471" s="24">
        <v>3299568196.9040065</v>
      </c>
      <c r="J471">
        <f t="shared" si="10"/>
        <v>0</v>
      </c>
    </row>
    <row r="472" spans="8:10" x14ac:dyDescent="0.2">
      <c r="H472">
        <v>463</v>
      </c>
      <c r="I472" s="24">
        <v>2961223157.1491523</v>
      </c>
      <c r="J472">
        <f t="shared" si="10"/>
        <v>0</v>
      </c>
    </row>
    <row r="473" spans="8:10" x14ac:dyDescent="0.2">
      <c r="H473">
        <v>464</v>
      </c>
      <c r="I473" s="24">
        <v>3066029546.8906999</v>
      </c>
      <c r="J473">
        <f t="shared" si="10"/>
        <v>0</v>
      </c>
    </row>
    <row r="474" spans="8:10" x14ac:dyDescent="0.2">
      <c r="H474">
        <v>465</v>
      </c>
      <c r="I474" s="24">
        <v>3184989983.1149516</v>
      </c>
      <c r="J474">
        <f t="shared" si="10"/>
        <v>0</v>
      </c>
    </row>
    <row r="475" spans="8:10" x14ac:dyDescent="0.2">
      <c r="H475">
        <v>466</v>
      </c>
      <c r="I475" s="24">
        <v>3066536725.377039</v>
      </c>
      <c r="J475">
        <f t="shared" si="10"/>
        <v>0</v>
      </c>
    </row>
    <row r="476" spans="8:10" x14ac:dyDescent="0.2">
      <c r="H476">
        <v>467</v>
      </c>
      <c r="I476" s="24">
        <v>3245749610.9146299</v>
      </c>
      <c r="J476">
        <f t="shared" si="10"/>
        <v>0</v>
      </c>
    </row>
    <row r="477" spans="8:10" x14ac:dyDescent="0.2">
      <c r="H477">
        <v>468</v>
      </c>
      <c r="I477" s="24">
        <v>2674529213.3120341</v>
      </c>
      <c r="J477">
        <f t="shared" si="10"/>
        <v>0</v>
      </c>
    </row>
    <row r="478" spans="8:10" x14ac:dyDescent="0.2">
      <c r="H478">
        <v>469</v>
      </c>
      <c r="I478" s="24">
        <v>3255164677.7787242</v>
      </c>
      <c r="J478">
        <f t="shared" si="10"/>
        <v>0</v>
      </c>
    </row>
    <row r="479" spans="8:10" x14ac:dyDescent="0.2">
      <c r="H479">
        <v>470</v>
      </c>
      <c r="I479" s="24">
        <v>3293184867.768384</v>
      </c>
      <c r="J479">
        <f t="shared" si="10"/>
        <v>0</v>
      </c>
    </row>
    <row r="480" spans="8:10" x14ac:dyDescent="0.2">
      <c r="H480">
        <v>471</v>
      </c>
      <c r="I480" s="24">
        <v>3186279816.6162705</v>
      </c>
      <c r="J480">
        <f t="shared" si="10"/>
        <v>0</v>
      </c>
    </row>
    <row r="481" spans="8:10" x14ac:dyDescent="0.2">
      <c r="H481">
        <v>472</v>
      </c>
      <c r="I481" s="24">
        <v>3145973758.3438115</v>
      </c>
      <c r="J481">
        <f t="shared" si="10"/>
        <v>0</v>
      </c>
    </row>
    <row r="482" spans="8:10" x14ac:dyDescent="0.2">
      <c r="H482">
        <v>473</v>
      </c>
      <c r="I482" s="24">
        <v>3175869789.0688987</v>
      </c>
      <c r="J482">
        <f t="shared" si="10"/>
        <v>0</v>
      </c>
    </row>
    <row r="483" spans="8:10" x14ac:dyDescent="0.2">
      <c r="H483">
        <v>474</v>
      </c>
      <c r="I483" s="24">
        <v>3307921804.1411977</v>
      </c>
      <c r="J483">
        <f t="shared" si="10"/>
        <v>0</v>
      </c>
    </row>
    <row r="484" spans="8:10" x14ac:dyDescent="0.2">
      <c r="H484">
        <v>475</v>
      </c>
      <c r="I484" s="24">
        <v>3274175497.5521975</v>
      </c>
      <c r="J484">
        <f t="shared" si="10"/>
        <v>0</v>
      </c>
    </row>
    <row r="485" spans="8:10" x14ac:dyDescent="0.2">
      <c r="H485">
        <v>476</v>
      </c>
      <c r="I485" s="24">
        <v>2960588362.1160965</v>
      </c>
      <c r="J485">
        <f t="shared" si="10"/>
        <v>0</v>
      </c>
    </row>
    <row r="486" spans="8:10" x14ac:dyDescent="0.2">
      <c r="H486">
        <v>477</v>
      </c>
      <c r="I486" s="24">
        <v>3000710864.4632421</v>
      </c>
      <c r="J486">
        <f t="shared" si="10"/>
        <v>0</v>
      </c>
    </row>
    <row r="487" spans="8:10" x14ac:dyDescent="0.2">
      <c r="H487">
        <v>478</v>
      </c>
      <c r="I487" s="24">
        <v>3055130899.9937482</v>
      </c>
      <c r="J487">
        <f t="shared" si="10"/>
        <v>0</v>
      </c>
    </row>
    <row r="488" spans="8:10" x14ac:dyDescent="0.2">
      <c r="H488">
        <v>479</v>
      </c>
      <c r="I488" s="24">
        <v>3286086822.3407059</v>
      </c>
      <c r="J488">
        <f t="shared" si="10"/>
        <v>0</v>
      </c>
    </row>
    <row r="489" spans="8:10" x14ac:dyDescent="0.2">
      <c r="H489">
        <v>480</v>
      </c>
      <c r="I489" s="24">
        <v>3072551208.8983264</v>
      </c>
      <c r="J489">
        <f t="shared" si="10"/>
        <v>0</v>
      </c>
    </row>
    <row r="490" spans="8:10" x14ac:dyDescent="0.2">
      <c r="H490">
        <v>481</v>
      </c>
      <c r="I490" s="24">
        <v>3144150228.7876477</v>
      </c>
      <c r="J490">
        <f t="shared" si="10"/>
        <v>0</v>
      </c>
    </row>
    <row r="491" spans="8:10" x14ac:dyDescent="0.2">
      <c r="H491">
        <v>482</v>
      </c>
      <c r="I491" s="24">
        <v>3215939600.0201621</v>
      </c>
      <c r="J491">
        <f t="shared" si="10"/>
        <v>0</v>
      </c>
    </row>
    <row r="492" spans="8:10" x14ac:dyDescent="0.2">
      <c r="H492">
        <v>483</v>
      </c>
      <c r="I492" s="24">
        <v>2920545813.5931606</v>
      </c>
      <c r="J492">
        <f t="shared" si="10"/>
        <v>0</v>
      </c>
    </row>
    <row r="493" spans="8:10" x14ac:dyDescent="0.2">
      <c r="H493">
        <v>484</v>
      </c>
      <c r="I493" s="24">
        <v>3243808704.2166996</v>
      </c>
      <c r="J493">
        <f t="shared" si="10"/>
        <v>0</v>
      </c>
    </row>
    <row r="494" spans="8:10" x14ac:dyDescent="0.2">
      <c r="H494">
        <v>485</v>
      </c>
      <c r="I494" s="24">
        <v>3166482882.1892576</v>
      </c>
      <c r="J494">
        <f t="shared" si="10"/>
        <v>0</v>
      </c>
    </row>
    <row r="495" spans="8:10" x14ac:dyDescent="0.2">
      <c r="H495">
        <v>486</v>
      </c>
      <c r="I495" s="24">
        <v>2916209576.4580522</v>
      </c>
      <c r="J495">
        <f t="shared" si="10"/>
        <v>0</v>
      </c>
    </row>
    <row r="496" spans="8:10" x14ac:dyDescent="0.2">
      <c r="H496">
        <v>487</v>
      </c>
      <c r="I496" s="24">
        <v>3272738811.9858756</v>
      </c>
      <c r="J496">
        <f t="shared" si="10"/>
        <v>0</v>
      </c>
    </row>
    <row r="497" spans="8:10" x14ac:dyDescent="0.2">
      <c r="H497">
        <v>488</v>
      </c>
      <c r="I497" s="24">
        <v>3326448946.6957226</v>
      </c>
      <c r="J497">
        <f t="shared" si="10"/>
        <v>0</v>
      </c>
    </row>
    <row r="498" spans="8:10" x14ac:dyDescent="0.2">
      <c r="H498">
        <v>489</v>
      </c>
      <c r="I498" s="24">
        <v>3175752662.6004329</v>
      </c>
      <c r="J498">
        <f t="shared" si="10"/>
        <v>0</v>
      </c>
    </row>
    <row r="499" spans="8:10" x14ac:dyDescent="0.2">
      <c r="H499">
        <v>490</v>
      </c>
      <c r="I499" s="24">
        <v>2905471469.3062286</v>
      </c>
      <c r="J499">
        <f t="shared" si="10"/>
        <v>0</v>
      </c>
    </row>
    <row r="500" spans="8:10" x14ac:dyDescent="0.2">
      <c r="H500">
        <v>491</v>
      </c>
      <c r="I500" s="24">
        <v>3155643644.6307259</v>
      </c>
      <c r="J500">
        <f t="shared" si="10"/>
        <v>0</v>
      </c>
    </row>
    <row r="501" spans="8:10" x14ac:dyDescent="0.2">
      <c r="H501">
        <v>492</v>
      </c>
      <c r="I501" s="24">
        <v>3082586152.1771679</v>
      </c>
      <c r="J501">
        <f t="shared" si="10"/>
        <v>0</v>
      </c>
    </row>
    <row r="502" spans="8:10" x14ac:dyDescent="0.2">
      <c r="H502">
        <v>493</v>
      </c>
      <c r="I502" s="24">
        <v>2877548669.2512684</v>
      </c>
      <c r="J502">
        <f t="shared" si="10"/>
        <v>0</v>
      </c>
    </row>
    <row r="503" spans="8:10" x14ac:dyDescent="0.2">
      <c r="H503">
        <v>494</v>
      </c>
      <c r="I503" s="24">
        <v>2896354388.6456537</v>
      </c>
      <c r="J503">
        <f t="shared" si="10"/>
        <v>0</v>
      </c>
    </row>
    <row r="504" spans="8:10" x14ac:dyDescent="0.2">
      <c r="H504">
        <v>495</v>
      </c>
      <c r="I504" s="24">
        <v>3165661963.2487884</v>
      </c>
      <c r="J504">
        <f t="shared" si="10"/>
        <v>0</v>
      </c>
    </row>
    <row r="505" spans="8:10" x14ac:dyDescent="0.2">
      <c r="H505">
        <v>496</v>
      </c>
      <c r="I505" s="24">
        <v>2975483437.2994089</v>
      </c>
      <c r="J505">
        <f t="shared" si="10"/>
        <v>0</v>
      </c>
    </row>
    <row r="506" spans="8:10" x14ac:dyDescent="0.2">
      <c r="H506">
        <v>497</v>
      </c>
      <c r="I506" s="24">
        <v>2960182545.5549173</v>
      </c>
      <c r="J506">
        <f t="shared" si="10"/>
        <v>0</v>
      </c>
    </row>
    <row r="507" spans="8:10" x14ac:dyDescent="0.2">
      <c r="H507">
        <v>498</v>
      </c>
      <c r="I507" s="24">
        <v>3371810809.1551332</v>
      </c>
      <c r="J507">
        <f t="shared" si="10"/>
        <v>0</v>
      </c>
    </row>
    <row r="508" spans="8:10" x14ac:dyDescent="0.2">
      <c r="H508">
        <v>499</v>
      </c>
      <c r="I508" s="24">
        <v>2934650903.8312721</v>
      </c>
      <c r="J508">
        <f t="shared" si="10"/>
        <v>0</v>
      </c>
    </row>
    <row r="509" spans="8:10" x14ac:dyDescent="0.2">
      <c r="H509">
        <v>500</v>
      </c>
      <c r="I509" s="24">
        <v>3406314592.9876695</v>
      </c>
      <c r="J509">
        <f t="shared" si="10"/>
        <v>0</v>
      </c>
    </row>
    <row r="510" spans="8:10" x14ac:dyDescent="0.2">
      <c r="H510">
        <v>501</v>
      </c>
      <c r="I510" s="24">
        <v>3341398363.3655224</v>
      </c>
      <c r="J510">
        <f t="shared" si="10"/>
        <v>0</v>
      </c>
    </row>
    <row r="511" spans="8:10" x14ac:dyDescent="0.2">
      <c r="H511">
        <v>502</v>
      </c>
      <c r="I511" s="24">
        <v>3313732393.376349</v>
      </c>
      <c r="J511">
        <f t="shared" si="10"/>
        <v>0</v>
      </c>
    </row>
    <row r="512" spans="8:10" x14ac:dyDescent="0.2">
      <c r="H512">
        <v>503</v>
      </c>
      <c r="I512" s="24">
        <v>3128362707.7647758</v>
      </c>
      <c r="J512">
        <f t="shared" si="10"/>
        <v>0</v>
      </c>
    </row>
    <row r="513" spans="8:10" x14ac:dyDescent="0.2">
      <c r="H513">
        <v>504</v>
      </c>
      <c r="I513" s="24">
        <v>2917197282.2136359</v>
      </c>
      <c r="J513">
        <f t="shared" si="10"/>
        <v>0</v>
      </c>
    </row>
    <row r="514" spans="8:10" x14ac:dyDescent="0.2">
      <c r="H514">
        <v>505</v>
      </c>
      <c r="I514" s="24">
        <v>3055354756.4877534</v>
      </c>
      <c r="J514">
        <f t="shared" si="10"/>
        <v>0</v>
      </c>
    </row>
    <row r="515" spans="8:10" x14ac:dyDescent="0.2">
      <c r="H515">
        <v>506</v>
      </c>
      <c r="I515" s="24">
        <v>2887262295.0494833</v>
      </c>
      <c r="J515">
        <f t="shared" si="10"/>
        <v>0</v>
      </c>
    </row>
    <row r="516" spans="8:10" x14ac:dyDescent="0.2">
      <c r="H516">
        <v>507</v>
      </c>
      <c r="I516" s="24">
        <v>3026355647.9350948</v>
      </c>
      <c r="J516">
        <f t="shared" si="10"/>
        <v>0</v>
      </c>
    </row>
    <row r="517" spans="8:10" x14ac:dyDescent="0.2">
      <c r="H517">
        <v>508</v>
      </c>
      <c r="I517" s="24">
        <v>3319062825.6403375</v>
      </c>
      <c r="J517">
        <f t="shared" si="10"/>
        <v>0</v>
      </c>
    </row>
    <row r="518" spans="8:10" x14ac:dyDescent="0.2">
      <c r="H518">
        <v>509</v>
      </c>
      <c r="I518" s="24">
        <v>3134932369.2787161</v>
      </c>
      <c r="J518">
        <f t="shared" si="10"/>
        <v>0</v>
      </c>
    </row>
    <row r="519" spans="8:10" x14ac:dyDescent="0.2">
      <c r="H519">
        <v>510</v>
      </c>
      <c r="I519" s="24">
        <v>3027367145.3185091</v>
      </c>
      <c r="J519">
        <f t="shared" si="10"/>
        <v>0</v>
      </c>
    </row>
    <row r="520" spans="8:10" x14ac:dyDescent="0.2">
      <c r="H520">
        <v>511</v>
      </c>
      <c r="I520" s="24">
        <v>3124583197.3054724</v>
      </c>
      <c r="J520">
        <f t="shared" si="10"/>
        <v>0</v>
      </c>
    </row>
    <row r="521" spans="8:10" x14ac:dyDescent="0.2">
      <c r="H521">
        <v>512</v>
      </c>
      <c r="I521" s="24">
        <v>3048546892.6358171</v>
      </c>
      <c r="J521">
        <f t="shared" si="10"/>
        <v>0</v>
      </c>
    </row>
    <row r="522" spans="8:10" x14ac:dyDescent="0.2">
      <c r="H522">
        <v>513</v>
      </c>
      <c r="I522" s="24">
        <v>3161074554.7196555</v>
      </c>
      <c r="J522">
        <f t="shared" si="10"/>
        <v>0</v>
      </c>
    </row>
    <row r="523" spans="8:10" x14ac:dyDescent="0.2">
      <c r="H523">
        <v>514</v>
      </c>
      <c r="I523" s="24">
        <v>3154156225.7442679</v>
      </c>
      <c r="J523">
        <f t="shared" ref="J523:J586" si="11">IF(I523&lt;1700000000,1,0)</f>
        <v>0</v>
      </c>
    </row>
    <row r="524" spans="8:10" x14ac:dyDescent="0.2">
      <c r="H524">
        <v>515</v>
      </c>
      <c r="I524" s="24">
        <v>3008751252.9209318</v>
      </c>
      <c r="J524">
        <f t="shared" si="11"/>
        <v>0</v>
      </c>
    </row>
    <row r="525" spans="8:10" x14ac:dyDescent="0.2">
      <c r="H525">
        <v>516</v>
      </c>
      <c r="I525" s="24">
        <v>3151112604.1118779</v>
      </c>
      <c r="J525">
        <f t="shared" si="11"/>
        <v>0</v>
      </c>
    </row>
    <row r="526" spans="8:10" x14ac:dyDescent="0.2">
      <c r="H526">
        <v>517</v>
      </c>
      <c r="I526" s="24">
        <v>3165661693.8149061</v>
      </c>
      <c r="J526">
        <f t="shared" si="11"/>
        <v>0</v>
      </c>
    </row>
    <row r="527" spans="8:10" x14ac:dyDescent="0.2">
      <c r="H527">
        <v>518</v>
      </c>
      <c r="I527" s="24">
        <v>3126277479.7415147</v>
      </c>
      <c r="J527">
        <f t="shared" si="11"/>
        <v>0</v>
      </c>
    </row>
    <row r="528" spans="8:10" x14ac:dyDescent="0.2">
      <c r="H528">
        <v>519</v>
      </c>
      <c r="I528" s="24">
        <v>3083789603.1705303</v>
      </c>
      <c r="J528">
        <f t="shared" si="11"/>
        <v>0</v>
      </c>
    </row>
    <row r="529" spans="8:10" x14ac:dyDescent="0.2">
      <c r="H529">
        <v>520</v>
      </c>
      <c r="I529" s="24">
        <v>2973572898.3768616</v>
      </c>
      <c r="J529">
        <f t="shared" si="11"/>
        <v>0</v>
      </c>
    </row>
    <row r="530" spans="8:10" x14ac:dyDescent="0.2">
      <c r="H530">
        <v>521</v>
      </c>
      <c r="I530" s="24">
        <v>3089222270.8476443</v>
      </c>
      <c r="J530">
        <f t="shared" si="11"/>
        <v>0</v>
      </c>
    </row>
    <row r="531" spans="8:10" x14ac:dyDescent="0.2">
      <c r="H531">
        <v>522</v>
      </c>
      <c r="I531" s="24">
        <v>3195346852.0457726</v>
      </c>
      <c r="J531">
        <f t="shared" si="11"/>
        <v>0</v>
      </c>
    </row>
    <row r="532" spans="8:10" x14ac:dyDescent="0.2">
      <c r="H532">
        <v>523</v>
      </c>
      <c r="I532" s="24">
        <v>2950673693.080112</v>
      </c>
      <c r="J532">
        <f t="shared" si="11"/>
        <v>0</v>
      </c>
    </row>
    <row r="533" spans="8:10" x14ac:dyDescent="0.2">
      <c r="H533">
        <v>524</v>
      </c>
      <c r="I533" s="24">
        <v>2953362518.9826999</v>
      </c>
      <c r="J533">
        <f t="shared" si="11"/>
        <v>0</v>
      </c>
    </row>
    <row r="534" spans="8:10" x14ac:dyDescent="0.2">
      <c r="H534">
        <v>525</v>
      </c>
      <c r="I534" s="24">
        <v>3174839785.8713956</v>
      </c>
      <c r="J534">
        <f t="shared" si="11"/>
        <v>0</v>
      </c>
    </row>
    <row r="535" spans="8:10" x14ac:dyDescent="0.2">
      <c r="H535">
        <v>526</v>
      </c>
      <c r="I535" s="24">
        <v>3007682033.1164293</v>
      </c>
      <c r="J535">
        <f t="shared" si="11"/>
        <v>0</v>
      </c>
    </row>
    <row r="536" spans="8:10" x14ac:dyDescent="0.2">
      <c r="H536">
        <v>527</v>
      </c>
      <c r="I536" s="24">
        <v>3317685968.380794</v>
      </c>
      <c r="J536">
        <f t="shared" si="11"/>
        <v>0</v>
      </c>
    </row>
    <row r="537" spans="8:10" x14ac:dyDescent="0.2">
      <c r="H537">
        <v>528</v>
      </c>
      <c r="I537" s="24">
        <v>3027629844.3560309</v>
      </c>
      <c r="J537">
        <f t="shared" si="11"/>
        <v>0</v>
      </c>
    </row>
    <row r="538" spans="8:10" x14ac:dyDescent="0.2">
      <c r="H538">
        <v>529</v>
      </c>
      <c r="I538" s="24">
        <v>3246714388.495357</v>
      </c>
      <c r="J538">
        <f t="shared" si="11"/>
        <v>0</v>
      </c>
    </row>
    <row r="539" spans="8:10" x14ac:dyDescent="0.2">
      <c r="H539">
        <v>530</v>
      </c>
      <c r="I539" s="24">
        <v>3168471141.5130649</v>
      </c>
      <c r="J539">
        <f t="shared" si="11"/>
        <v>0</v>
      </c>
    </row>
    <row r="540" spans="8:10" x14ac:dyDescent="0.2">
      <c r="H540">
        <v>531</v>
      </c>
      <c r="I540" s="24">
        <v>3356000071.5237741</v>
      </c>
      <c r="J540">
        <f t="shared" si="11"/>
        <v>0</v>
      </c>
    </row>
    <row r="541" spans="8:10" x14ac:dyDescent="0.2">
      <c r="H541">
        <v>532</v>
      </c>
      <c r="I541" s="24">
        <v>3098340364.0429273</v>
      </c>
      <c r="J541">
        <f t="shared" si="11"/>
        <v>0</v>
      </c>
    </row>
    <row r="542" spans="8:10" x14ac:dyDescent="0.2">
      <c r="H542">
        <v>533</v>
      </c>
      <c r="I542" s="24">
        <v>3206671761.4768915</v>
      </c>
      <c r="J542">
        <f t="shared" si="11"/>
        <v>0</v>
      </c>
    </row>
    <row r="543" spans="8:10" x14ac:dyDescent="0.2">
      <c r="H543">
        <v>534</v>
      </c>
      <c r="I543" s="24">
        <v>3252913356.3744521</v>
      </c>
      <c r="J543">
        <f t="shared" si="11"/>
        <v>0</v>
      </c>
    </row>
    <row r="544" spans="8:10" x14ac:dyDescent="0.2">
      <c r="H544">
        <v>535</v>
      </c>
      <c r="I544" s="24">
        <v>3009302965.0503311</v>
      </c>
      <c r="J544">
        <f t="shared" si="11"/>
        <v>0</v>
      </c>
    </row>
    <row r="545" spans="8:10" x14ac:dyDescent="0.2">
      <c r="H545">
        <v>536</v>
      </c>
      <c r="I545" s="24">
        <v>3195382830.6278305</v>
      </c>
      <c r="J545">
        <f t="shared" si="11"/>
        <v>0</v>
      </c>
    </row>
    <row r="546" spans="8:10" x14ac:dyDescent="0.2">
      <c r="H546">
        <v>537</v>
      </c>
      <c r="I546" s="24">
        <v>3081517471.5788898</v>
      </c>
      <c r="J546">
        <f t="shared" si="11"/>
        <v>0</v>
      </c>
    </row>
    <row r="547" spans="8:10" x14ac:dyDescent="0.2">
      <c r="H547">
        <v>538</v>
      </c>
      <c r="I547" s="24">
        <v>3300486004.0195317</v>
      </c>
      <c r="J547">
        <f t="shared" si="11"/>
        <v>0</v>
      </c>
    </row>
    <row r="548" spans="8:10" x14ac:dyDescent="0.2">
      <c r="H548">
        <v>539</v>
      </c>
      <c r="I548" s="24">
        <v>2902800581.9296765</v>
      </c>
      <c r="J548">
        <f t="shared" si="11"/>
        <v>0</v>
      </c>
    </row>
    <row r="549" spans="8:10" x14ac:dyDescent="0.2">
      <c r="H549">
        <v>540</v>
      </c>
      <c r="I549" s="24">
        <v>3128250659.6288657</v>
      </c>
      <c r="J549">
        <f t="shared" si="11"/>
        <v>0</v>
      </c>
    </row>
    <row r="550" spans="8:10" x14ac:dyDescent="0.2">
      <c r="H550">
        <v>541</v>
      </c>
      <c r="I550" s="24">
        <v>3145457767.2768984</v>
      </c>
      <c r="J550">
        <f t="shared" si="11"/>
        <v>0</v>
      </c>
    </row>
    <row r="551" spans="8:10" x14ac:dyDescent="0.2">
      <c r="H551">
        <v>542</v>
      </c>
      <c r="I551" s="24">
        <v>3104267043.5147977</v>
      </c>
      <c r="J551">
        <f t="shared" si="11"/>
        <v>0</v>
      </c>
    </row>
    <row r="552" spans="8:10" x14ac:dyDescent="0.2">
      <c r="H552">
        <v>543</v>
      </c>
      <c r="I552" s="24">
        <v>3411191971.7023706</v>
      </c>
      <c r="J552">
        <f t="shared" si="11"/>
        <v>0</v>
      </c>
    </row>
    <row r="553" spans="8:10" x14ac:dyDescent="0.2">
      <c r="H553">
        <v>544</v>
      </c>
      <c r="I553" s="24">
        <v>3254903989.0441704</v>
      </c>
      <c r="J553">
        <f t="shared" si="11"/>
        <v>0</v>
      </c>
    </row>
    <row r="554" spans="8:10" x14ac:dyDescent="0.2">
      <c r="H554">
        <v>545</v>
      </c>
      <c r="I554" s="24">
        <v>2930801204.3990803</v>
      </c>
      <c r="J554">
        <f t="shared" si="11"/>
        <v>0</v>
      </c>
    </row>
    <row r="555" spans="8:10" x14ac:dyDescent="0.2">
      <c r="H555">
        <v>546</v>
      </c>
      <c r="I555" s="24">
        <v>3110033438.321403</v>
      </c>
      <c r="J555">
        <f t="shared" si="11"/>
        <v>0</v>
      </c>
    </row>
    <row r="556" spans="8:10" x14ac:dyDescent="0.2">
      <c r="H556">
        <v>547</v>
      </c>
      <c r="I556" s="24">
        <v>3106404216.3867855</v>
      </c>
      <c r="J556">
        <f t="shared" si="11"/>
        <v>0</v>
      </c>
    </row>
    <row r="557" spans="8:10" x14ac:dyDescent="0.2">
      <c r="H557">
        <v>548</v>
      </c>
      <c r="I557" s="24">
        <v>3358638130.3211827</v>
      </c>
      <c r="J557">
        <f t="shared" si="11"/>
        <v>0</v>
      </c>
    </row>
    <row r="558" spans="8:10" x14ac:dyDescent="0.2">
      <c r="H558">
        <v>549</v>
      </c>
      <c r="I558" s="24">
        <v>3290272912.428473</v>
      </c>
      <c r="J558">
        <f t="shared" si="11"/>
        <v>0</v>
      </c>
    </row>
    <row r="559" spans="8:10" x14ac:dyDescent="0.2">
      <c r="H559">
        <v>550</v>
      </c>
      <c r="I559" s="24">
        <v>3229451032.8720531</v>
      </c>
      <c r="J559">
        <f t="shared" si="11"/>
        <v>0</v>
      </c>
    </row>
    <row r="560" spans="8:10" x14ac:dyDescent="0.2">
      <c r="H560">
        <v>551</v>
      </c>
      <c r="I560" s="24">
        <v>3101606354.086091</v>
      </c>
      <c r="J560">
        <f t="shared" si="11"/>
        <v>0</v>
      </c>
    </row>
    <row r="561" spans="8:10" x14ac:dyDescent="0.2">
      <c r="H561">
        <v>552</v>
      </c>
      <c r="I561" s="24">
        <v>3026991251.0093374</v>
      </c>
      <c r="J561">
        <f t="shared" si="11"/>
        <v>0</v>
      </c>
    </row>
    <row r="562" spans="8:10" x14ac:dyDescent="0.2">
      <c r="H562">
        <v>553</v>
      </c>
      <c r="I562" s="24">
        <v>3359269306.5099587</v>
      </c>
      <c r="J562">
        <f t="shared" si="11"/>
        <v>0</v>
      </c>
    </row>
    <row r="563" spans="8:10" x14ac:dyDescent="0.2">
      <c r="H563">
        <v>554</v>
      </c>
      <c r="I563" s="24">
        <v>3076940114.711585</v>
      </c>
      <c r="J563">
        <f t="shared" si="11"/>
        <v>0</v>
      </c>
    </row>
    <row r="564" spans="8:10" x14ac:dyDescent="0.2">
      <c r="H564">
        <v>555</v>
      </c>
      <c r="I564" s="24">
        <v>3123503962.6197157</v>
      </c>
      <c r="J564">
        <f t="shared" si="11"/>
        <v>0</v>
      </c>
    </row>
    <row r="565" spans="8:10" x14ac:dyDescent="0.2">
      <c r="H565">
        <v>556</v>
      </c>
      <c r="I565" s="24">
        <v>3215946665.1342249</v>
      </c>
      <c r="J565">
        <f t="shared" si="11"/>
        <v>0</v>
      </c>
    </row>
    <row r="566" spans="8:10" x14ac:dyDescent="0.2">
      <c r="H566">
        <v>557</v>
      </c>
      <c r="I566" s="24">
        <v>3116708028.8337617</v>
      </c>
      <c r="J566">
        <f t="shared" si="11"/>
        <v>0</v>
      </c>
    </row>
    <row r="567" spans="8:10" x14ac:dyDescent="0.2">
      <c r="H567">
        <v>558</v>
      </c>
      <c r="I567" s="24">
        <v>3151969300.3082924</v>
      </c>
      <c r="J567">
        <f t="shared" si="11"/>
        <v>0</v>
      </c>
    </row>
    <row r="568" spans="8:10" x14ac:dyDescent="0.2">
      <c r="H568">
        <v>559</v>
      </c>
      <c r="I568" s="24">
        <v>3110665989.480258</v>
      </c>
      <c r="J568">
        <f t="shared" si="11"/>
        <v>0</v>
      </c>
    </row>
    <row r="569" spans="8:10" x14ac:dyDescent="0.2">
      <c r="H569">
        <v>560</v>
      </c>
      <c r="I569" s="24">
        <v>3189630195.8742223</v>
      </c>
      <c r="J569">
        <f t="shared" si="11"/>
        <v>0</v>
      </c>
    </row>
    <row r="570" spans="8:10" x14ac:dyDescent="0.2">
      <c r="H570">
        <v>561</v>
      </c>
      <c r="I570" s="24">
        <v>3200711744.78932</v>
      </c>
      <c r="J570">
        <f t="shared" si="11"/>
        <v>0</v>
      </c>
    </row>
    <row r="571" spans="8:10" x14ac:dyDescent="0.2">
      <c r="H571">
        <v>562</v>
      </c>
      <c r="I571" s="24">
        <v>3176538378.6789351</v>
      </c>
      <c r="J571">
        <f t="shared" si="11"/>
        <v>0</v>
      </c>
    </row>
    <row r="572" spans="8:10" x14ac:dyDescent="0.2">
      <c r="H572">
        <v>563</v>
      </c>
      <c r="I572" s="24">
        <v>2832247701.5678163</v>
      </c>
      <c r="J572">
        <f t="shared" si="11"/>
        <v>0</v>
      </c>
    </row>
    <row r="573" spans="8:10" x14ac:dyDescent="0.2">
      <c r="H573">
        <v>564</v>
      </c>
      <c r="I573" s="24">
        <v>3195437817.9273639</v>
      </c>
      <c r="J573">
        <f t="shared" si="11"/>
        <v>0</v>
      </c>
    </row>
    <row r="574" spans="8:10" x14ac:dyDescent="0.2">
      <c r="H574">
        <v>565</v>
      </c>
      <c r="I574" s="24">
        <v>3490203262.4810357</v>
      </c>
      <c r="J574">
        <f t="shared" si="11"/>
        <v>0</v>
      </c>
    </row>
    <row r="575" spans="8:10" x14ac:dyDescent="0.2">
      <c r="H575">
        <v>566</v>
      </c>
      <c r="I575" s="24">
        <v>2971591734.1246023</v>
      </c>
      <c r="J575">
        <f t="shared" si="11"/>
        <v>0</v>
      </c>
    </row>
    <row r="576" spans="8:10" x14ac:dyDescent="0.2">
      <c r="H576">
        <v>567</v>
      </c>
      <c r="I576" s="24">
        <v>2818378715.7106695</v>
      </c>
      <c r="J576">
        <f t="shared" si="11"/>
        <v>0</v>
      </c>
    </row>
    <row r="577" spans="8:10" x14ac:dyDescent="0.2">
      <c r="H577">
        <v>568</v>
      </c>
      <c r="I577" s="24">
        <v>3312246044.71243</v>
      </c>
      <c r="J577">
        <f t="shared" si="11"/>
        <v>0</v>
      </c>
    </row>
    <row r="578" spans="8:10" x14ac:dyDescent="0.2">
      <c r="H578">
        <v>569</v>
      </c>
      <c r="I578" s="24">
        <v>3079789479.1604333</v>
      </c>
      <c r="J578">
        <f t="shared" si="11"/>
        <v>0</v>
      </c>
    </row>
    <row r="579" spans="8:10" x14ac:dyDescent="0.2">
      <c r="H579">
        <v>570</v>
      </c>
      <c r="I579" s="24">
        <v>3308577817.4210148</v>
      </c>
      <c r="J579">
        <f t="shared" si="11"/>
        <v>0</v>
      </c>
    </row>
    <row r="580" spans="8:10" x14ac:dyDescent="0.2">
      <c r="H580">
        <v>571</v>
      </c>
      <c r="I580" s="24">
        <v>3312987339.6938477</v>
      </c>
      <c r="J580">
        <f t="shared" si="11"/>
        <v>0</v>
      </c>
    </row>
    <row r="581" spans="8:10" x14ac:dyDescent="0.2">
      <c r="H581">
        <v>572</v>
      </c>
      <c r="I581" s="24">
        <v>3150066853.7407269</v>
      </c>
      <c r="J581">
        <f t="shared" si="11"/>
        <v>0</v>
      </c>
    </row>
    <row r="582" spans="8:10" x14ac:dyDescent="0.2">
      <c r="H582">
        <v>573</v>
      </c>
      <c r="I582" s="24">
        <v>3504357940.5486751</v>
      </c>
      <c r="J582">
        <f t="shared" si="11"/>
        <v>0</v>
      </c>
    </row>
    <row r="583" spans="8:10" x14ac:dyDescent="0.2">
      <c r="H583">
        <v>574</v>
      </c>
      <c r="I583" s="24">
        <v>3215884975.031621</v>
      </c>
      <c r="J583">
        <f t="shared" si="11"/>
        <v>0</v>
      </c>
    </row>
    <row r="584" spans="8:10" x14ac:dyDescent="0.2">
      <c r="H584">
        <v>575</v>
      </c>
      <c r="I584" s="24">
        <v>3051392858.7156992</v>
      </c>
      <c r="J584">
        <f t="shared" si="11"/>
        <v>0</v>
      </c>
    </row>
    <row r="585" spans="8:10" x14ac:dyDescent="0.2">
      <c r="H585">
        <v>576</v>
      </c>
      <c r="I585" s="24">
        <v>3358904743.7898135</v>
      </c>
      <c r="J585">
        <f t="shared" si="11"/>
        <v>0</v>
      </c>
    </row>
    <row r="586" spans="8:10" x14ac:dyDescent="0.2">
      <c r="H586">
        <v>577</v>
      </c>
      <c r="I586" s="24">
        <v>2892561935.6660066</v>
      </c>
      <c r="J586">
        <f t="shared" si="11"/>
        <v>0</v>
      </c>
    </row>
    <row r="587" spans="8:10" x14ac:dyDescent="0.2">
      <c r="H587">
        <v>578</v>
      </c>
      <c r="I587" s="24">
        <v>3154951030.7370362</v>
      </c>
      <c r="J587">
        <f t="shared" ref="J587:J650" si="12">IF(I587&lt;1700000000,1,0)</f>
        <v>0</v>
      </c>
    </row>
    <row r="588" spans="8:10" x14ac:dyDescent="0.2">
      <c r="H588">
        <v>579</v>
      </c>
      <c r="I588" s="24">
        <v>3018355769.6661396</v>
      </c>
      <c r="J588">
        <f t="shared" si="12"/>
        <v>0</v>
      </c>
    </row>
    <row r="589" spans="8:10" x14ac:dyDescent="0.2">
      <c r="H589">
        <v>580</v>
      </c>
      <c r="I589" s="24">
        <v>3158112149.1092558</v>
      </c>
      <c r="J589">
        <f t="shared" si="12"/>
        <v>0</v>
      </c>
    </row>
    <row r="590" spans="8:10" x14ac:dyDescent="0.2">
      <c r="H590">
        <v>581</v>
      </c>
      <c r="I590" s="24">
        <v>3133734915.9822969</v>
      </c>
      <c r="J590">
        <f t="shared" si="12"/>
        <v>0</v>
      </c>
    </row>
    <row r="591" spans="8:10" x14ac:dyDescent="0.2">
      <c r="H591">
        <v>582</v>
      </c>
      <c r="I591" s="24">
        <v>3024037740.9495468</v>
      </c>
      <c r="J591">
        <f t="shared" si="12"/>
        <v>0</v>
      </c>
    </row>
    <row r="592" spans="8:10" x14ac:dyDescent="0.2">
      <c r="H592">
        <v>583</v>
      </c>
      <c r="I592" s="24">
        <v>3122359278.8365307</v>
      </c>
      <c r="J592">
        <f t="shared" si="12"/>
        <v>0</v>
      </c>
    </row>
    <row r="593" spans="8:10" x14ac:dyDescent="0.2">
      <c r="H593">
        <v>584</v>
      </c>
      <c r="I593" s="24">
        <v>3318878524.4568639</v>
      </c>
      <c r="J593">
        <f t="shared" si="12"/>
        <v>0</v>
      </c>
    </row>
    <row r="594" spans="8:10" x14ac:dyDescent="0.2">
      <c r="H594">
        <v>585</v>
      </c>
      <c r="I594" s="24">
        <v>3128277924.9529142</v>
      </c>
      <c r="J594">
        <f t="shared" si="12"/>
        <v>0</v>
      </c>
    </row>
    <row r="595" spans="8:10" x14ac:dyDescent="0.2">
      <c r="H595">
        <v>586</v>
      </c>
      <c r="I595" s="24">
        <v>2962390395.0216079</v>
      </c>
      <c r="J595">
        <f t="shared" si="12"/>
        <v>0</v>
      </c>
    </row>
    <row r="596" spans="8:10" x14ac:dyDescent="0.2">
      <c r="H596">
        <v>587</v>
      </c>
      <c r="I596" s="24">
        <v>3140703453.1920528</v>
      </c>
      <c r="J596">
        <f t="shared" si="12"/>
        <v>0</v>
      </c>
    </row>
    <row r="597" spans="8:10" x14ac:dyDescent="0.2">
      <c r="H597">
        <v>588</v>
      </c>
      <c r="I597" s="24">
        <v>3310144597.6981111</v>
      </c>
      <c r="J597">
        <f t="shared" si="12"/>
        <v>0</v>
      </c>
    </row>
    <row r="598" spans="8:10" x14ac:dyDescent="0.2">
      <c r="H598">
        <v>589</v>
      </c>
      <c r="I598" s="24">
        <v>2948039307.6780849</v>
      </c>
      <c r="J598">
        <f t="shared" si="12"/>
        <v>0</v>
      </c>
    </row>
    <row r="599" spans="8:10" x14ac:dyDescent="0.2">
      <c r="H599">
        <v>590</v>
      </c>
      <c r="I599" s="24">
        <v>3152632384.1305413</v>
      </c>
      <c r="J599">
        <f t="shared" si="12"/>
        <v>0</v>
      </c>
    </row>
    <row r="600" spans="8:10" x14ac:dyDescent="0.2">
      <c r="H600">
        <v>591</v>
      </c>
      <c r="I600" s="24">
        <v>2923556672.6408257</v>
      </c>
      <c r="J600">
        <f t="shared" si="12"/>
        <v>0</v>
      </c>
    </row>
    <row r="601" spans="8:10" x14ac:dyDescent="0.2">
      <c r="H601">
        <v>592</v>
      </c>
      <c r="I601" s="24">
        <v>3244522912.6269021</v>
      </c>
      <c r="J601">
        <f t="shared" si="12"/>
        <v>0</v>
      </c>
    </row>
    <row r="602" spans="8:10" x14ac:dyDescent="0.2">
      <c r="H602">
        <v>593</v>
      </c>
      <c r="I602" s="24">
        <v>3272905067.4296646</v>
      </c>
      <c r="J602">
        <f t="shared" si="12"/>
        <v>0</v>
      </c>
    </row>
    <row r="603" spans="8:10" x14ac:dyDescent="0.2">
      <c r="H603">
        <v>594</v>
      </c>
      <c r="I603" s="24">
        <v>3194233424.0800815</v>
      </c>
      <c r="J603">
        <f t="shared" si="12"/>
        <v>0</v>
      </c>
    </row>
    <row r="604" spans="8:10" x14ac:dyDescent="0.2">
      <c r="H604">
        <v>595</v>
      </c>
      <c r="I604" s="24">
        <v>2910292405.8482118</v>
      </c>
      <c r="J604">
        <f t="shared" si="12"/>
        <v>0</v>
      </c>
    </row>
    <row r="605" spans="8:10" x14ac:dyDescent="0.2">
      <c r="H605">
        <v>596</v>
      </c>
      <c r="I605" s="24">
        <v>3119937376.8742175</v>
      </c>
      <c r="J605">
        <f t="shared" si="12"/>
        <v>0</v>
      </c>
    </row>
    <row r="606" spans="8:10" x14ac:dyDescent="0.2">
      <c r="H606">
        <v>597</v>
      </c>
      <c r="I606" s="24">
        <v>3024805997.4499106</v>
      </c>
      <c r="J606">
        <f t="shared" si="12"/>
        <v>0</v>
      </c>
    </row>
    <row r="607" spans="8:10" x14ac:dyDescent="0.2">
      <c r="H607">
        <v>598</v>
      </c>
      <c r="I607" s="24">
        <v>3108324898.6995144</v>
      </c>
      <c r="J607">
        <f t="shared" si="12"/>
        <v>0</v>
      </c>
    </row>
    <row r="608" spans="8:10" x14ac:dyDescent="0.2">
      <c r="H608">
        <v>599</v>
      </c>
      <c r="I608" s="24">
        <v>3164080872.0317898</v>
      </c>
      <c r="J608">
        <f t="shared" si="12"/>
        <v>0</v>
      </c>
    </row>
    <row r="609" spans="8:10" x14ac:dyDescent="0.2">
      <c r="H609">
        <v>600</v>
      </c>
      <c r="I609" s="24">
        <v>3117756664.8705225</v>
      </c>
      <c r="J609">
        <f t="shared" si="12"/>
        <v>0</v>
      </c>
    </row>
    <row r="610" spans="8:10" x14ac:dyDescent="0.2">
      <c r="H610">
        <v>601</v>
      </c>
      <c r="I610" s="24">
        <v>3168289005.9955978</v>
      </c>
      <c r="J610">
        <f t="shared" si="12"/>
        <v>0</v>
      </c>
    </row>
    <row r="611" spans="8:10" x14ac:dyDescent="0.2">
      <c r="H611">
        <v>602</v>
      </c>
      <c r="I611" s="24">
        <v>3112351904.2811165</v>
      </c>
      <c r="J611">
        <f t="shared" si="12"/>
        <v>0</v>
      </c>
    </row>
    <row r="612" spans="8:10" x14ac:dyDescent="0.2">
      <c r="H612">
        <v>603</v>
      </c>
      <c r="I612" s="24">
        <v>2987520341.8776789</v>
      </c>
      <c r="J612">
        <f t="shared" si="12"/>
        <v>0</v>
      </c>
    </row>
    <row r="613" spans="8:10" x14ac:dyDescent="0.2">
      <c r="H613">
        <v>604</v>
      </c>
      <c r="I613" s="24">
        <v>3085957419.9794493</v>
      </c>
      <c r="J613">
        <f t="shared" si="12"/>
        <v>0</v>
      </c>
    </row>
    <row r="614" spans="8:10" x14ac:dyDescent="0.2">
      <c r="H614">
        <v>605</v>
      </c>
      <c r="I614" s="24">
        <v>3095798671.9762497</v>
      </c>
      <c r="J614">
        <f t="shared" si="12"/>
        <v>0</v>
      </c>
    </row>
    <row r="615" spans="8:10" x14ac:dyDescent="0.2">
      <c r="H615">
        <v>606</v>
      </c>
      <c r="I615" s="24">
        <v>2910720884.7329206</v>
      </c>
      <c r="J615">
        <f t="shared" si="12"/>
        <v>0</v>
      </c>
    </row>
    <row r="616" spans="8:10" x14ac:dyDescent="0.2">
      <c r="H616">
        <v>607</v>
      </c>
      <c r="I616" s="24">
        <v>2912445571.6706762</v>
      </c>
      <c r="J616">
        <f t="shared" si="12"/>
        <v>0</v>
      </c>
    </row>
    <row r="617" spans="8:10" x14ac:dyDescent="0.2">
      <c r="H617">
        <v>608</v>
      </c>
      <c r="I617" s="24">
        <v>3120244640.6938343</v>
      </c>
      <c r="J617">
        <f t="shared" si="12"/>
        <v>0</v>
      </c>
    </row>
    <row r="618" spans="8:10" x14ac:dyDescent="0.2">
      <c r="H618">
        <v>609</v>
      </c>
      <c r="I618" s="24">
        <v>3054324134.2582226</v>
      </c>
      <c r="J618">
        <f t="shared" si="12"/>
        <v>0</v>
      </c>
    </row>
    <row r="619" spans="8:10" x14ac:dyDescent="0.2">
      <c r="H619">
        <v>610</v>
      </c>
      <c r="I619" s="24">
        <v>3136251426.3482924</v>
      </c>
      <c r="J619">
        <f t="shared" si="12"/>
        <v>0</v>
      </c>
    </row>
    <row r="620" spans="8:10" x14ac:dyDescent="0.2">
      <c r="H620">
        <v>611</v>
      </c>
      <c r="I620" s="24">
        <v>3008723890.0970845</v>
      </c>
      <c r="J620">
        <f t="shared" si="12"/>
        <v>0</v>
      </c>
    </row>
    <row r="621" spans="8:10" x14ac:dyDescent="0.2">
      <c r="H621">
        <v>612</v>
      </c>
      <c r="I621" s="24">
        <v>3193570553.2384968</v>
      </c>
      <c r="J621">
        <f t="shared" si="12"/>
        <v>0</v>
      </c>
    </row>
    <row r="622" spans="8:10" x14ac:dyDescent="0.2">
      <c r="H622">
        <v>613</v>
      </c>
      <c r="I622" s="24">
        <v>2967679007.0894103</v>
      </c>
      <c r="J622">
        <f t="shared" si="12"/>
        <v>0</v>
      </c>
    </row>
    <row r="623" spans="8:10" x14ac:dyDescent="0.2">
      <c r="H623">
        <v>614</v>
      </c>
      <c r="I623" s="24">
        <v>2917097006.3787713</v>
      </c>
      <c r="J623">
        <f t="shared" si="12"/>
        <v>0</v>
      </c>
    </row>
    <row r="624" spans="8:10" x14ac:dyDescent="0.2">
      <c r="H624">
        <v>615</v>
      </c>
      <c r="I624" s="24">
        <v>3009699465.3416138</v>
      </c>
      <c r="J624">
        <f t="shared" si="12"/>
        <v>0</v>
      </c>
    </row>
    <row r="625" spans="8:10" x14ac:dyDescent="0.2">
      <c r="H625">
        <v>616</v>
      </c>
      <c r="I625" s="24">
        <v>3337379418.2010283</v>
      </c>
      <c r="J625">
        <f t="shared" si="12"/>
        <v>0</v>
      </c>
    </row>
    <row r="626" spans="8:10" x14ac:dyDescent="0.2">
      <c r="H626">
        <v>617</v>
      </c>
      <c r="I626" s="24">
        <v>3186660792.1714582</v>
      </c>
      <c r="J626">
        <f t="shared" si="12"/>
        <v>0</v>
      </c>
    </row>
    <row r="627" spans="8:10" x14ac:dyDescent="0.2">
      <c r="H627">
        <v>618</v>
      </c>
      <c r="I627" s="24">
        <v>3061606604.5218892</v>
      </c>
      <c r="J627">
        <f t="shared" si="12"/>
        <v>0</v>
      </c>
    </row>
    <row r="628" spans="8:10" x14ac:dyDescent="0.2">
      <c r="H628">
        <v>619</v>
      </c>
      <c r="I628" s="24">
        <v>3179865122.9877629</v>
      </c>
      <c r="J628">
        <f t="shared" si="12"/>
        <v>0</v>
      </c>
    </row>
    <row r="629" spans="8:10" x14ac:dyDescent="0.2">
      <c r="H629">
        <v>620</v>
      </c>
      <c r="I629" s="24">
        <v>2965460237.0261445</v>
      </c>
      <c r="J629">
        <f t="shared" si="12"/>
        <v>0</v>
      </c>
    </row>
    <row r="630" spans="8:10" x14ac:dyDescent="0.2">
      <c r="H630">
        <v>621</v>
      </c>
      <c r="I630" s="24">
        <v>3040001559.5931873</v>
      </c>
      <c r="J630">
        <f t="shared" si="12"/>
        <v>0</v>
      </c>
    </row>
    <row r="631" spans="8:10" x14ac:dyDescent="0.2">
      <c r="H631">
        <v>622</v>
      </c>
      <c r="I631" s="24">
        <v>3293888239.0616517</v>
      </c>
      <c r="J631">
        <f t="shared" si="12"/>
        <v>0</v>
      </c>
    </row>
    <row r="632" spans="8:10" x14ac:dyDescent="0.2">
      <c r="H632">
        <v>623</v>
      </c>
      <c r="I632" s="24">
        <v>3027476870.1368456</v>
      </c>
      <c r="J632">
        <f t="shared" si="12"/>
        <v>0</v>
      </c>
    </row>
    <row r="633" spans="8:10" x14ac:dyDescent="0.2">
      <c r="H633">
        <v>624</v>
      </c>
      <c r="I633" s="24">
        <v>3410565136.0740991</v>
      </c>
      <c r="J633">
        <f t="shared" si="12"/>
        <v>0</v>
      </c>
    </row>
    <row r="634" spans="8:10" x14ac:dyDescent="0.2">
      <c r="H634">
        <v>625</v>
      </c>
      <c r="I634" s="24">
        <v>3335047975.627758</v>
      </c>
      <c r="J634">
        <f t="shared" si="12"/>
        <v>0</v>
      </c>
    </row>
    <row r="635" spans="8:10" x14ac:dyDescent="0.2">
      <c r="H635">
        <v>626</v>
      </c>
      <c r="I635" s="24">
        <v>3368359045.8402982</v>
      </c>
      <c r="J635">
        <f t="shared" si="12"/>
        <v>0</v>
      </c>
    </row>
    <row r="636" spans="8:10" x14ac:dyDescent="0.2">
      <c r="H636">
        <v>627</v>
      </c>
      <c r="I636" s="24">
        <v>3114198436.3211436</v>
      </c>
      <c r="J636">
        <f t="shared" si="12"/>
        <v>0</v>
      </c>
    </row>
    <row r="637" spans="8:10" x14ac:dyDescent="0.2">
      <c r="H637">
        <v>628</v>
      </c>
      <c r="I637" s="24">
        <v>3070609296.3707399</v>
      </c>
      <c r="J637">
        <f t="shared" si="12"/>
        <v>0</v>
      </c>
    </row>
    <row r="638" spans="8:10" x14ac:dyDescent="0.2">
      <c r="H638">
        <v>629</v>
      </c>
      <c r="I638" s="24">
        <v>3363335999.1356173</v>
      </c>
      <c r="J638">
        <f t="shared" si="12"/>
        <v>0</v>
      </c>
    </row>
    <row r="639" spans="8:10" x14ac:dyDescent="0.2">
      <c r="H639">
        <v>630</v>
      </c>
      <c r="I639" s="24">
        <v>3019901372.8160005</v>
      </c>
      <c r="J639">
        <f t="shared" si="12"/>
        <v>0</v>
      </c>
    </row>
    <row r="640" spans="8:10" x14ac:dyDescent="0.2">
      <c r="H640">
        <v>631</v>
      </c>
      <c r="I640" s="24">
        <v>2947220151.8158627</v>
      </c>
      <c r="J640">
        <f t="shared" si="12"/>
        <v>0</v>
      </c>
    </row>
    <row r="641" spans="8:10" x14ac:dyDescent="0.2">
      <c r="H641">
        <v>632</v>
      </c>
      <c r="I641" s="24">
        <v>3126058108.6587186</v>
      </c>
      <c r="J641">
        <f t="shared" si="12"/>
        <v>0</v>
      </c>
    </row>
    <row r="642" spans="8:10" x14ac:dyDescent="0.2">
      <c r="H642">
        <v>633</v>
      </c>
      <c r="I642" s="24">
        <v>3071705005.6147451</v>
      </c>
      <c r="J642">
        <f t="shared" si="12"/>
        <v>0</v>
      </c>
    </row>
    <row r="643" spans="8:10" x14ac:dyDescent="0.2">
      <c r="H643">
        <v>634</v>
      </c>
      <c r="I643" s="24">
        <v>3495980270.7650146</v>
      </c>
      <c r="J643">
        <f t="shared" si="12"/>
        <v>0</v>
      </c>
    </row>
    <row r="644" spans="8:10" x14ac:dyDescent="0.2">
      <c r="H644">
        <v>635</v>
      </c>
      <c r="I644" s="24">
        <v>3256147050.7491093</v>
      </c>
      <c r="J644">
        <f t="shared" si="12"/>
        <v>0</v>
      </c>
    </row>
    <row r="645" spans="8:10" x14ac:dyDescent="0.2">
      <c r="H645">
        <v>636</v>
      </c>
      <c r="I645" s="24">
        <v>3441488807.7213435</v>
      </c>
      <c r="J645">
        <f t="shared" si="12"/>
        <v>0</v>
      </c>
    </row>
    <row r="646" spans="8:10" x14ac:dyDescent="0.2">
      <c r="H646">
        <v>637</v>
      </c>
      <c r="I646" s="24">
        <v>3295952152.1748581</v>
      </c>
      <c r="J646">
        <f t="shared" si="12"/>
        <v>0</v>
      </c>
    </row>
    <row r="647" spans="8:10" x14ac:dyDescent="0.2">
      <c r="H647">
        <v>638</v>
      </c>
      <c r="I647" s="24">
        <v>3005732475.2281089</v>
      </c>
      <c r="J647">
        <f t="shared" si="12"/>
        <v>0</v>
      </c>
    </row>
    <row r="648" spans="8:10" x14ac:dyDescent="0.2">
      <c r="H648">
        <v>639</v>
      </c>
      <c r="I648" s="24">
        <v>3287817002.4082003</v>
      </c>
      <c r="J648">
        <f t="shared" si="12"/>
        <v>0</v>
      </c>
    </row>
    <row r="649" spans="8:10" x14ac:dyDescent="0.2">
      <c r="H649">
        <v>640</v>
      </c>
      <c r="I649" s="24">
        <v>3127637372.0410728</v>
      </c>
      <c r="J649">
        <f t="shared" si="12"/>
        <v>0</v>
      </c>
    </row>
    <row r="650" spans="8:10" x14ac:dyDescent="0.2">
      <c r="H650">
        <v>641</v>
      </c>
      <c r="I650" s="24">
        <v>3318218308.6069255</v>
      </c>
      <c r="J650">
        <f t="shared" si="12"/>
        <v>0</v>
      </c>
    </row>
    <row r="651" spans="8:10" x14ac:dyDescent="0.2">
      <c r="H651">
        <v>642</v>
      </c>
      <c r="I651" s="24">
        <v>3235416725.0576267</v>
      </c>
      <c r="J651">
        <f t="shared" ref="J651:J714" si="13">IF(I651&lt;1700000000,1,0)</f>
        <v>0</v>
      </c>
    </row>
    <row r="652" spans="8:10" x14ac:dyDescent="0.2">
      <c r="H652">
        <v>643</v>
      </c>
      <c r="I652" s="24">
        <v>3232709446.4633088</v>
      </c>
      <c r="J652">
        <f t="shared" si="13"/>
        <v>0</v>
      </c>
    </row>
    <row r="653" spans="8:10" x14ac:dyDescent="0.2">
      <c r="H653">
        <v>644</v>
      </c>
      <c r="I653" s="24">
        <v>3224324520.7022872</v>
      </c>
      <c r="J653">
        <f t="shared" si="13"/>
        <v>0</v>
      </c>
    </row>
    <row r="654" spans="8:10" x14ac:dyDescent="0.2">
      <c r="H654">
        <v>645</v>
      </c>
      <c r="I654" s="24">
        <v>2955684159.619173</v>
      </c>
      <c r="J654">
        <f t="shared" si="13"/>
        <v>0</v>
      </c>
    </row>
    <row r="655" spans="8:10" x14ac:dyDescent="0.2">
      <c r="H655">
        <v>646</v>
      </c>
      <c r="I655" s="24">
        <v>2768894795.0188756</v>
      </c>
      <c r="J655">
        <f t="shared" si="13"/>
        <v>0</v>
      </c>
    </row>
    <row r="656" spans="8:10" x14ac:dyDescent="0.2">
      <c r="H656">
        <v>647</v>
      </c>
      <c r="I656" s="24">
        <v>3178484501.2471032</v>
      </c>
      <c r="J656">
        <f t="shared" si="13"/>
        <v>0</v>
      </c>
    </row>
    <row r="657" spans="8:10" x14ac:dyDescent="0.2">
      <c r="H657">
        <v>648</v>
      </c>
      <c r="I657" s="24">
        <v>3147535269.7000799</v>
      </c>
      <c r="J657">
        <f t="shared" si="13"/>
        <v>0</v>
      </c>
    </row>
    <row r="658" spans="8:10" x14ac:dyDescent="0.2">
      <c r="H658">
        <v>649</v>
      </c>
      <c r="I658" s="24">
        <v>3125080956.4740252</v>
      </c>
      <c r="J658">
        <f t="shared" si="13"/>
        <v>0</v>
      </c>
    </row>
    <row r="659" spans="8:10" x14ac:dyDescent="0.2">
      <c r="H659">
        <v>650</v>
      </c>
      <c r="I659" s="24">
        <v>3019827679.0644503</v>
      </c>
      <c r="J659">
        <f t="shared" si="13"/>
        <v>0</v>
      </c>
    </row>
    <row r="660" spans="8:10" x14ac:dyDescent="0.2">
      <c r="H660">
        <v>651</v>
      </c>
      <c r="I660" s="24">
        <v>3169303443.0758986</v>
      </c>
      <c r="J660">
        <f t="shared" si="13"/>
        <v>0</v>
      </c>
    </row>
    <row r="661" spans="8:10" x14ac:dyDescent="0.2">
      <c r="H661">
        <v>652</v>
      </c>
      <c r="I661" s="24">
        <v>3160345751.9811039</v>
      </c>
      <c r="J661">
        <f t="shared" si="13"/>
        <v>0</v>
      </c>
    </row>
    <row r="662" spans="8:10" x14ac:dyDescent="0.2">
      <c r="H662">
        <v>653</v>
      </c>
      <c r="I662" s="24">
        <v>3274517462.4872084</v>
      </c>
      <c r="J662">
        <f t="shared" si="13"/>
        <v>0</v>
      </c>
    </row>
    <row r="663" spans="8:10" x14ac:dyDescent="0.2">
      <c r="H663">
        <v>654</v>
      </c>
      <c r="I663" s="24">
        <v>3064049004.8845868</v>
      </c>
      <c r="J663">
        <f t="shared" si="13"/>
        <v>0</v>
      </c>
    </row>
    <row r="664" spans="8:10" x14ac:dyDescent="0.2">
      <c r="H664">
        <v>655</v>
      </c>
      <c r="I664" s="24">
        <v>2915593361.1495752</v>
      </c>
      <c r="J664">
        <f t="shared" si="13"/>
        <v>0</v>
      </c>
    </row>
    <row r="665" spans="8:10" x14ac:dyDescent="0.2">
      <c r="H665">
        <v>656</v>
      </c>
      <c r="I665" s="24">
        <v>2965663789.5398645</v>
      </c>
      <c r="J665">
        <f t="shared" si="13"/>
        <v>0</v>
      </c>
    </row>
    <row r="666" spans="8:10" x14ac:dyDescent="0.2">
      <c r="H666">
        <v>657</v>
      </c>
      <c r="I666" s="24">
        <v>3162841061.0949774</v>
      </c>
      <c r="J666">
        <f t="shared" si="13"/>
        <v>0</v>
      </c>
    </row>
    <row r="667" spans="8:10" x14ac:dyDescent="0.2">
      <c r="H667">
        <v>658</v>
      </c>
      <c r="I667" s="24">
        <v>3147606783.596375</v>
      </c>
      <c r="J667">
        <f t="shared" si="13"/>
        <v>0</v>
      </c>
    </row>
    <row r="668" spans="8:10" x14ac:dyDescent="0.2">
      <c r="H668">
        <v>659</v>
      </c>
      <c r="I668" s="24">
        <v>3028899958.2361488</v>
      </c>
      <c r="J668">
        <f t="shared" si="13"/>
        <v>0</v>
      </c>
    </row>
    <row r="669" spans="8:10" x14ac:dyDescent="0.2">
      <c r="H669">
        <v>660</v>
      </c>
      <c r="I669" s="24">
        <v>3193292038.4414458</v>
      </c>
      <c r="J669">
        <f t="shared" si="13"/>
        <v>0</v>
      </c>
    </row>
    <row r="670" spans="8:10" x14ac:dyDescent="0.2">
      <c r="H670">
        <v>661</v>
      </c>
      <c r="I670" s="24">
        <v>3087025566.9517961</v>
      </c>
      <c r="J670">
        <f t="shared" si="13"/>
        <v>0</v>
      </c>
    </row>
    <row r="671" spans="8:10" x14ac:dyDescent="0.2">
      <c r="H671">
        <v>662</v>
      </c>
      <c r="I671" s="24">
        <v>3189059007.2795482</v>
      </c>
      <c r="J671">
        <f t="shared" si="13"/>
        <v>0</v>
      </c>
    </row>
    <row r="672" spans="8:10" x14ac:dyDescent="0.2">
      <c r="H672">
        <v>663</v>
      </c>
      <c r="I672" s="24">
        <v>3013300769.9044876</v>
      </c>
      <c r="J672">
        <f t="shared" si="13"/>
        <v>0</v>
      </c>
    </row>
    <row r="673" spans="8:10" x14ac:dyDescent="0.2">
      <c r="H673">
        <v>664</v>
      </c>
      <c r="I673" s="24">
        <v>3323134458.1156635</v>
      </c>
      <c r="J673">
        <f t="shared" si="13"/>
        <v>0</v>
      </c>
    </row>
    <row r="674" spans="8:10" x14ac:dyDescent="0.2">
      <c r="H674">
        <v>665</v>
      </c>
      <c r="I674" s="24">
        <v>3434899903.1846299</v>
      </c>
      <c r="J674">
        <f t="shared" si="13"/>
        <v>0</v>
      </c>
    </row>
    <row r="675" spans="8:10" x14ac:dyDescent="0.2">
      <c r="H675">
        <v>666</v>
      </c>
      <c r="I675" s="24">
        <v>3230568071.4656725</v>
      </c>
      <c r="J675">
        <f t="shared" si="13"/>
        <v>0</v>
      </c>
    </row>
    <row r="676" spans="8:10" x14ac:dyDescent="0.2">
      <c r="H676">
        <v>667</v>
      </c>
      <c r="I676" s="24">
        <v>3031125267.4062729</v>
      </c>
      <c r="J676">
        <f t="shared" si="13"/>
        <v>0</v>
      </c>
    </row>
    <row r="677" spans="8:10" x14ac:dyDescent="0.2">
      <c r="H677">
        <v>668</v>
      </c>
      <c r="I677" s="24">
        <v>3203851428.9654155</v>
      </c>
      <c r="J677">
        <f t="shared" si="13"/>
        <v>0</v>
      </c>
    </row>
    <row r="678" spans="8:10" x14ac:dyDescent="0.2">
      <c r="H678">
        <v>669</v>
      </c>
      <c r="I678" s="24">
        <v>3169827767.0852304</v>
      </c>
      <c r="J678">
        <f t="shared" si="13"/>
        <v>0</v>
      </c>
    </row>
    <row r="679" spans="8:10" x14ac:dyDescent="0.2">
      <c r="H679">
        <v>670</v>
      </c>
      <c r="I679" s="24">
        <v>2890776698.2082267</v>
      </c>
      <c r="J679">
        <f t="shared" si="13"/>
        <v>0</v>
      </c>
    </row>
    <row r="680" spans="8:10" x14ac:dyDescent="0.2">
      <c r="H680">
        <v>671</v>
      </c>
      <c r="I680" s="24">
        <v>3216015638.6813679</v>
      </c>
      <c r="J680">
        <f t="shared" si="13"/>
        <v>0</v>
      </c>
    </row>
    <row r="681" spans="8:10" x14ac:dyDescent="0.2">
      <c r="H681">
        <v>672</v>
      </c>
      <c r="I681" s="24">
        <v>3217262574.1928577</v>
      </c>
      <c r="J681">
        <f t="shared" si="13"/>
        <v>0</v>
      </c>
    </row>
    <row r="682" spans="8:10" x14ac:dyDescent="0.2">
      <c r="H682">
        <v>673</v>
      </c>
      <c r="I682" s="24">
        <v>3202895457.8633733</v>
      </c>
      <c r="J682">
        <f t="shared" si="13"/>
        <v>0</v>
      </c>
    </row>
    <row r="683" spans="8:10" x14ac:dyDescent="0.2">
      <c r="H683">
        <v>674</v>
      </c>
      <c r="I683" s="24">
        <v>3375722057.4759798</v>
      </c>
      <c r="J683">
        <f t="shared" si="13"/>
        <v>0</v>
      </c>
    </row>
    <row r="684" spans="8:10" x14ac:dyDescent="0.2">
      <c r="H684">
        <v>675</v>
      </c>
      <c r="I684" s="24">
        <v>2805392119.2470818</v>
      </c>
      <c r="J684">
        <f t="shared" si="13"/>
        <v>0</v>
      </c>
    </row>
    <row r="685" spans="8:10" x14ac:dyDescent="0.2">
      <c r="H685">
        <v>676</v>
      </c>
      <c r="I685" s="24">
        <v>3348435531.7311349</v>
      </c>
      <c r="J685">
        <f t="shared" si="13"/>
        <v>0</v>
      </c>
    </row>
    <row r="686" spans="8:10" x14ac:dyDescent="0.2">
      <c r="H686">
        <v>677</v>
      </c>
      <c r="I686" s="24">
        <v>3079502417.50422</v>
      </c>
      <c r="J686">
        <f t="shared" si="13"/>
        <v>0</v>
      </c>
    </row>
    <row r="687" spans="8:10" x14ac:dyDescent="0.2">
      <c r="H687">
        <v>678</v>
      </c>
      <c r="I687" s="24">
        <v>3361961076.9964738</v>
      </c>
      <c r="J687">
        <f t="shared" si="13"/>
        <v>0</v>
      </c>
    </row>
    <row r="688" spans="8:10" x14ac:dyDescent="0.2">
      <c r="H688">
        <v>679</v>
      </c>
      <c r="I688" s="24">
        <v>3205891644.2758346</v>
      </c>
      <c r="J688">
        <f t="shared" si="13"/>
        <v>0</v>
      </c>
    </row>
    <row r="689" spans="8:10" x14ac:dyDescent="0.2">
      <c r="H689">
        <v>680</v>
      </c>
      <c r="I689" s="24">
        <v>2989276646.0765042</v>
      </c>
      <c r="J689">
        <f t="shared" si="13"/>
        <v>0</v>
      </c>
    </row>
    <row r="690" spans="8:10" x14ac:dyDescent="0.2">
      <c r="H690">
        <v>681</v>
      </c>
      <c r="I690" s="24">
        <v>2885961778.9723153</v>
      </c>
      <c r="J690">
        <f t="shared" si="13"/>
        <v>0</v>
      </c>
    </row>
    <row r="691" spans="8:10" x14ac:dyDescent="0.2">
      <c r="H691">
        <v>682</v>
      </c>
      <c r="I691" s="24">
        <v>3144252650.9981627</v>
      </c>
      <c r="J691">
        <f t="shared" si="13"/>
        <v>0</v>
      </c>
    </row>
    <row r="692" spans="8:10" x14ac:dyDescent="0.2">
      <c r="H692">
        <v>683</v>
      </c>
      <c r="I692" s="24">
        <v>3205107090.4256358</v>
      </c>
      <c r="J692">
        <f t="shared" si="13"/>
        <v>0</v>
      </c>
    </row>
    <row r="693" spans="8:10" x14ac:dyDescent="0.2">
      <c r="H693">
        <v>684</v>
      </c>
      <c r="I693" s="24">
        <v>3354857185.8965564</v>
      </c>
      <c r="J693">
        <f t="shared" si="13"/>
        <v>0</v>
      </c>
    </row>
    <row r="694" spans="8:10" x14ac:dyDescent="0.2">
      <c r="H694">
        <v>685</v>
      </c>
      <c r="I694" s="24">
        <v>3221337832.5935721</v>
      </c>
      <c r="J694">
        <f t="shared" si="13"/>
        <v>0</v>
      </c>
    </row>
    <row r="695" spans="8:10" x14ac:dyDescent="0.2">
      <c r="H695">
        <v>686</v>
      </c>
      <c r="I695" s="24">
        <v>3193919264.3098841</v>
      </c>
      <c r="J695">
        <f t="shared" si="13"/>
        <v>0</v>
      </c>
    </row>
    <row r="696" spans="8:10" x14ac:dyDescent="0.2">
      <c r="H696">
        <v>687</v>
      </c>
      <c r="I696" s="24">
        <v>3223294428.1665168</v>
      </c>
      <c r="J696">
        <f t="shared" si="13"/>
        <v>0</v>
      </c>
    </row>
    <row r="697" spans="8:10" x14ac:dyDescent="0.2">
      <c r="H697">
        <v>688</v>
      </c>
      <c r="I697" s="24">
        <v>3117608344.792387</v>
      </c>
      <c r="J697">
        <f t="shared" si="13"/>
        <v>0</v>
      </c>
    </row>
    <row r="698" spans="8:10" x14ac:dyDescent="0.2">
      <c r="H698">
        <v>689</v>
      </c>
      <c r="I698" s="24">
        <v>3171695968.8724651</v>
      </c>
      <c r="J698">
        <f t="shared" si="13"/>
        <v>0</v>
      </c>
    </row>
    <row r="699" spans="8:10" x14ac:dyDescent="0.2">
      <c r="H699">
        <v>690</v>
      </c>
      <c r="I699" s="24">
        <v>3068537053.4769588</v>
      </c>
      <c r="J699">
        <f t="shared" si="13"/>
        <v>0</v>
      </c>
    </row>
    <row r="700" spans="8:10" x14ac:dyDescent="0.2">
      <c r="H700">
        <v>691</v>
      </c>
      <c r="I700" s="24">
        <v>2856008462.4344735</v>
      </c>
      <c r="J700">
        <f t="shared" si="13"/>
        <v>0</v>
      </c>
    </row>
    <row r="701" spans="8:10" x14ac:dyDescent="0.2">
      <c r="H701">
        <v>692</v>
      </c>
      <c r="I701" s="24">
        <v>3433953092.8426752</v>
      </c>
      <c r="J701">
        <f t="shared" si="13"/>
        <v>0</v>
      </c>
    </row>
    <row r="702" spans="8:10" x14ac:dyDescent="0.2">
      <c r="H702">
        <v>693</v>
      </c>
      <c r="I702" s="24">
        <v>3237384661.7050171</v>
      </c>
      <c r="J702">
        <f t="shared" si="13"/>
        <v>0</v>
      </c>
    </row>
    <row r="703" spans="8:10" x14ac:dyDescent="0.2">
      <c r="H703">
        <v>694</v>
      </c>
      <c r="I703" s="24">
        <v>3150215089.082664</v>
      </c>
      <c r="J703">
        <f t="shared" si="13"/>
        <v>0</v>
      </c>
    </row>
    <row r="704" spans="8:10" x14ac:dyDescent="0.2">
      <c r="H704">
        <v>695</v>
      </c>
      <c r="I704" s="24">
        <v>3205246588.190815</v>
      </c>
      <c r="J704">
        <f t="shared" si="13"/>
        <v>0</v>
      </c>
    </row>
    <row r="705" spans="8:10" x14ac:dyDescent="0.2">
      <c r="H705">
        <v>696</v>
      </c>
      <c r="I705" s="24">
        <v>3006969140.2429605</v>
      </c>
      <c r="J705">
        <f t="shared" si="13"/>
        <v>0</v>
      </c>
    </row>
    <row r="706" spans="8:10" x14ac:dyDescent="0.2">
      <c r="H706">
        <v>697</v>
      </c>
      <c r="I706" s="24">
        <v>3239766638.6786604</v>
      </c>
      <c r="J706">
        <f t="shared" si="13"/>
        <v>0</v>
      </c>
    </row>
    <row r="707" spans="8:10" x14ac:dyDescent="0.2">
      <c r="H707">
        <v>698</v>
      </c>
      <c r="I707" s="24">
        <v>3024797864.6311994</v>
      </c>
      <c r="J707">
        <f t="shared" si="13"/>
        <v>0</v>
      </c>
    </row>
    <row r="708" spans="8:10" x14ac:dyDescent="0.2">
      <c r="H708">
        <v>699</v>
      </c>
      <c r="I708" s="24">
        <v>3064193424.2301421</v>
      </c>
      <c r="J708">
        <f t="shared" si="13"/>
        <v>0</v>
      </c>
    </row>
    <row r="709" spans="8:10" x14ac:dyDescent="0.2">
      <c r="H709">
        <v>700</v>
      </c>
      <c r="I709" s="24">
        <v>2926139288.712379</v>
      </c>
      <c r="J709">
        <f t="shared" si="13"/>
        <v>0</v>
      </c>
    </row>
    <row r="710" spans="8:10" x14ac:dyDescent="0.2">
      <c r="H710">
        <v>701</v>
      </c>
      <c r="I710" s="24">
        <v>3371127268.8172669</v>
      </c>
      <c r="J710">
        <f t="shared" si="13"/>
        <v>0</v>
      </c>
    </row>
    <row r="711" spans="8:10" x14ac:dyDescent="0.2">
      <c r="H711">
        <v>702</v>
      </c>
      <c r="I711" s="24">
        <v>3001511526.2062941</v>
      </c>
      <c r="J711">
        <f t="shared" si="13"/>
        <v>0</v>
      </c>
    </row>
    <row r="712" spans="8:10" x14ac:dyDescent="0.2">
      <c r="H712">
        <v>703</v>
      </c>
      <c r="I712" s="24">
        <v>3133307489.6760526</v>
      </c>
      <c r="J712">
        <f t="shared" si="13"/>
        <v>0</v>
      </c>
    </row>
    <row r="713" spans="8:10" x14ac:dyDescent="0.2">
      <c r="H713">
        <v>704</v>
      </c>
      <c r="I713" s="24">
        <v>3140120291.8697195</v>
      </c>
      <c r="J713">
        <f t="shared" si="13"/>
        <v>0</v>
      </c>
    </row>
    <row r="714" spans="8:10" x14ac:dyDescent="0.2">
      <c r="H714">
        <v>705</v>
      </c>
      <c r="I714" s="24">
        <v>3232267306.3429275</v>
      </c>
      <c r="J714">
        <f t="shared" si="13"/>
        <v>0</v>
      </c>
    </row>
    <row r="715" spans="8:10" x14ac:dyDescent="0.2">
      <c r="H715">
        <v>706</v>
      </c>
      <c r="I715" s="24">
        <v>3050162129.4892068</v>
      </c>
      <c r="J715">
        <f t="shared" ref="J715:J778" si="14">IF(I715&lt;1700000000,1,0)</f>
        <v>0</v>
      </c>
    </row>
    <row r="716" spans="8:10" x14ac:dyDescent="0.2">
      <c r="H716">
        <v>707</v>
      </c>
      <c r="I716" s="24">
        <v>3162709632.4334979</v>
      </c>
      <c r="J716">
        <f t="shared" si="14"/>
        <v>0</v>
      </c>
    </row>
    <row r="717" spans="8:10" x14ac:dyDescent="0.2">
      <c r="H717">
        <v>708</v>
      </c>
      <c r="I717" s="24">
        <v>2948514936.6241183</v>
      </c>
      <c r="J717">
        <f t="shared" si="14"/>
        <v>0</v>
      </c>
    </row>
    <row r="718" spans="8:10" x14ac:dyDescent="0.2">
      <c r="H718">
        <v>709</v>
      </c>
      <c r="I718" s="24">
        <v>3029205778.8061504</v>
      </c>
      <c r="J718">
        <f t="shared" si="14"/>
        <v>0</v>
      </c>
    </row>
    <row r="719" spans="8:10" x14ac:dyDescent="0.2">
      <c r="H719">
        <v>710</v>
      </c>
      <c r="I719" s="24">
        <v>3208855310.10706</v>
      </c>
      <c r="J719">
        <f t="shared" si="14"/>
        <v>0</v>
      </c>
    </row>
    <row r="720" spans="8:10" x14ac:dyDescent="0.2">
      <c r="H720">
        <v>711</v>
      </c>
      <c r="I720" s="24">
        <v>3054230367.7613587</v>
      </c>
      <c r="J720">
        <f t="shared" si="14"/>
        <v>0</v>
      </c>
    </row>
    <row r="721" spans="8:10" x14ac:dyDescent="0.2">
      <c r="H721">
        <v>712</v>
      </c>
      <c r="I721" s="24">
        <v>3131333241.333025</v>
      </c>
      <c r="J721">
        <f t="shared" si="14"/>
        <v>0</v>
      </c>
    </row>
    <row r="722" spans="8:10" x14ac:dyDescent="0.2">
      <c r="H722">
        <v>713</v>
      </c>
      <c r="I722" s="24">
        <v>2946087543.0465055</v>
      </c>
      <c r="J722">
        <f t="shared" si="14"/>
        <v>0</v>
      </c>
    </row>
    <row r="723" spans="8:10" x14ac:dyDescent="0.2">
      <c r="H723">
        <v>714</v>
      </c>
      <c r="I723" s="24">
        <v>3105043762.1652217</v>
      </c>
      <c r="J723">
        <f t="shared" si="14"/>
        <v>0</v>
      </c>
    </row>
    <row r="724" spans="8:10" x14ac:dyDescent="0.2">
      <c r="H724">
        <v>715</v>
      </c>
      <c r="I724" s="24">
        <v>3052126947.7849436</v>
      </c>
      <c r="J724">
        <f t="shared" si="14"/>
        <v>0</v>
      </c>
    </row>
    <row r="725" spans="8:10" x14ac:dyDescent="0.2">
      <c r="H725">
        <v>716</v>
      </c>
      <c r="I725" s="24">
        <v>2946719957.0084252</v>
      </c>
      <c r="J725">
        <f t="shared" si="14"/>
        <v>0</v>
      </c>
    </row>
    <row r="726" spans="8:10" x14ac:dyDescent="0.2">
      <c r="H726">
        <v>717</v>
      </c>
      <c r="I726" s="24">
        <v>3478873113.1465826</v>
      </c>
      <c r="J726">
        <f t="shared" si="14"/>
        <v>0</v>
      </c>
    </row>
    <row r="727" spans="8:10" x14ac:dyDescent="0.2">
      <c r="H727">
        <v>718</v>
      </c>
      <c r="I727" s="24">
        <v>3078374784.202075</v>
      </c>
      <c r="J727">
        <f t="shared" si="14"/>
        <v>0</v>
      </c>
    </row>
    <row r="728" spans="8:10" x14ac:dyDescent="0.2">
      <c r="H728">
        <v>719</v>
      </c>
      <c r="I728" s="24">
        <v>3332686583.5532508</v>
      </c>
      <c r="J728">
        <f t="shared" si="14"/>
        <v>0</v>
      </c>
    </row>
    <row r="729" spans="8:10" x14ac:dyDescent="0.2">
      <c r="H729">
        <v>720</v>
      </c>
      <c r="I729" s="24">
        <v>3144967572.7462564</v>
      </c>
      <c r="J729">
        <f t="shared" si="14"/>
        <v>0</v>
      </c>
    </row>
    <row r="730" spans="8:10" x14ac:dyDescent="0.2">
      <c r="H730">
        <v>721</v>
      </c>
      <c r="I730" s="24">
        <v>3353932050.0176258</v>
      </c>
      <c r="J730">
        <f t="shared" si="14"/>
        <v>0</v>
      </c>
    </row>
    <row r="731" spans="8:10" x14ac:dyDescent="0.2">
      <c r="H731">
        <v>722</v>
      </c>
      <c r="I731" s="24">
        <v>3295809181.0209866</v>
      </c>
      <c r="J731">
        <f t="shared" si="14"/>
        <v>0</v>
      </c>
    </row>
    <row r="732" spans="8:10" x14ac:dyDescent="0.2">
      <c r="H732">
        <v>723</v>
      </c>
      <c r="I732" s="24">
        <v>2923517424.6055269</v>
      </c>
      <c r="J732">
        <f t="shared" si="14"/>
        <v>0</v>
      </c>
    </row>
    <row r="733" spans="8:10" x14ac:dyDescent="0.2">
      <c r="H733">
        <v>724</v>
      </c>
      <c r="I733" s="24">
        <v>3077568213.5972595</v>
      </c>
      <c r="J733">
        <f t="shared" si="14"/>
        <v>0</v>
      </c>
    </row>
    <row r="734" spans="8:10" x14ac:dyDescent="0.2">
      <c r="H734">
        <v>725</v>
      </c>
      <c r="I734" s="24">
        <v>3311278156.0182691</v>
      </c>
      <c r="J734">
        <f t="shared" si="14"/>
        <v>0</v>
      </c>
    </row>
    <row r="735" spans="8:10" x14ac:dyDescent="0.2">
      <c r="H735">
        <v>726</v>
      </c>
      <c r="I735" s="24">
        <v>3179330481.6399903</v>
      </c>
      <c r="J735">
        <f t="shared" si="14"/>
        <v>0</v>
      </c>
    </row>
    <row r="736" spans="8:10" x14ac:dyDescent="0.2">
      <c r="H736">
        <v>727</v>
      </c>
      <c r="I736" s="24">
        <v>2820529456.3534527</v>
      </c>
      <c r="J736">
        <f t="shared" si="14"/>
        <v>0</v>
      </c>
    </row>
    <row r="737" spans="8:10" x14ac:dyDescent="0.2">
      <c r="H737">
        <v>728</v>
      </c>
      <c r="I737" s="24">
        <v>3241444115.6456375</v>
      </c>
      <c r="J737">
        <f t="shared" si="14"/>
        <v>0</v>
      </c>
    </row>
    <row r="738" spans="8:10" x14ac:dyDescent="0.2">
      <c r="H738">
        <v>729</v>
      </c>
      <c r="I738" s="24">
        <v>2959090467.8522491</v>
      </c>
      <c r="J738">
        <f t="shared" si="14"/>
        <v>0</v>
      </c>
    </row>
    <row r="739" spans="8:10" x14ac:dyDescent="0.2">
      <c r="H739">
        <v>730</v>
      </c>
      <c r="I739" s="24">
        <v>3219822461.4963822</v>
      </c>
      <c r="J739">
        <f t="shared" si="14"/>
        <v>0</v>
      </c>
    </row>
    <row r="740" spans="8:10" x14ac:dyDescent="0.2">
      <c r="H740">
        <v>731</v>
      </c>
      <c r="I740" s="24">
        <v>3320501380.6727328</v>
      </c>
      <c r="J740">
        <f t="shared" si="14"/>
        <v>0</v>
      </c>
    </row>
    <row r="741" spans="8:10" x14ac:dyDescent="0.2">
      <c r="H741">
        <v>732</v>
      </c>
      <c r="I741" s="24">
        <v>3053391180.6964216</v>
      </c>
      <c r="J741">
        <f t="shared" si="14"/>
        <v>0</v>
      </c>
    </row>
    <row r="742" spans="8:10" x14ac:dyDescent="0.2">
      <c r="H742">
        <v>733</v>
      </c>
      <c r="I742" s="24">
        <v>3033086229.9130373</v>
      </c>
      <c r="J742">
        <f t="shared" si="14"/>
        <v>0</v>
      </c>
    </row>
    <row r="743" spans="8:10" x14ac:dyDescent="0.2">
      <c r="H743">
        <v>734</v>
      </c>
      <c r="I743" s="24">
        <v>3337470964.7845554</v>
      </c>
      <c r="J743">
        <f t="shared" si="14"/>
        <v>0</v>
      </c>
    </row>
    <row r="744" spans="8:10" x14ac:dyDescent="0.2">
      <c r="H744">
        <v>735</v>
      </c>
      <c r="I744" s="24">
        <v>2803492430.8336749</v>
      </c>
      <c r="J744">
        <f t="shared" si="14"/>
        <v>0</v>
      </c>
    </row>
    <row r="745" spans="8:10" x14ac:dyDescent="0.2">
      <c r="H745">
        <v>736</v>
      </c>
      <c r="I745" s="24">
        <v>3164574809.0083899</v>
      </c>
      <c r="J745">
        <f t="shared" si="14"/>
        <v>0</v>
      </c>
    </row>
    <row r="746" spans="8:10" x14ac:dyDescent="0.2">
      <c r="H746">
        <v>737</v>
      </c>
      <c r="I746" s="24">
        <v>3337836296.749486</v>
      </c>
      <c r="J746">
        <f t="shared" si="14"/>
        <v>0</v>
      </c>
    </row>
    <row r="747" spans="8:10" x14ac:dyDescent="0.2">
      <c r="H747">
        <v>738</v>
      </c>
      <c r="I747" s="24">
        <v>3066872933.174665</v>
      </c>
      <c r="J747">
        <f t="shared" si="14"/>
        <v>0</v>
      </c>
    </row>
    <row r="748" spans="8:10" x14ac:dyDescent="0.2">
      <c r="H748">
        <v>739</v>
      </c>
      <c r="I748" s="24">
        <v>2810717278.4470501</v>
      </c>
      <c r="J748">
        <f t="shared" si="14"/>
        <v>0</v>
      </c>
    </row>
    <row r="749" spans="8:10" x14ac:dyDescent="0.2">
      <c r="H749">
        <v>740</v>
      </c>
      <c r="I749" s="24">
        <v>3309448212.672173</v>
      </c>
      <c r="J749">
        <f t="shared" si="14"/>
        <v>0</v>
      </c>
    </row>
    <row r="750" spans="8:10" x14ac:dyDescent="0.2">
      <c r="H750">
        <v>741</v>
      </c>
      <c r="I750" s="24">
        <v>3019728741.7490034</v>
      </c>
      <c r="J750">
        <f t="shared" si="14"/>
        <v>0</v>
      </c>
    </row>
    <row r="751" spans="8:10" x14ac:dyDescent="0.2">
      <c r="H751">
        <v>742</v>
      </c>
      <c r="I751" s="24">
        <v>3117107301.9268851</v>
      </c>
      <c r="J751">
        <f t="shared" si="14"/>
        <v>0</v>
      </c>
    </row>
    <row r="752" spans="8:10" x14ac:dyDescent="0.2">
      <c r="H752">
        <v>743</v>
      </c>
      <c r="I752" s="24">
        <v>3032099341.0819635</v>
      </c>
      <c r="J752">
        <f t="shared" si="14"/>
        <v>0</v>
      </c>
    </row>
    <row r="753" spans="8:10" x14ac:dyDescent="0.2">
      <c r="H753">
        <v>744</v>
      </c>
      <c r="I753" s="24">
        <v>3319187141.0513515</v>
      </c>
      <c r="J753">
        <f t="shared" si="14"/>
        <v>0</v>
      </c>
    </row>
    <row r="754" spans="8:10" x14ac:dyDescent="0.2">
      <c r="H754">
        <v>745</v>
      </c>
      <c r="I754" s="24">
        <v>3229905455.6454272</v>
      </c>
      <c r="J754">
        <f t="shared" si="14"/>
        <v>0</v>
      </c>
    </row>
    <row r="755" spans="8:10" x14ac:dyDescent="0.2">
      <c r="H755">
        <v>746</v>
      </c>
      <c r="I755" s="24">
        <v>2967585860.0153742</v>
      </c>
      <c r="J755">
        <f t="shared" si="14"/>
        <v>0</v>
      </c>
    </row>
    <row r="756" spans="8:10" x14ac:dyDescent="0.2">
      <c r="H756">
        <v>747</v>
      </c>
      <c r="I756" s="24">
        <v>3123005343.2414336</v>
      </c>
      <c r="J756">
        <f t="shared" si="14"/>
        <v>0</v>
      </c>
    </row>
    <row r="757" spans="8:10" x14ac:dyDescent="0.2">
      <c r="H757">
        <v>748</v>
      </c>
      <c r="I757" s="24">
        <v>3066465536.9883347</v>
      </c>
      <c r="J757">
        <f t="shared" si="14"/>
        <v>0</v>
      </c>
    </row>
    <row r="758" spans="8:10" x14ac:dyDescent="0.2">
      <c r="H758">
        <v>749</v>
      </c>
      <c r="I758" s="24">
        <v>3336771343.7751956</v>
      </c>
      <c r="J758">
        <f t="shared" si="14"/>
        <v>0</v>
      </c>
    </row>
    <row r="759" spans="8:10" x14ac:dyDescent="0.2">
      <c r="H759">
        <v>750</v>
      </c>
      <c r="I759" s="24">
        <v>2773468433.0743208</v>
      </c>
      <c r="J759">
        <f t="shared" si="14"/>
        <v>0</v>
      </c>
    </row>
    <row r="760" spans="8:10" x14ac:dyDescent="0.2">
      <c r="H760">
        <v>751</v>
      </c>
      <c r="I760" s="24">
        <v>3484596741.6756363</v>
      </c>
      <c r="J760">
        <f t="shared" si="14"/>
        <v>0</v>
      </c>
    </row>
    <row r="761" spans="8:10" x14ac:dyDescent="0.2">
      <c r="H761">
        <v>752</v>
      </c>
      <c r="I761" s="24">
        <v>3450880481.0382771</v>
      </c>
      <c r="J761">
        <f t="shared" si="14"/>
        <v>0</v>
      </c>
    </row>
    <row r="762" spans="8:10" x14ac:dyDescent="0.2">
      <c r="H762">
        <v>753</v>
      </c>
      <c r="I762" s="24">
        <v>2891884975.7301226</v>
      </c>
      <c r="J762">
        <f t="shared" si="14"/>
        <v>0</v>
      </c>
    </row>
    <row r="763" spans="8:10" x14ac:dyDescent="0.2">
      <c r="H763">
        <v>754</v>
      </c>
      <c r="I763" s="24">
        <v>3067413411.6338511</v>
      </c>
      <c r="J763">
        <f t="shared" si="14"/>
        <v>0</v>
      </c>
    </row>
    <row r="764" spans="8:10" x14ac:dyDescent="0.2">
      <c r="H764">
        <v>755</v>
      </c>
      <c r="I764" s="24">
        <v>3107851634.2392325</v>
      </c>
      <c r="J764">
        <f t="shared" si="14"/>
        <v>0</v>
      </c>
    </row>
    <row r="765" spans="8:10" x14ac:dyDescent="0.2">
      <c r="H765">
        <v>756</v>
      </c>
      <c r="I765" s="24">
        <v>2995743101.2104855</v>
      </c>
      <c r="J765">
        <f t="shared" si="14"/>
        <v>0</v>
      </c>
    </row>
    <row r="766" spans="8:10" x14ac:dyDescent="0.2">
      <c r="H766">
        <v>757</v>
      </c>
      <c r="I766" s="24">
        <v>3164454597.0546794</v>
      </c>
      <c r="J766">
        <f t="shared" si="14"/>
        <v>0</v>
      </c>
    </row>
    <row r="767" spans="8:10" x14ac:dyDescent="0.2">
      <c r="H767">
        <v>758</v>
      </c>
      <c r="I767" s="24">
        <v>3239087610.907095</v>
      </c>
      <c r="J767">
        <f t="shared" si="14"/>
        <v>0</v>
      </c>
    </row>
    <row r="768" spans="8:10" x14ac:dyDescent="0.2">
      <c r="H768">
        <v>759</v>
      </c>
      <c r="I768" s="24">
        <v>2958114342.177177</v>
      </c>
      <c r="J768">
        <f t="shared" si="14"/>
        <v>0</v>
      </c>
    </row>
    <row r="769" spans="8:10" x14ac:dyDescent="0.2">
      <c r="H769">
        <v>760</v>
      </c>
      <c r="I769" s="24">
        <v>3000018788.7336917</v>
      </c>
      <c r="J769">
        <f t="shared" si="14"/>
        <v>0</v>
      </c>
    </row>
    <row r="770" spans="8:10" x14ac:dyDescent="0.2">
      <c r="H770">
        <v>761</v>
      </c>
      <c r="I770" s="24">
        <v>3033446747.9464569</v>
      </c>
      <c r="J770">
        <f t="shared" si="14"/>
        <v>0</v>
      </c>
    </row>
    <row r="771" spans="8:10" x14ac:dyDescent="0.2">
      <c r="H771">
        <v>762</v>
      </c>
      <c r="I771" s="24">
        <v>3155626905.3112168</v>
      </c>
      <c r="J771">
        <f t="shared" si="14"/>
        <v>0</v>
      </c>
    </row>
    <row r="772" spans="8:10" x14ac:dyDescent="0.2">
      <c r="H772">
        <v>763</v>
      </c>
      <c r="I772" s="24">
        <v>3055941485.5159578</v>
      </c>
      <c r="J772">
        <f t="shared" si="14"/>
        <v>0</v>
      </c>
    </row>
    <row r="773" spans="8:10" x14ac:dyDescent="0.2">
      <c r="H773">
        <v>764</v>
      </c>
      <c r="I773" s="24">
        <v>3163272466.0795884</v>
      </c>
      <c r="J773">
        <f t="shared" si="14"/>
        <v>0</v>
      </c>
    </row>
    <row r="774" spans="8:10" x14ac:dyDescent="0.2">
      <c r="H774">
        <v>765</v>
      </c>
      <c r="I774" s="24">
        <v>3043442712.4463577</v>
      </c>
      <c r="J774">
        <f t="shared" si="14"/>
        <v>0</v>
      </c>
    </row>
    <row r="775" spans="8:10" x14ac:dyDescent="0.2">
      <c r="H775">
        <v>766</v>
      </c>
      <c r="I775" s="24">
        <v>3226571033.3992414</v>
      </c>
      <c r="J775">
        <f t="shared" si="14"/>
        <v>0</v>
      </c>
    </row>
    <row r="776" spans="8:10" x14ac:dyDescent="0.2">
      <c r="H776">
        <v>767</v>
      </c>
      <c r="I776" s="24">
        <v>3132507768.1554699</v>
      </c>
      <c r="J776">
        <f t="shared" si="14"/>
        <v>0</v>
      </c>
    </row>
    <row r="777" spans="8:10" x14ac:dyDescent="0.2">
      <c r="H777">
        <v>768</v>
      </c>
      <c r="I777" s="24">
        <v>3378316750.1243038</v>
      </c>
      <c r="J777">
        <f t="shared" si="14"/>
        <v>0</v>
      </c>
    </row>
    <row r="778" spans="8:10" x14ac:dyDescent="0.2">
      <c r="H778">
        <v>769</v>
      </c>
      <c r="I778" s="24">
        <v>3124329104.2611089</v>
      </c>
      <c r="J778">
        <f t="shared" si="14"/>
        <v>0</v>
      </c>
    </row>
    <row r="779" spans="8:10" x14ac:dyDescent="0.2">
      <c r="H779">
        <v>770</v>
      </c>
      <c r="I779" s="24">
        <v>2832893558.1267147</v>
      </c>
      <c r="J779">
        <f t="shared" ref="J779:J842" si="15">IF(I779&lt;1700000000,1,0)</f>
        <v>0</v>
      </c>
    </row>
    <row r="780" spans="8:10" x14ac:dyDescent="0.2">
      <c r="H780">
        <v>771</v>
      </c>
      <c r="I780" s="24">
        <v>3153611280.0002556</v>
      </c>
      <c r="J780">
        <f t="shared" si="15"/>
        <v>0</v>
      </c>
    </row>
    <row r="781" spans="8:10" x14ac:dyDescent="0.2">
      <c r="H781">
        <v>772</v>
      </c>
      <c r="I781" s="24">
        <v>3124108041.8286066</v>
      </c>
      <c r="J781">
        <f t="shared" si="15"/>
        <v>0</v>
      </c>
    </row>
    <row r="782" spans="8:10" x14ac:dyDescent="0.2">
      <c r="H782">
        <v>773</v>
      </c>
      <c r="I782" s="24">
        <v>3221791356.5614734</v>
      </c>
      <c r="J782">
        <f t="shared" si="15"/>
        <v>0</v>
      </c>
    </row>
    <row r="783" spans="8:10" x14ac:dyDescent="0.2">
      <c r="H783">
        <v>774</v>
      </c>
      <c r="I783" s="24">
        <v>3072873170.3400731</v>
      </c>
      <c r="J783">
        <f t="shared" si="15"/>
        <v>0</v>
      </c>
    </row>
    <row r="784" spans="8:10" x14ac:dyDescent="0.2">
      <c r="H784">
        <v>775</v>
      </c>
      <c r="I784" s="24">
        <v>3448106920.3392849</v>
      </c>
      <c r="J784">
        <f t="shared" si="15"/>
        <v>0</v>
      </c>
    </row>
    <row r="785" spans="8:10" x14ac:dyDescent="0.2">
      <c r="H785">
        <v>776</v>
      </c>
      <c r="I785" s="24">
        <v>3300247514.460443</v>
      </c>
      <c r="J785">
        <f t="shared" si="15"/>
        <v>0</v>
      </c>
    </row>
    <row r="786" spans="8:10" x14ac:dyDescent="0.2">
      <c r="H786">
        <v>777</v>
      </c>
      <c r="I786" s="24">
        <v>3132118606.3158646</v>
      </c>
      <c r="J786">
        <f t="shared" si="15"/>
        <v>0</v>
      </c>
    </row>
    <row r="787" spans="8:10" x14ac:dyDescent="0.2">
      <c r="H787">
        <v>778</v>
      </c>
      <c r="I787" s="24">
        <v>3438155550.5501685</v>
      </c>
      <c r="J787">
        <f t="shared" si="15"/>
        <v>0</v>
      </c>
    </row>
    <row r="788" spans="8:10" x14ac:dyDescent="0.2">
      <c r="H788">
        <v>779</v>
      </c>
      <c r="I788" s="24">
        <v>3165164627.1688581</v>
      </c>
      <c r="J788">
        <f t="shared" si="15"/>
        <v>0</v>
      </c>
    </row>
    <row r="789" spans="8:10" x14ac:dyDescent="0.2">
      <c r="H789">
        <v>780</v>
      </c>
      <c r="I789" s="24">
        <v>3211091449.8797522</v>
      </c>
      <c r="J789">
        <f t="shared" si="15"/>
        <v>0</v>
      </c>
    </row>
    <row r="790" spans="8:10" x14ac:dyDescent="0.2">
      <c r="H790">
        <v>781</v>
      </c>
      <c r="I790" s="24">
        <v>3011389335.1686778</v>
      </c>
      <c r="J790">
        <f t="shared" si="15"/>
        <v>0</v>
      </c>
    </row>
    <row r="791" spans="8:10" x14ac:dyDescent="0.2">
      <c r="H791">
        <v>782</v>
      </c>
      <c r="I791" s="24">
        <v>3045255541.2521539</v>
      </c>
      <c r="J791">
        <f t="shared" si="15"/>
        <v>0</v>
      </c>
    </row>
    <row r="792" spans="8:10" x14ac:dyDescent="0.2">
      <c r="H792">
        <v>783</v>
      </c>
      <c r="I792" s="24">
        <v>3245121775.310081</v>
      </c>
      <c r="J792">
        <f t="shared" si="15"/>
        <v>0</v>
      </c>
    </row>
    <row r="793" spans="8:10" x14ac:dyDescent="0.2">
      <c r="H793">
        <v>784</v>
      </c>
      <c r="I793" s="24">
        <v>3134053186.7577906</v>
      </c>
      <c r="J793">
        <f t="shared" si="15"/>
        <v>0</v>
      </c>
    </row>
    <row r="794" spans="8:10" x14ac:dyDescent="0.2">
      <c r="H794">
        <v>785</v>
      </c>
      <c r="I794" s="24">
        <v>3166522139.3230419</v>
      </c>
      <c r="J794">
        <f t="shared" si="15"/>
        <v>0</v>
      </c>
    </row>
    <row r="795" spans="8:10" x14ac:dyDescent="0.2">
      <c r="H795">
        <v>786</v>
      </c>
      <c r="I795" s="24">
        <v>3260029991.0828023</v>
      </c>
      <c r="J795">
        <f t="shared" si="15"/>
        <v>0</v>
      </c>
    </row>
    <row r="796" spans="8:10" x14ac:dyDescent="0.2">
      <c r="H796">
        <v>787</v>
      </c>
      <c r="I796" s="24">
        <v>3396528557.7128263</v>
      </c>
      <c r="J796">
        <f t="shared" si="15"/>
        <v>0</v>
      </c>
    </row>
    <row r="797" spans="8:10" x14ac:dyDescent="0.2">
      <c r="H797">
        <v>788</v>
      </c>
      <c r="I797" s="24">
        <v>3114653198.8644862</v>
      </c>
      <c r="J797">
        <f t="shared" si="15"/>
        <v>0</v>
      </c>
    </row>
    <row r="798" spans="8:10" x14ac:dyDescent="0.2">
      <c r="H798">
        <v>789</v>
      </c>
      <c r="I798" s="24">
        <v>3262706003.5865698</v>
      </c>
      <c r="J798">
        <f t="shared" si="15"/>
        <v>0</v>
      </c>
    </row>
    <row r="799" spans="8:10" x14ac:dyDescent="0.2">
      <c r="H799">
        <v>790</v>
      </c>
      <c r="I799" s="24">
        <v>2806249295.9544992</v>
      </c>
      <c r="J799">
        <f t="shared" si="15"/>
        <v>0</v>
      </c>
    </row>
    <row r="800" spans="8:10" x14ac:dyDescent="0.2">
      <c r="H800">
        <v>791</v>
      </c>
      <c r="I800" s="24">
        <v>3189215237.1172795</v>
      </c>
      <c r="J800">
        <f t="shared" si="15"/>
        <v>0</v>
      </c>
    </row>
    <row r="801" spans="8:10" x14ac:dyDescent="0.2">
      <c r="H801">
        <v>792</v>
      </c>
      <c r="I801" s="24">
        <v>3239358195.4571428</v>
      </c>
      <c r="J801">
        <f t="shared" si="15"/>
        <v>0</v>
      </c>
    </row>
    <row r="802" spans="8:10" x14ac:dyDescent="0.2">
      <c r="H802">
        <v>793</v>
      </c>
      <c r="I802" s="24">
        <v>3070049897.971066</v>
      </c>
      <c r="J802">
        <f t="shared" si="15"/>
        <v>0</v>
      </c>
    </row>
    <row r="803" spans="8:10" x14ac:dyDescent="0.2">
      <c r="H803">
        <v>794</v>
      </c>
      <c r="I803" s="24">
        <v>3016502276.4518194</v>
      </c>
      <c r="J803">
        <f t="shared" si="15"/>
        <v>0</v>
      </c>
    </row>
    <row r="804" spans="8:10" x14ac:dyDescent="0.2">
      <c r="H804">
        <v>795</v>
      </c>
      <c r="I804" s="24">
        <v>3235893122.7435231</v>
      </c>
      <c r="J804">
        <f t="shared" si="15"/>
        <v>0</v>
      </c>
    </row>
    <row r="805" spans="8:10" x14ac:dyDescent="0.2">
      <c r="H805">
        <v>796</v>
      </c>
      <c r="I805" s="24">
        <v>3074642095.1998358</v>
      </c>
      <c r="J805">
        <f t="shared" si="15"/>
        <v>0</v>
      </c>
    </row>
    <row r="806" spans="8:10" x14ac:dyDescent="0.2">
      <c r="H806">
        <v>797</v>
      </c>
      <c r="I806" s="24">
        <v>3173098422.3927231</v>
      </c>
      <c r="J806">
        <f t="shared" si="15"/>
        <v>0</v>
      </c>
    </row>
    <row r="807" spans="8:10" x14ac:dyDescent="0.2">
      <c r="H807">
        <v>798</v>
      </c>
      <c r="I807" s="24">
        <v>3235220091.0816698</v>
      </c>
      <c r="J807">
        <f t="shared" si="15"/>
        <v>0</v>
      </c>
    </row>
    <row r="808" spans="8:10" x14ac:dyDescent="0.2">
      <c r="H808">
        <v>799</v>
      </c>
      <c r="I808" s="24">
        <v>3334016392.4943109</v>
      </c>
      <c r="J808">
        <f t="shared" si="15"/>
        <v>0</v>
      </c>
    </row>
    <row r="809" spans="8:10" x14ac:dyDescent="0.2">
      <c r="H809">
        <v>800</v>
      </c>
      <c r="I809" s="24">
        <v>3177149709.0902052</v>
      </c>
      <c r="J809">
        <f t="shared" si="15"/>
        <v>0</v>
      </c>
    </row>
    <row r="810" spans="8:10" x14ac:dyDescent="0.2">
      <c r="H810">
        <v>801</v>
      </c>
      <c r="I810" s="24">
        <v>3225612721.0773749</v>
      </c>
      <c r="J810">
        <f t="shared" si="15"/>
        <v>0</v>
      </c>
    </row>
    <row r="811" spans="8:10" x14ac:dyDescent="0.2">
      <c r="H811">
        <v>802</v>
      </c>
      <c r="I811" s="24">
        <v>3251210428.2456522</v>
      </c>
      <c r="J811">
        <f t="shared" si="15"/>
        <v>0</v>
      </c>
    </row>
    <row r="812" spans="8:10" x14ac:dyDescent="0.2">
      <c r="H812">
        <v>803</v>
      </c>
      <c r="I812" s="24">
        <v>3250338181.6205196</v>
      </c>
      <c r="J812">
        <f t="shared" si="15"/>
        <v>0</v>
      </c>
    </row>
    <row r="813" spans="8:10" x14ac:dyDescent="0.2">
      <c r="H813">
        <v>804</v>
      </c>
      <c r="I813" s="24">
        <v>3196411814.1366487</v>
      </c>
      <c r="J813">
        <f t="shared" si="15"/>
        <v>0</v>
      </c>
    </row>
    <row r="814" spans="8:10" x14ac:dyDescent="0.2">
      <c r="H814">
        <v>805</v>
      </c>
      <c r="I814" s="24">
        <v>3240885076.9236813</v>
      </c>
      <c r="J814">
        <f t="shared" si="15"/>
        <v>0</v>
      </c>
    </row>
    <row r="815" spans="8:10" x14ac:dyDescent="0.2">
      <c r="H815">
        <v>806</v>
      </c>
      <c r="I815" s="24">
        <v>3149653370.2702122</v>
      </c>
      <c r="J815">
        <f t="shared" si="15"/>
        <v>0</v>
      </c>
    </row>
    <row r="816" spans="8:10" x14ac:dyDescent="0.2">
      <c r="H816">
        <v>807</v>
      </c>
      <c r="I816" s="24">
        <v>3183705276.6929941</v>
      </c>
      <c r="J816">
        <f t="shared" si="15"/>
        <v>0</v>
      </c>
    </row>
    <row r="817" spans="8:10" x14ac:dyDescent="0.2">
      <c r="H817">
        <v>808</v>
      </c>
      <c r="I817" s="24">
        <v>3115079035.0570149</v>
      </c>
      <c r="J817">
        <f t="shared" si="15"/>
        <v>0</v>
      </c>
    </row>
    <row r="818" spans="8:10" x14ac:dyDescent="0.2">
      <c r="H818">
        <v>809</v>
      </c>
      <c r="I818" s="24">
        <v>3276004109.4099956</v>
      </c>
      <c r="J818">
        <f t="shared" si="15"/>
        <v>0</v>
      </c>
    </row>
    <row r="819" spans="8:10" x14ac:dyDescent="0.2">
      <c r="H819">
        <v>810</v>
      </c>
      <c r="I819" s="24">
        <v>3185586022.8525243</v>
      </c>
      <c r="J819">
        <f t="shared" si="15"/>
        <v>0</v>
      </c>
    </row>
    <row r="820" spans="8:10" x14ac:dyDescent="0.2">
      <c r="H820">
        <v>811</v>
      </c>
      <c r="I820" s="24">
        <v>2997281952.0828252</v>
      </c>
      <c r="J820">
        <f t="shared" si="15"/>
        <v>0</v>
      </c>
    </row>
    <row r="821" spans="8:10" x14ac:dyDescent="0.2">
      <c r="H821">
        <v>812</v>
      </c>
      <c r="I821" s="24">
        <v>3107687979.0872984</v>
      </c>
      <c r="J821">
        <f t="shared" si="15"/>
        <v>0</v>
      </c>
    </row>
    <row r="822" spans="8:10" x14ac:dyDescent="0.2">
      <c r="H822">
        <v>813</v>
      </c>
      <c r="I822" s="24">
        <v>3363961406.2594943</v>
      </c>
      <c r="J822">
        <f t="shared" si="15"/>
        <v>0</v>
      </c>
    </row>
    <row r="823" spans="8:10" x14ac:dyDescent="0.2">
      <c r="H823">
        <v>814</v>
      </c>
      <c r="I823" s="24">
        <v>3096182325.0784898</v>
      </c>
      <c r="J823">
        <f t="shared" si="15"/>
        <v>0</v>
      </c>
    </row>
    <row r="824" spans="8:10" x14ac:dyDescent="0.2">
      <c r="H824">
        <v>815</v>
      </c>
      <c r="I824" s="24">
        <v>3199859035.8349738</v>
      </c>
      <c r="J824">
        <f t="shared" si="15"/>
        <v>0</v>
      </c>
    </row>
    <row r="825" spans="8:10" x14ac:dyDescent="0.2">
      <c r="H825">
        <v>816</v>
      </c>
      <c r="I825" s="24">
        <v>3409117816.7922983</v>
      </c>
      <c r="J825">
        <f t="shared" si="15"/>
        <v>0</v>
      </c>
    </row>
    <row r="826" spans="8:10" x14ac:dyDescent="0.2">
      <c r="H826">
        <v>817</v>
      </c>
      <c r="I826" s="24">
        <v>3046922186.5030127</v>
      </c>
      <c r="J826">
        <f t="shared" si="15"/>
        <v>0</v>
      </c>
    </row>
    <row r="827" spans="8:10" x14ac:dyDescent="0.2">
      <c r="H827">
        <v>818</v>
      </c>
      <c r="I827" s="24">
        <v>3260960932.6343565</v>
      </c>
      <c r="J827">
        <f t="shared" si="15"/>
        <v>0</v>
      </c>
    </row>
    <row r="828" spans="8:10" x14ac:dyDescent="0.2">
      <c r="H828">
        <v>819</v>
      </c>
      <c r="I828" s="24">
        <v>3288420240.6145716</v>
      </c>
      <c r="J828">
        <f t="shared" si="15"/>
        <v>0</v>
      </c>
    </row>
    <row r="829" spans="8:10" x14ac:dyDescent="0.2">
      <c r="H829">
        <v>820</v>
      </c>
      <c r="I829" s="24">
        <v>2976497722.959034</v>
      </c>
      <c r="J829">
        <f t="shared" si="15"/>
        <v>0</v>
      </c>
    </row>
    <row r="830" spans="8:10" x14ac:dyDescent="0.2">
      <c r="H830">
        <v>821</v>
      </c>
      <c r="I830" s="24">
        <v>3257210374.5712228</v>
      </c>
      <c r="J830">
        <f t="shared" si="15"/>
        <v>0</v>
      </c>
    </row>
    <row r="831" spans="8:10" x14ac:dyDescent="0.2">
      <c r="H831">
        <v>822</v>
      </c>
      <c r="I831" s="24">
        <v>3089885470.9513159</v>
      </c>
      <c r="J831">
        <f t="shared" si="15"/>
        <v>0</v>
      </c>
    </row>
    <row r="832" spans="8:10" x14ac:dyDescent="0.2">
      <c r="H832">
        <v>823</v>
      </c>
      <c r="I832" s="24">
        <v>3209967526.2064877</v>
      </c>
      <c r="J832">
        <f t="shared" si="15"/>
        <v>0</v>
      </c>
    </row>
    <row r="833" spans="8:10" x14ac:dyDescent="0.2">
      <c r="H833">
        <v>824</v>
      </c>
      <c r="I833" s="24">
        <v>3032568002.908567</v>
      </c>
      <c r="J833">
        <f t="shared" si="15"/>
        <v>0</v>
      </c>
    </row>
    <row r="834" spans="8:10" x14ac:dyDescent="0.2">
      <c r="H834">
        <v>825</v>
      </c>
      <c r="I834" s="24">
        <v>3274582203.2592778</v>
      </c>
      <c r="J834">
        <f t="shared" si="15"/>
        <v>0</v>
      </c>
    </row>
    <row r="835" spans="8:10" x14ac:dyDescent="0.2">
      <c r="H835">
        <v>826</v>
      </c>
      <c r="I835" s="24">
        <v>2941295390.7002459</v>
      </c>
      <c r="J835">
        <f t="shared" si="15"/>
        <v>0</v>
      </c>
    </row>
    <row r="836" spans="8:10" x14ac:dyDescent="0.2">
      <c r="H836">
        <v>827</v>
      </c>
      <c r="I836" s="24">
        <v>3020090664.0140219</v>
      </c>
      <c r="J836">
        <f t="shared" si="15"/>
        <v>0</v>
      </c>
    </row>
    <row r="837" spans="8:10" x14ac:dyDescent="0.2">
      <c r="H837">
        <v>828</v>
      </c>
      <c r="I837" s="24">
        <v>3260456145.9112616</v>
      </c>
      <c r="J837">
        <f t="shared" si="15"/>
        <v>0</v>
      </c>
    </row>
    <row r="838" spans="8:10" x14ac:dyDescent="0.2">
      <c r="H838">
        <v>829</v>
      </c>
      <c r="I838" s="24">
        <v>3193420853.4612374</v>
      </c>
      <c r="J838">
        <f t="shared" si="15"/>
        <v>0</v>
      </c>
    </row>
    <row r="839" spans="8:10" x14ac:dyDescent="0.2">
      <c r="H839">
        <v>830</v>
      </c>
      <c r="I839" s="24">
        <v>3325132165.2736673</v>
      </c>
      <c r="J839">
        <f t="shared" si="15"/>
        <v>0</v>
      </c>
    </row>
    <row r="840" spans="8:10" x14ac:dyDescent="0.2">
      <c r="H840">
        <v>831</v>
      </c>
      <c r="I840" s="24">
        <v>3187820730.3506198</v>
      </c>
      <c r="J840">
        <f t="shared" si="15"/>
        <v>0</v>
      </c>
    </row>
    <row r="841" spans="8:10" x14ac:dyDescent="0.2">
      <c r="H841">
        <v>832</v>
      </c>
      <c r="I841" s="24">
        <v>3234530764.8734097</v>
      </c>
      <c r="J841">
        <f t="shared" si="15"/>
        <v>0</v>
      </c>
    </row>
    <row r="842" spans="8:10" x14ac:dyDescent="0.2">
      <c r="H842">
        <v>833</v>
      </c>
      <c r="I842" s="24">
        <v>3156648664.237011</v>
      </c>
      <c r="J842">
        <f t="shared" si="15"/>
        <v>0</v>
      </c>
    </row>
    <row r="843" spans="8:10" x14ac:dyDescent="0.2">
      <c r="H843">
        <v>834</v>
      </c>
      <c r="I843" s="24">
        <v>3259302571.5717392</v>
      </c>
      <c r="J843">
        <f t="shared" ref="J843:J906" si="16">IF(I843&lt;1700000000,1,0)</f>
        <v>0</v>
      </c>
    </row>
    <row r="844" spans="8:10" x14ac:dyDescent="0.2">
      <c r="H844">
        <v>835</v>
      </c>
      <c r="I844" s="24">
        <v>3127276023.0475492</v>
      </c>
      <c r="J844">
        <f t="shared" si="16"/>
        <v>0</v>
      </c>
    </row>
    <row r="845" spans="8:10" x14ac:dyDescent="0.2">
      <c r="H845">
        <v>836</v>
      </c>
      <c r="I845" s="24">
        <v>3262041193.5184622</v>
      </c>
      <c r="J845">
        <f t="shared" si="16"/>
        <v>0</v>
      </c>
    </row>
    <row r="846" spans="8:10" x14ac:dyDescent="0.2">
      <c r="H846">
        <v>837</v>
      </c>
      <c r="I846" s="24">
        <v>3498811954.0708714</v>
      </c>
      <c r="J846">
        <f t="shared" si="16"/>
        <v>0</v>
      </c>
    </row>
    <row r="847" spans="8:10" x14ac:dyDescent="0.2">
      <c r="H847">
        <v>838</v>
      </c>
      <c r="I847" s="24">
        <v>3076925981.6304412</v>
      </c>
      <c r="J847">
        <f t="shared" si="16"/>
        <v>0</v>
      </c>
    </row>
    <row r="848" spans="8:10" x14ac:dyDescent="0.2">
      <c r="H848">
        <v>839</v>
      </c>
      <c r="I848" s="24">
        <v>3026937424.3497486</v>
      </c>
      <c r="J848">
        <f t="shared" si="16"/>
        <v>0</v>
      </c>
    </row>
    <row r="849" spans="8:10" x14ac:dyDescent="0.2">
      <c r="H849">
        <v>840</v>
      </c>
      <c r="I849" s="24">
        <v>3125134289.4105859</v>
      </c>
      <c r="J849">
        <f t="shared" si="16"/>
        <v>0</v>
      </c>
    </row>
    <row r="850" spans="8:10" x14ac:dyDescent="0.2">
      <c r="H850">
        <v>841</v>
      </c>
      <c r="I850" s="24">
        <v>3358666566.3843284</v>
      </c>
      <c r="J850">
        <f t="shared" si="16"/>
        <v>0</v>
      </c>
    </row>
    <row r="851" spans="8:10" x14ac:dyDescent="0.2">
      <c r="H851">
        <v>842</v>
      </c>
      <c r="I851" s="24">
        <v>3350553289.5975657</v>
      </c>
      <c r="J851">
        <f t="shared" si="16"/>
        <v>0</v>
      </c>
    </row>
    <row r="852" spans="8:10" x14ac:dyDescent="0.2">
      <c r="H852">
        <v>843</v>
      </c>
      <c r="I852" s="24">
        <v>3162124954.9848399</v>
      </c>
      <c r="J852">
        <f t="shared" si="16"/>
        <v>0</v>
      </c>
    </row>
    <row r="853" spans="8:10" x14ac:dyDescent="0.2">
      <c r="H853">
        <v>844</v>
      </c>
      <c r="I853" s="24">
        <v>3186699695.302506</v>
      </c>
      <c r="J853">
        <f t="shared" si="16"/>
        <v>0</v>
      </c>
    </row>
    <row r="854" spans="8:10" x14ac:dyDescent="0.2">
      <c r="H854">
        <v>845</v>
      </c>
      <c r="I854" s="24">
        <v>3083994824.0619802</v>
      </c>
      <c r="J854">
        <f t="shared" si="16"/>
        <v>0</v>
      </c>
    </row>
    <row r="855" spans="8:10" x14ac:dyDescent="0.2">
      <c r="H855">
        <v>846</v>
      </c>
      <c r="I855" s="24">
        <v>2994370229.7204695</v>
      </c>
      <c r="J855">
        <f t="shared" si="16"/>
        <v>0</v>
      </c>
    </row>
    <row r="856" spans="8:10" x14ac:dyDescent="0.2">
      <c r="H856">
        <v>847</v>
      </c>
      <c r="I856" s="24">
        <v>3096556482.8143325</v>
      </c>
      <c r="J856">
        <f t="shared" si="16"/>
        <v>0</v>
      </c>
    </row>
    <row r="857" spans="8:10" x14ac:dyDescent="0.2">
      <c r="H857">
        <v>848</v>
      </c>
      <c r="I857" s="24">
        <v>2911594031.186192</v>
      </c>
      <c r="J857">
        <f t="shared" si="16"/>
        <v>0</v>
      </c>
    </row>
    <row r="858" spans="8:10" x14ac:dyDescent="0.2">
      <c r="H858">
        <v>849</v>
      </c>
      <c r="I858" s="24">
        <v>3392456228.0734906</v>
      </c>
      <c r="J858">
        <f t="shared" si="16"/>
        <v>0</v>
      </c>
    </row>
    <row r="859" spans="8:10" x14ac:dyDescent="0.2">
      <c r="H859">
        <v>850</v>
      </c>
      <c r="I859" s="24">
        <v>3128614089.6166158</v>
      </c>
      <c r="J859">
        <f t="shared" si="16"/>
        <v>0</v>
      </c>
    </row>
    <row r="860" spans="8:10" x14ac:dyDescent="0.2">
      <c r="H860">
        <v>851</v>
      </c>
      <c r="I860" s="24">
        <v>3312549011.3036928</v>
      </c>
      <c r="J860">
        <f t="shared" si="16"/>
        <v>0</v>
      </c>
    </row>
    <row r="861" spans="8:10" x14ac:dyDescent="0.2">
      <c r="H861">
        <v>852</v>
      </c>
      <c r="I861" s="24">
        <v>3228518202.3446732</v>
      </c>
      <c r="J861">
        <f t="shared" si="16"/>
        <v>0</v>
      </c>
    </row>
    <row r="862" spans="8:10" x14ac:dyDescent="0.2">
      <c r="H862">
        <v>853</v>
      </c>
      <c r="I862" s="24">
        <v>3319724420.1965213</v>
      </c>
      <c r="J862">
        <f t="shared" si="16"/>
        <v>0</v>
      </c>
    </row>
    <row r="863" spans="8:10" x14ac:dyDescent="0.2">
      <c r="H863">
        <v>854</v>
      </c>
      <c r="I863" s="24">
        <v>3473794249.4352827</v>
      </c>
      <c r="J863">
        <f t="shared" si="16"/>
        <v>0</v>
      </c>
    </row>
    <row r="864" spans="8:10" x14ac:dyDescent="0.2">
      <c r="H864">
        <v>855</v>
      </c>
      <c r="I864" s="24">
        <v>3288527072.5079718</v>
      </c>
      <c r="J864">
        <f t="shared" si="16"/>
        <v>0</v>
      </c>
    </row>
    <row r="865" spans="8:10" x14ac:dyDescent="0.2">
      <c r="H865">
        <v>856</v>
      </c>
      <c r="I865" s="24">
        <v>3250560283.2420359</v>
      </c>
      <c r="J865">
        <f t="shared" si="16"/>
        <v>0</v>
      </c>
    </row>
    <row r="866" spans="8:10" x14ac:dyDescent="0.2">
      <c r="H866">
        <v>857</v>
      </c>
      <c r="I866" s="24">
        <v>3111844462.4545398</v>
      </c>
      <c r="J866">
        <f t="shared" si="16"/>
        <v>0</v>
      </c>
    </row>
    <row r="867" spans="8:10" x14ac:dyDescent="0.2">
      <c r="H867">
        <v>858</v>
      </c>
      <c r="I867" s="24">
        <v>2888798468.5805464</v>
      </c>
      <c r="J867">
        <f t="shared" si="16"/>
        <v>0</v>
      </c>
    </row>
    <row r="868" spans="8:10" x14ac:dyDescent="0.2">
      <c r="H868">
        <v>859</v>
      </c>
      <c r="I868" s="24">
        <v>3430155255.8260021</v>
      </c>
      <c r="J868">
        <f t="shared" si="16"/>
        <v>0</v>
      </c>
    </row>
    <row r="869" spans="8:10" x14ac:dyDescent="0.2">
      <c r="H869">
        <v>860</v>
      </c>
      <c r="I869" s="24">
        <v>3268218311.8855591</v>
      </c>
      <c r="J869">
        <f t="shared" si="16"/>
        <v>0</v>
      </c>
    </row>
    <row r="870" spans="8:10" x14ac:dyDescent="0.2">
      <c r="H870">
        <v>861</v>
      </c>
      <c r="I870" s="24">
        <v>3334117080.6209068</v>
      </c>
      <c r="J870">
        <f t="shared" si="16"/>
        <v>0</v>
      </c>
    </row>
    <row r="871" spans="8:10" x14ac:dyDescent="0.2">
      <c r="H871">
        <v>862</v>
      </c>
      <c r="I871" s="24">
        <v>3064434213.4826279</v>
      </c>
      <c r="J871">
        <f t="shared" si="16"/>
        <v>0</v>
      </c>
    </row>
    <row r="872" spans="8:10" x14ac:dyDescent="0.2">
      <c r="H872">
        <v>863</v>
      </c>
      <c r="I872" s="24">
        <v>3147936256.3075271</v>
      </c>
      <c r="J872">
        <f t="shared" si="16"/>
        <v>0</v>
      </c>
    </row>
    <row r="873" spans="8:10" x14ac:dyDescent="0.2">
      <c r="H873">
        <v>864</v>
      </c>
      <c r="I873" s="24">
        <v>3242831440.2406578</v>
      </c>
      <c r="J873">
        <f t="shared" si="16"/>
        <v>0</v>
      </c>
    </row>
    <row r="874" spans="8:10" x14ac:dyDescent="0.2">
      <c r="H874">
        <v>865</v>
      </c>
      <c r="I874" s="24">
        <v>3231609354.3812175</v>
      </c>
      <c r="J874">
        <f t="shared" si="16"/>
        <v>0</v>
      </c>
    </row>
    <row r="875" spans="8:10" x14ac:dyDescent="0.2">
      <c r="H875">
        <v>866</v>
      </c>
      <c r="I875" s="24">
        <v>3424964388.1143284</v>
      </c>
      <c r="J875">
        <f t="shared" si="16"/>
        <v>0</v>
      </c>
    </row>
    <row r="876" spans="8:10" x14ac:dyDescent="0.2">
      <c r="H876">
        <v>867</v>
      </c>
      <c r="I876" s="24">
        <v>3132850538.3962564</v>
      </c>
      <c r="J876">
        <f t="shared" si="16"/>
        <v>0</v>
      </c>
    </row>
    <row r="877" spans="8:10" x14ac:dyDescent="0.2">
      <c r="H877">
        <v>868</v>
      </c>
      <c r="I877" s="24">
        <v>2915231056.3460798</v>
      </c>
      <c r="J877">
        <f t="shared" si="16"/>
        <v>0</v>
      </c>
    </row>
    <row r="878" spans="8:10" x14ac:dyDescent="0.2">
      <c r="H878">
        <v>869</v>
      </c>
      <c r="I878" s="24">
        <v>3126571613.6705332</v>
      </c>
      <c r="J878">
        <f t="shared" si="16"/>
        <v>0</v>
      </c>
    </row>
    <row r="879" spans="8:10" x14ac:dyDescent="0.2">
      <c r="H879">
        <v>870</v>
      </c>
      <c r="I879" s="24">
        <v>3351433864.0947371</v>
      </c>
      <c r="J879">
        <f t="shared" si="16"/>
        <v>0</v>
      </c>
    </row>
    <row r="880" spans="8:10" x14ac:dyDescent="0.2">
      <c r="H880">
        <v>871</v>
      </c>
      <c r="I880" s="24">
        <v>3216786578.3665309</v>
      </c>
      <c r="J880">
        <f t="shared" si="16"/>
        <v>0</v>
      </c>
    </row>
    <row r="881" spans="8:10" x14ac:dyDescent="0.2">
      <c r="H881">
        <v>872</v>
      </c>
      <c r="I881" s="24">
        <v>3149679176.574573</v>
      </c>
      <c r="J881">
        <f t="shared" si="16"/>
        <v>0</v>
      </c>
    </row>
    <row r="882" spans="8:10" x14ac:dyDescent="0.2">
      <c r="H882">
        <v>873</v>
      </c>
      <c r="I882" s="24">
        <v>3238398727.1160746</v>
      </c>
      <c r="J882">
        <f t="shared" si="16"/>
        <v>0</v>
      </c>
    </row>
    <row r="883" spans="8:10" x14ac:dyDescent="0.2">
      <c r="H883">
        <v>874</v>
      </c>
      <c r="I883" s="24">
        <v>3260575215.6973004</v>
      </c>
      <c r="J883">
        <f t="shared" si="16"/>
        <v>0</v>
      </c>
    </row>
    <row r="884" spans="8:10" x14ac:dyDescent="0.2">
      <c r="H884">
        <v>875</v>
      </c>
      <c r="I884" s="24">
        <v>3248603218.9846373</v>
      </c>
      <c r="J884">
        <f t="shared" si="16"/>
        <v>0</v>
      </c>
    </row>
    <row r="885" spans="8:10" x14ac:dyDescent="0.2">
      <c r="H885">
        <v>876</v>
      </c>
      <c r="I885" s="24">
        <v>3135438213.5715461</v>
      </c>
      <c r="J885">
        <f t="shared" si="16"/>
        <v>0</v>
      </c>
    </row>
    <row r="886" spans="8:10" x14ac:dyDescent="0.2">
      <c r="H886">
        <v>877</v>
      </c>
      <c r="I886" s="24">
        <v>2999518429.6571293</v>
      </c>
      <c r="J886">
        <f t="shared" si="16"/>
        <v>0</v>
      </c>
    </row>
    <row r="887" spans="8:10" x14ac:dyDescent="0.2">
      <c r="H887">
        <v>878</v>
      </c>
      <c r="I887" s="24">
        <v>3104813115.8387718</v>
      </c>
      <c r="J887">
        <f t="shared" si="16"/>
        <v>0</v>
      </c>
    </row>
    <row r="888" spans="8:10" x14ac:dyDescent="0.2">
      <c r="H888">
        <v>879</v>
      </c>
      <c r="I888" s="24">
        <v>3053072848.3452673</v>
      </c>
      <c r="J888">
        <f t="shared" si="16"/>
        <v>0</v>
      </c>
    </row>
    <row r="889" spans="8:10" x14ac:dyDescent="0.2">
      <c r="H889">
        <v>880</v>
      </c>
      <c r="I889" s="24">
        <v>3256567033.880806</v>
      </c>
      <c r="J889">
        <f t="shared" si="16"/>
        <v>0</v>
      </c>
    </row>
    <row r="890" spans="8:10" x14ac:dyDescent="0.2">
      <c r="H890">
        <v>881</v>
      </c>
      <c r="I890" s="24">
        <v>3128268353.0814734</v>
      </c>
      <c r="J890">
        <f t="shared" si="16"/>
        <v>0</v>
      </c>
    </row>
    <row r="891" spans="8:10" x14ac:dyDescent="0.2">
      <c r="H891">
        <v>882</v>
      </c>
      <c r="I891" s="24">
        <v>2897350637.0542727</v>
      </c>
      <c r="J891">
        <f t="shared" si="16"/>
        <v>0</v>
      </c>
    </row>
    <row r="892" spans="8:10" x14ac:dyDescent="0.2">
      <c r="H892">
        <v>883</v>
      </c>
      <c r="I892" s="24">
        <v>3041274811.6219149</v>
      </c>
      <c r="J892">
        <f t="shared" si="16"/>
        <v>0</v>
      </c>
    </row>
    <row r="893" spans="8:10" x14ac:dyDescent="0.2">
      <c r="H893">
        <v>884</v>
      </c>
      <c r="I893" s="24">
        <v>3064391796.6657538</v>
      </c>
      <c r="J893">
        <f t="shared" si="16"/>
        <v>0</v>
      </c>
    </row>
    <row r="894" spans="8:10" x14ac:dyDescent="0.2">
      <c r="H894">
        <v>885</v>
      </c>
      <c r="I894" s="24">
        <v>3113727517.8782296</v>
      </c>
      <c r="J894">
        <f t="shared" si="16"/>
        <v>0</v>
      </c>
    </row>
    <row r="895" spans="8:10" x14ac:dyDescent="0.2">
      <c r="H895">
        <v>886</v>
      </c>
      <c r="I895" s="24">
        <v>2897543892.9193625</v>
      </c>
      <c r="J895">
        <f t="shared" si="16"/>
        <v>0</v>
      </c>
    </row>
    <row r="896" spans="8:10" x14ac:dyDescent="0.2">
      <c r="H896">
        <v>887</v>
      </c>
      <c r="I896" s="24">
        <v>2779909462.6465225</v>
      </c>
      <c r="J896">
        <f t="shared" si="16"/>
        <v>0</v>
      </c>
    </row>
    <row r="897" spans="8:10" x14ac:dyDescent="0.2">
      <c r="H897">
        <v>888</v>
      </c>
      <c r="I897" s="24">
        <v>3217532122.1105556</v>
      </c>
      <c r="J897">
        <f t="shared" si="16"/>
        <v>0</v>
      </c>
    </row>
    <row r="898" spans="8:10" x14ac:dyDescent="0.2">
      <c r="H898">
        <v>889</v>
      </c>
      <c r="I898" s="24">
        <v>3081585863.224309</v>
      </c>
      <c r="J898">
        <f t="shared" si="16"/>
        <v>0</v>
      </c>
    </row>
    <row r="899" spans="8:10" x14ac:dyDescent="0.2">
      <c r="H899">
        <v>890</v>
      </c>
      <c r="I899" s="24">
        <v>3106714045.2190213</v>
      </c>
      <c r="J899">
        <f t="shared" si="16"/>
        <v>0</v>
      </c>
    </row>
    <row r="900" spans="8:10" x14ac:dyDescent="0.2">
      <c r="H900">
        <v>891</v>
      </c>
      <c r="I900" s="24">
        <v>3279937545.7612405</v>
      </c>
      <c r="J900">
        <f t="shared" si="16"/>
        <v>0</v>
      </c>
    </row>
    <row r="901" spans="8:10" x14ac:dyDescent="0.2">
      <c r="H901">
        <v>892</v>
      </c>
      <c r="I901" s="24">
        <v>3114423334.8438606</v>
      </c>
      <c r="J901">
        <f t="shared" si="16"/>
        <v>0</v>
      </c>
    </row>
    <row r="902" spans="8:10" x14ac:dyDescent="0.2">
      <c r="H902">
        <v>893</v>
      </c>
      <c r="I902" s="24">
        <v>2942040546.5992756</v>
      </c>
      <c r="J902">
        <f t="shared" si="16"/>
        <v>0</v>
      </c>
    </row>
    <row r="903" spans="8:10" x14ac:dyDescent="0.2">
      <c r="H903">
        <v>894</v>
      </c>
      <c r="I903" s="24">
        <v>3080836933.4674773</v>
      </c>
      <c r="J903">
        <f t="shared" si="16"/>
        <v>0</v>
      </c>
    </row>
    <row r="904" spans="8:10" x14ac:dyDescent="0.2">
      <c r="H904">
        <v>895</v>
      </c>
      <c r="I904" s="24">
        <v>3003138044.9177265</v>
      </c>
      <c r="J904">
        <f t="shared" si="16"/>
        <v>0</v>
      </c>
    </row>
    <row r="905" spans="8:10" x14ac:dyDescent="0.2">
      <c r="H905">
        <v>896</v>
      </c>
      <c r="I905" s="24">
        <v>2975880521.5457907</v>
      </c>
      <c r="J905">
        <f t="shared" si="16"/>
        <v>0</v>
      </c>
    </row>
    <row r="906" spans="8:10" x14ac:dyDescent="0.2">
      <c r="H906">
        <v>897</v>
      </c>
      <c r="I906" s="24">
        <v>3489498983.5379276</v>
      </c>
      <c r="J906">
        <f t="shared" si="16"/>
        <v>0</v>
      </c>
    </row>
    <row r="907" spans="8:10" x14ac:dyDescent="0.2">
      <c r="H907">
        <v>898</v>
      </c>
      <c r="I907" s="24">
        <v>3181869632.8868327</v>
      </c>
      <c r="J907">
        <f t="shared" ref="J907:J970" si="17">IF(I907&lt;1700000000,1,0)</f>
        <v>0</v>
      </c>
    </row>
    <row r="908" spans="8:10" x14ac:dyDescent="0.2">
      <c r="H908">
        <v>899</v>
      </c>
      <c r="I908" s="24">
        <v>3113871997.0951328</v>
      </c>
      <c r="J908">
        <f t="shared" si="17"/>
        <v>0</v>
      </c>
    </row>
    <row r="909" spans="8:10" x14ac:dyDescent="0.2">
      <c r="H909">
        <v>900</v>
      </c>
      <c r="I909" s="24">
        <v>3164382891.4919276</v>
      </c>
      <c r="J909">
        <f t="shared" si="17"/>
        <v>0</v>
      </c>
    </row>
    <row r="910" spans="8:10" x14ac:dyDescent="0.2">
      <c r="H910">
        <v>901</v>
      </c>
      <c r="I910" s="24">
        <v>2980626109.449192</v>
      </c>
      <c r="J910">
        <f t="shared" si="17"/>
        <v>0</v>
      </c>
    </row>
    <row r="911" spans="8:10" x14ac:dyDescent="0.2">
      <c r="H911">
        <v>902</v>
      </c>
      <c r="I911" s="24">
        <v>3537386539.1961827</v>
      </c>
      <c r="J911">
        <f t="shared" si="17"/>
        <v>0</v>
      </c>
    </row>
    <row r="912" spans="8:10" x14ac:dyDescent="0.2">
      <c r="H912">
        <v>903</v>
      </c>
      <c r="I912" s="24">
        <v>3206605077.0919838</v>
      </c>
      <c r="J912">
        <f t="shared" si="17"/>
        <v>0</v>
      </c>
    </row>
    <row r="913" spans="8:10" x14ac:dyDescent="0.2">
      <c r="H913">
        <v>904</v>
      </c>
      <c r="I913" s="24">
        <v>3143031221.1042066</v>
      </c>
      <c r="J913">
        <f t="shared" si="17"/>
        <v>0</v>
      </c>
    </row>
    <row r="914" spans="8:10" x14ac:dyDescent="0.2">
      <c r="H914">
        <v>905</v>
      </c>
      <c r="I914" s="24">
        <v>3094975670.5343242</v>
      </c>
      <c r="J914">
        <f t="shared" si="17"/>
        <v>0</v>
      </c>
    </row>
    <row r="915" spans="8:10" x14ac:dyDescent="0.2">
      <c r="H915">
        <v>906</v>
      </c>
      <c r="I915" s="24">
        <v>2918147242.8815536</v>
      </c>
      <c r="J915">
        <f t="shared" si="17"/>
        <v>0</v>
      </c>
    </row>
    <row r="916" spans="8:10" x14ac:dyDescent="0.2">
      <c r="H916">
        <v>907</v>
      </c>
      <c r="I916" s="24">
        <v>3314491137.8110442</v>
      </c>
      <c r="J916">
        <f t="shared" si="17"/>
        <v>0</v>
      </c>
    </row>
    <row r="917" spans="8:10" x14ac:dyDescent="0.2">
      <c r="H917">
        <v>908</v>
      </c>
      <c r="I917" s="24">
        <v>3115201933.5047688</v>
      </c>
      <c r="J917">
        <f t="shared" si="17"/>
        <v>0</v>
      </c>
    </row>
    <row r="918" spans="8:10" x14ac:dyDescent="0.2">
      <c r="H918">
        <v>909</v>
      </c>
      <c r="I918" s="24">
        <v>2954548434.8823557</v>
      </c>
      <c r="J918">
        <f t="shared" si="17"/>
        <v>0</v>
      </c>
    </row>
    <row r="919" spans="8:10" x14ac:dyDescent="0.2">
      <c r="H919">
        <v>910</v>
      </c>
      <c r="I919" s="24">
        <v>3117618651.1989517</v>
      </c>
      <c r="J919">
        <f t="shared" si="17"/>
        <v>0</v>
      </c>
    </row>
    <row r="920" spans="8:10" x14ac:dyDescent="0.2">
      <c r="H920">
        <v>911</v>
      </c>
      <c r="I920" s="24">
        <v>3289144486.2915249</v>
      </c>
      <c r="J920">
        <f t="shared" si="17"/>
        <v>0</v>
      </c>
    </row>
    <row r="921" spans="8:10" x14ac:dyDescent="0.2">
      <c r="H921">
        <v>912</v>
      </c>
      <c r="I921" s="24">
        <v>3067520249.2761531</v>
      </c>
      <c r="J921">
        <f t="shared" si="17"/>
        <v>0</v>
      </c>
    </row>
    <row r="922" spans="8:10" x14ac:dyDescent="0.2">
      <c r="H922">
        <v>913</v>
      </c>
      <c r="I922" s="24">
        <v>3228554405.2683616</v>
      </c>
      <c r="J922">
        <f t="shared" si="17"/>
        <v>0</v>
      </c>
    </row>
    <row r="923" spans="8:10" x14ac:dyDescent="0.2">
      <c r="H923">
        <v>914</v>
      </c>
      <c r="I923" s="24">
        <v>3411590480.5375557</v>
      </c>
      <c r="J923">
        <f t="shared" si="17"/>
        <v>0</v>
      </c>
    </row>
    <row r="924" spans="8:10" x14ac:dyDescent="0.2">
      <c r="H924">
        <v>915</v>
      </c>
      <c r="I924" s="24">
        <v>3097057669.1919084</v>
      </c>
      <c r="J924">
        <f t="shared" si="17"/>
        <v>0</v>
      </c>
    </row>
    <row r="925" spans="8:10" x14ac:dyDescent="0.2">
      <c r="H925">
        <v>916</v>
      </c>
      <c r="I925" s="24">
        <v>2968839600.6919417</v>
      </c>
      <c r="J925">
        <f t="shared" si="17"/>
        <v>0</v>
      </c>
    </row>
    <row r="926" spans="8:10" x14ac:dyDescent="0.2">
      <c r="H926">
        <v>917</v>
      </c>
      <c r="I926" s="24">
        <v>3187243457.267437</v>
      </c>
      <c r="J926">
        <f t="shared" si="17"/>
        <v>0</v>
      </c>
    </row>
    <row r="927" spans="8:10" x14ac:dyDescent="0.2">
      <c r="H927">
        <v>918</v>
      </c>
      <c r="I927" s="24">
        <v>3508470283.7131071</v>
      </c>
      <c r="J927">
        <f t="shared" si="17"/>
        <v>0</v>
      </c>
    </row>
    <row r="928" spans="8:10" x14ac:dyDescent="0.2">
      <c r="H928">
        <v>919</v>
      </c>
      <c r="I928" s="24">
        <v>3216253154.0383458</v>
      </c>
      <c r="J928">
        <f t="shared" si="17"/>
        <v>0</v>
      </c>
    </row>
    <row r="929" spans="8:10" x14ac:dyDescent="0.2">
      <c r="H929">
        <v>920</v>
      </c>
      <c r="I929" s="24">
        <v>3173508559.1977124</v>
      </c>
      <c r="J929">
        <f t="shared" si="17"/>
        <v>0</v>
      </c>
    </row>
    <row r="930" spans="8:10" x14ac:dyDescent="0.2">
      <c r="H930">
        <v>921</v>
      </c>
      <c r="I930" s="24">
        <v>3336296483.5284019</v>
      </c>
      <c r="J930">
        <f t="shared" si="17"/>
        <v>0</v>
      </c>
    </row>
    <row r="931" spans="8:10" x14ac:dyDescent="0.2">
      <c r="H931">
        <v>922</v>
      </c>
      <c r="I931" s="24">
        <v>3050855405.7316051</v>
      </c>
      <c r="J931">
        <f t="shared" si="17"/>
        <v>0</v>
      </c>
    </row>
    <row r="932" spans="8:10" x14ac:dyDescent="0.2">
      <c r="H932">
        <v>923</v>
      </c>
      <c r="I932" s="24">
        <v>3249113853.524251</v>
      </c>
      <c r="J932">
        <f t="shared" si="17"/>
        <v>0</v>
      </c>
    </row>
    <row r="933" spans="8:10" x14ac:dyDescent="0.2">
      <c r="H933">
        <v>924</v>
      </c>
      <c r="I933" s="24">
        <v>3156809861.7660723</v>
      </c>
      <c r="J933">
        <f t="shared" si="17"/>
        <v>0</v>
      </c>
    </row>
    <row r="934" spans="8:10" x14ac:dyDescent="0.2">
      <c r="H934">
        <v>925</v>
      </c>
      <c r="I934" s="24">
        <v>3377401249.2423272</v>
      </c>
      <c r="J934">
        <f t="shared" si="17"/>
        <v>0</v>
      </c>
    </row>
    <row r="935" spans="8:10" x14ac:dyDescent="0.2">
      <c r="H935">
        <v>926</v>
      </c>
      <c r="I935" s="24">
        <v>3065127649.4247084</v>
      </c>
      <c r="J935">
        <f t="shared" si="17"/>
        <v>0</v>
      </c>
    </row>
    <row r="936" spans="8:10" x14ac:dyDescent="0.2">
      <c r="H936">
        <v>927</v>
      </c>
      <c r="I936" s="24">
        <v>3145757944.1835623</v>
      </c>
      <c r="J936">
        <f t="shared" si="17"/>
        <v>0</v>
      </c>
    </row>
    <row r="937" spans="8:10" x14ac:dyDescent="0.2">
      <c r="H937">
        <v>928</v>
      </c>
      <c r="I937" s="24">
        <v>3362942562.0265336</v>
      </c>
      <c r="J937">
        <f t="shared" si="17"/>
        <v>0</v>
      </c>
    </row>
    <row r="938" spans="8:10" x14ac:dyDescent="0.2">
      <c r="H938">
        <v>929</v>
      </c>
      <c r="I938" s="24">
        <v>3023666795.5399933</v>
      </c>
      <c r="J938">
        <f t="shared" si="17"/>
        <v>0</v>
      </c>
    </row>
    <row r="939" spans="8:10" x14ac:dyDescent="0.2">
      <c r="H939">
        <v>930</v>
      </c>
      <c r="I939" s="24">
        <v>3225333528.1111269</v>
      </c>
      <c r="J939">
        <f t="shared" si="17"/>
        <v>0</v>
      </c>
    </row>
    <row r="940" spans="8:10" x14ac:dyDescent="0.2">
      <c r="H940">
        <v>931</v>
      </c>
      <c r="I940" s="24">
        <v>3149060326.2397699</v>
      </c>
      <c r="J940">
        <f t="shared" si="17"/>
        <v>0</v>
      </c>
    </row>
    <row r="941" spans="8:10" x14ac:dyDescent="0.2">
      <c r="H941">
        <v>932</v>
      </c>
      <c r="I941" s="24">
        <v>3059828215.3182197</v>
      </c>
      <c r="J941">
        <f t="shared" si="17"/>
        <v>0</v>
      </c>
    </row>
    <row r="942" spans="8:10" x14ac:dyDescent="0.2">
      <c r="H942">
        <v>933</v>
      </c>
      <c r="I942" s="24">
        <v>3100276540.0941367</v>
      </c>
      <c r="J942">
        <f t="shared" si="17"/>
        <v>0</v>
      </c>
    </row>
    <row r="943" spans="8:10" x14ac:dyDescent="0.2">
      <c r="H943">
        <v>934</v>
      </c>
      <c r="I943" s="24">
        <v>3098329758.8203073</v>
      </c>
      <c r="J943">
        <f t="shared" si="17"/>
        <v>0</v>
      </c>
    </row>
    <row r="944" spans="8:10" x14ac:dyDescent="0.2">
      <c r="H944">
        <v>935</v>
      </c>
      <c r="I944" s="24">
        <v>3117603783.6518855</v>
      </c>
      <c r="J944">
        <f t="shared" si="17"/>
        <v>0</v>
      </c>
    </row>
    <row r="945" spans="8:10" x14ac:dyDescent="0.2">
      <c r="H945">
        <v>936</v>
      </c>
      <c r="I945" s="24">
        <v>2966645060.4250908</v>
      </c>
      <c r="J945">
        <f t="shared" si="17"/>
        <v>0</v>
      </c>
    </row>
    <row r="946" spans="8:10" x14ac:dyDescent="0.2">
      <c r="H946">
        <v>937</v>
      </c>
      <c r="I946" s="24">
        <v>3062324814.0448704</v>
      </c>
      <c r="J946">
        <f t="shared" si="17"/>
        <v>0</v>
      </c>
    </row>
    <row r="947" spans="8:10" x14ac:dyDescent="0.2">
      <c r="H947">
        <v>938</v>
      </c>
      <c r="I947" s="24">
        <v>3118704496.049922</v>
      </c>
      <c r="J947">
        <f t="shared" si="17"/>
        <v>0</v>
      </c>
    </row>
    <row r="948" spans="8:10" x14ac:dyDescent="0.2">
      <c r="H948">
        <v>939</v>
      </c>
      <c r="I948" s="24">
        <v>3404717725.8123407</v>
      </c>
      <c r="J948">
        <f t="shared" si="17"/>
        <v>0</v>
      </c>
    </row>
    <row r="949" spans="8:10" x14ac:dyDescent="0.2">
      <c r="H949">
        <v>940</v>
      </c>
      <c r="I949" s="24">
        <v>3075433506.1437559</v>
      </c>
      <c r="J949">
        <f t="shared" si="17"/>
        <v>0</v>
      </c>
    </row>
    <row r="950" spans="8:10" x14ac:dyDescent="0.2">
      <c r="H950">
        <v>941</v>
      </c>
      <c r="I950" s="24">
        <v>3243088373.1476541</v>
      </c>
      <c r="J950">
        <f t="shared" si="17"/>
        <v>0</v>
      </c>
    </row>
    <row r="951" spans="8:10" x14ac:dyDescent="0.2">
      <c r="H951">
        <v>942</v>
      </c>
      <c r="I951" s="24">
        <v>3054356399.1632018</v>
      </c>
      <c r="J951">
        <f t="shared" si="17"/>
        <v>0</v>
      </c>
    </row>
    <row r="952" spans="8:10" x14ac:dyDescent="0.2">
      <c r="H952">
        <v>943</v>
      </c>
      <c r="I952" s="24">
        <v>3363775891.1444473</v>
      </c>
      <c r="J952">
        <f t="shared" si="17"/>
        <v>0</v>
      </c>
    </row>
    <row r="953" spans="8:10" x14ac:dyDescent="0.2">
      <c r="H953">
        <v>944</v>
      </c>
      <c r="I953" s="24">
        <v>3319294437.2925925</v>
      </c>
      <c r="J953">
        <f t="shared" si="17"/>
        <v>0</v>
      </c>
    </row>
    <row r="954" spans="8:10" x14ac:dyDescent="0.2">
      <c r="H954">
        <v>945</v>
      </c>
      <c r="I954" s="24">
        <v>2968651594.5434856</v>
      </c>
      <c r="J954">
        <f t="shared" si="17"/>
        <v>0</v>
      </c>
    </row>
    <row r="955" spans="8:10" x14ac:dyDescent="0.2">
      <c r="H955">
        <v>946</v>
      </c>
      <c r="I955" s="24">
        <v>3288993739.4950862</v>
      </c>
      <c r="J955">
        <f t="shared" si="17"/>
        <v>0</v>
      </c>
    </row>
    <row r="956" spans="8:10" x14ac:dyDescent="0.2">
      <c r="H956">
        <v>947</v>
      </c>
      <c r="I956" s="24">
        <v>2877075600.7255187</v>
      </c>
      <c r="J956">
        <f t="shared" si="17"/>
        <v>0</v>
      </c>
    </row>
    <row r="957" spans="8:10" x14ac:dyDescent="0.2">
      <c r="H957">
        <v>948</v>
      </c>
      <c r="I957" s="24">
        <v>3165889307.9673848</v>
      </c>
      <c r="J957">
        <f t="shared" si="17"/>
        <v>0</v>
      </c>
    </row>
    <row r="958" spans="8:10" x14ac:dyDescent="0.2">
      <c r="H958">
        <v>949</v>
      </c>
      <c r="I958" s="24">
        <v>3042040650.8866286</v>
      </c>
      <c r="J958">
        <f t="shared" si="17"/>
        <v>0</v>
      </c>
    </row>
    <row r="959" spans="8:10" x14ac:dyDescent="0.2">
      <c r="H959">
        <v>950</v>
      </c>
      <c r="I959" s="24">
        <v>3168670192.5319333</v>
      </c>
      <c r="J959">
        <f t="shared" si="17"/>
        <v>0</v>
      </c>
    </row>
    <row r="960" spans="8:10" x14ac:dyDescent="0.2">
      <c r="H960">
        <v>951</v>
      </c>
      <c r="I960" s="24">
        <v>3478945768.8085952</v>
      </c>
      <c r="J960">
        <f t="shared" si="17"/>
        <v>0</v>
      </c>
    </row>
    <row r="961" spans="8:10" x14ac:dyDescent="0.2">
      <c r="H961">
        <v>952</v>
      </c>
      <c r="I961" s="24">
        <v>2905632529.1262403</v>
      </c>
      <c r="J961">
        <f t="shared" si="17"/>
        <v>0</v>
      </c>
    </row>
    <row r="962" spans="8:10" x14ac:dyDescent="0.2">
      <c r="H962">
        <v>953</v>
      </c>
      <c r="I962" s="24">
        <v>3130000481.3084641</v>
      </c>
      <c r="J962">
        <f t="shared" si="17"/>
        <v>0</v>
      </c>
    </row>
    <row r="963" spans="8:10" x14ac:dyDescent="0.2">
      <c r="H963">
        <v>954</v>
      </c>
      <c r="I963" s="24">
        <v>3048243508.8795972</v>
      </c>
      <c r="J963">
        <f t="shared" si="17"/>
        <v>0</v>
      </c>
    </row>
    <row r="964" spans="8:10" x14ac:dyDescent="0.2">
      <c r="H964">
        <v>955</v>
      </c>
      <c r="I964" s="24">
        <v>2885383015.6306481</v>
      </c>
      <c r="J964">
        <f t="shared" si="17"/>
        <v>0</v>
      </c>
    </row>
    <row r="965" spans="8:10" x14ac:dyDescent="0.2">
      <c r="H965">
        <v>956</v>
      </c>
      <c r="I965" s="24">
        <v>3252803425.7364817</v>
      </c>
      <c r="J965">
        <f t="shared" si="17"/>
        <v>0</v>
      </c>
    </row>
    <row r="966" spans="8:10" x14ac:dyDescent="0.2">
      <c r="H966">
        <v>957</v>
      </c>
      <c r="I966" s="24">
        <v>3268985145.174427</v>
      </c>
      <c r="J966">
        <f t="shared" si="17"/>
        <v>0</v>
      </c>
    </row>
    <row r="967" spans="8:10" x14ac:dyDescent="0.2">
      <c r="H967">
        <v>958</v>
      </c>
      <c r="I967" s="24">
        <v>3056409012.286027</v>
      </c>
      <c r="J967">
        <f t="shared" si="17"/>
        <v>0</v>
      </c>
    </row>
    <row r="968" spans="8:10" x14ac:dyDescent="0.2">
      <c r="H968">
        <v>959</v>
      </c>
      <c r="I968" s="24">
        <v>3100532247.142765</v>
      </c>
      <c r="J968">
        <f t="shared" si="17"/>
        <v>0</v>
      </c>
    </row>
    <row r="969" spans="8:10" x14ac:dyDescent="0.2">
      <c r="H969">
        <v>960</v>
      </c>
      <c r="I969" s="24">
        <v>3296781196.7569499</v>
      </c>
      <c r="J969">
        <f t="shared" si="17"/>
        <v>0</v>
      </c>
    </row>
    <row r="970" spans="8:10" x14ac:dyDescent="0.2">
      <c r="H970">
        <v>961</v>
      </c>
      <c r="I970" s="24">
        <v>3262776076.4116845</v>
      </c>
      <c r="J970">
        <f t="shared" si="17"/>
        <v>0</v>
      </c>
    </row>
    <row r="971" spans="8:10" x14ac:dyDescent="0.2">
      <c r="H971">
        <v>962</v>
      </c>
      <c r="I971" s="24">
        <v>3110375598.2682462</v>
      </c>
      <c r="J971">
        <f t="shared" ref="J971:J1009" si="18">IF(I971&lt;1700000000,1,0)</f>
        <v>0</v>
      </c>
    </row>
    <row r="972" spans="8:10" x14ac:dyDescent="0.2">
      <c r="H972">
        <v>963</v>
      </c>
      <c r="I972" s="24">
        <v>3255958194.2639914</v>
      </c>
      <c r="J972">
        <f t="shared" si="18"/>
        <v>0</v>
      </c>
    </row>
    <row r="973" spans="8:10" x14ac:dyDescent="0.2">
      <c r="H973">
        <v>964</v>
      </c>
      <c r="I973" s="24">
        <v>3275008077.9008799</v>
      </c>
      <c r="J973">
        <f t="shared" si="18"/>
        <v>0</v>
      </c>
    </row>
    <row r="974" spans="8:10" x14ac:dyDescent="0.2">
      <c r="H974">
        <v>965</v>
      </c>
      <c r="I974" s="24">
        <v>2968811005.9541526</v>
      </c>
      <c r="J974">
        <f t="shared" si="18"/>
        <v>0</v>
      </c>
    </row>
    <row r="975" spans="8:10" x14ac:dyDescent="0.2">
      <c r="H975">
        <v>966</v>
      </c>
      <c r="I975" s="24">
        <v>3126040256.2738566</v>
      </c>
      <c r="J975">
        <f t="shared" si="18"/>
        <v>0</v>
      </c>
    </row>
    <row r="976" spans="8:10" x14ac:dyDescent="0.2">
      <c r="H976">
        <v>967</v>
      </c>
      <c r="I976" s="24">
        <v>3323683093.7799668</v>
      </c>
      <c r="J976">
        <f t="shared" si="18"/>
        <v>0</v>
      </c>
    </row>
    <row r="977" spans="8:10" x14ac:dyDescent="0.2">
      <c r="H977">
        <v>968</v>
      </c>
      <c r="I977" s="24">
        <v>2990297297.4545774</v>
      </c>
      <c r="J977">
        <f t="shared" si="18"/>
        <v>0</v>
      </c>
    </row>
    <row r="978" spans="8:10" x14ac:dyDescent="0.2">
      <c r="H978">
        <v>969</v>
      </c>
      <c r="I978" s="24">
        <v>3157198547.0068707</v>
      </c>
      <c r="J978">
        <f t="shared" si="18"/>
        <v>0</v>
      </c>
    </row>
    <row r="979" spans="8:10" x14ac:dyDescent="0.2">
      <c r="H979">
        <v>970</v>
      </c>
      <c r="I979" s="24">
        <v>3060189585.6115785</v>
      </c>
      <c r="J979">
        <f t="shared" si="18"/>
        <v>0</v>
      </c>
    </row>
    <row r="980" spans="8:10" x14ac:dyDescent="0.2">
      <c r="H980">
        <v>971</v>
      </c>
      <c r="I980" s="24">
        <v>3029664287.9826355</v>
      </c>
      <c r="J980">
        <f t="shared" si="18"/>
        <v>0</v>
      </c>
    </row>
    <row r="981" spans="8:10" x14ac:dyDescent="0.2">
      <c r="H981">
        <v>972</v>
      </c>
      <c r="I981" s="24">
        <v>3082849152.6028271</v>
      </c>
      <c r="J981">
        <f t="shared" si="18"/>
        <v>0</v>
      </c>
    </row>
    <row r="982" spans="8:10" x14ac:dyDescent="0.2">
      <c r="H982">
        <v>973</v>
      </c>
      <c r="I982" s="24">
        <v>2934641395.2171631</v>
      </c>
      <c r="J982">
        <f t="shared" si="18"/>
        <v>0</v>
      </c>
    </row>
    <row r="983" spans="8:10" x14ac:dyDescent="0.2">
      <c r="H983">
        <v>974</v>
      </c>
      <c r="I983" s="24">
        <v>3031247927.5763535</v>
      </c>
      <c r="J983">
        <f t="shared" si="18"/>
        <v>0</v>
      </c>
    </row>
    <row r="984" spans="8:10" x14ac:dyDescent="0.2">
      <c r="H984">
        <v>975</v>
      </c>
      <c r="I984" s="24">
        <v>3069999758.3202748</v>
      </c>
      <c r="J984">
        <f t="shared" si="18"/>
        <v>0</v>
      </c>
    </row>
    <row r="985" spans="8:10" x14ac:dyDescent="0.2">
      <c r="H985">
        <v>976</v>
      </c>
      <c r="I985" s="24">
        <v>2982870088.7106709</v>
      </c>
      <c r="J985">
        <f t="shared" si="18"/>
        <v>0</v>
      </c>
    </row>
    <row r="986" spans="8:10" x14ac:dyDescent="0.2">
      <c r="H986">
        <v>977</v>
      </c>
      <c r="I986" s="24">
        <v>3192719731.3097997</v>
      </c>
      <c r="J986">
        <f t="shared" si="18"/>
        <v>0</v>
      </c>
    </row>
    <row r="987" spans="8:10" x14ac:dyDescent="0.2">
      <c r="H987">
        <v>978</v>
      </c>
      <c r="I987" s="24">
        <v>3267519803.8674312</v>
      </c>
      <c r="J987">
        <f t="shared" si="18"/>
        <v>0</v>
      </c>
    </row>
    <row r="988" spans="8:10" x14ac:dyDescent="0.2">
      <c r="H988">
        <v>979</v>
      </c>
      <c r="I988" s="24">
        <v>3041422226.370163</v>
      </c>
      <c r="J988">
        <f t="shared" si="18"/>
        <v>0</v>
      </c>
    </row>
    <row r="989" spans="8:10" x14ac:dyDescent="0.2">
      <c r="H989">
        <v>980</v>
      </c>
      <c r="I989" s="24">
        <v>3071809234.3588443</v>
      </c>
      <c r="J989">
        <f t="shared" si="18"/>
        <v>0</v>
      </c>
    </row>
    <row r="990" spans="8:10" x14ac:dyDescent="0.2">
      <c r="H990">
        <v>981</v>
      </c>
      <c r="I990" s="24">
        <v>3017989237.2978034</v>
      </c>
      <c r="J990">
        <f t="shared" si="18"/>
        <v>0</v>
      </c>
    </row>
    <row r="991" spans="8:10" x14ac:dyDescent="0.2">
      <c r="H991">
        <v>982</v>
      </c>
      <c r="I991" s="24">
        <v>3454904345.9993391</v>
      </c>
      <c r="J991">
        <f t="shared" si="18"/>
        <v>0</v>
      </c>
    </row>
    <row r="992" spans="8:10" x14ac:dyDescent="0.2">
      <c r="H992">
        <v>983</v>
      </c>
      <c r="I992" s="24">
        <v>3268341215.2822556</v>
      </c>
      <c r="J992">
        <f t="shared" si="18"/>
        <v>0</v>
      </c>
    </row>
    <row r="993" spans="8:10" x14ac:dyDescent="0.2">
      <c r="H993">
        <v>984</v>
      </c>
      <c r="I993" s="24">
        <v>3308771690.7892351</v>
      </c>
      <c r="J993">
        <f t="shared" si="18"/>
        <v>0</v>
      </c>
    </row>
    <row r="994" spans="8:10" x14ac:dyDescent="0.2">
      <c r="H994">
        <v>985</v>
      </c>
      <c r="I994" s="24">
        <v>3194284007.6264491</v>
      </c>
      <c r="J994">
        <f t="shared" si="18"/>
        <v>0</v>
      </c>
    </row>
    <row r="995" spans="8:10" x14ac:dyDescent="0.2">
      <c r="H995">
        <v>986</v>
      </c>
      <c r="I995" s="24">
        <v>3330687533.1198077</v>
      </c>
      <c r="J995">
        <f t="shared" si="18"/>
        <v>0</v>
      </c>
    </row>
    <row r="996" spans="8:10" x14ac:dyDescent="0.2">
      <c r="H996">
        <v>987</v>
      </c>
      <c r="I996" s="24">
        <v>3200779459.7556763</v>
      </c>
      <c r="J996">
        <f t="shared" si="18"/>
        <v>0</v>
      </c>
    </row>
    <row r="997" spans="8:10" x14ac:dyDescent="0.2">
      <c r="H997">
        <v>988</v>
      </c>
      <c r="I997" s="24">
        <v>3128765358.9808264</v>
      </c>
      <c r="J997">
        <f t="shared" si="18"/>
        <v>0</v>
      </c>
    </row>
    <row r="998" spans="8:10" x14ac:dyDescent="0.2">
      <c r="H998">
        <v>989</v>
      </c>
      <c r="I998" s="24">
        <v>3043325582.1832271</v>
      </c>
      <c r="J998">
        <f t="shared" si="18"/>
        <v>0</v>
      </c>
    </row>
    <row r="999" spans="8:10" x14ac:dyDescent="0.2">
      <c r="H999">
        <v>990</v>
      </c>
      <c r="I999" s="24">
        <v>3056142082.9332089</v>
      </c>
      <c r="J999">
        <f t="shared" si="18"/>
        <v>0</v>
      </c>
    </row>
    <row r="1000" spans="8:10" x14ac:dyDescent="0.2">
      <c r="H1000">
        <v>991</v>
      </c>
      <c r="I1000" s="24">
        <v>3225485181.541563</v>
      </c>
      <c r="J1000">
        <f t="shared" si="18"/>
        <v>0</v>
      </c>
    </row>
    <row r="1001" spans="8:10" x14ac:dyDescent="0.2">
      <c r="H1001">
        <v>992</v>
      </c>
      <c r="I1001" s="24">
        <v>3066317060.759943</v>
      </c>
      <c r="J1001">
        <f t="shared" si="18"/>
        <v>0</v>
      </c>
    </row>
    <row r="1002" spans="8:10" x14ac:dyDescent="0.2">
      <c r="H1002">
        <v>993</v>
      </c>
      <c r="I1002" s="24">
        <v>3066874005.5638518</v>
      </c>
      <c r="J1002">
        <f t="shared" si="18"/>
        <v>0</v>
      </c>
    </row>
    <row r="1003" spans="8:10" x14ac:dyDescent="0.2">
      <c r="H1003">
        <v>994</v>
      </c>
      <c r="I1003" s="24">
        <v>3056507694.1095676</v>
      </c>
      <c r="J1003">
        <f t="shared" si="18"/>
        <v>0</v>
      </c>
    </row>
    <row r="1004" spans="8:10" x14ac:dyDescent="0.2">
      <c r="H1004">
        <v>995</v>
      </c>
      <c r="I1004" s="24">
        <v>3067828675.6722026</v>
      </c>
      <c r="J1004">
        <f t="shared" si="18"/>
        <v>0</v>
      </c>
    </row>
    <row r="1005" spans="8:10" x14ac:dyDescent="0.2">
      <c r="H1005">
        <v>996</v>
      </c>
      <c r="I1005" s="24">
        <v>2875225304.8722377</v>
      </c>
      <c r="J1005">
        <f t="shared" si="18"/>
        <v>0</v>
      </c>
    </row>
    <row r="1006" spans="8:10" x14ac:dyDescent="0.2">
      <c r="H1006">
        <v>997</v>
      </c>
      <c r="I1006" s="24">
        <v>3402866371.9085598</v>
      </c>
      <c r="J1006">
        <f t="shared" si="18"/>
        <v>0</v>
      </c>
    </row>
    <row r="1007" spans="8:10" x14ac:dyDescent="0.2">
      <c r="H1007">
        <v>998</v>
      </c>
      <c r="I1007" s="24">
        <v>3333327795.4061484</v>
      </c>
      <c r="J1007">
        <f t="shared" si="18"/>
        <v>0</v>
      </c>
    </row>
    <row r="1008" spans="8:10" x14ac:dyDescent="0.2">
      <c r="H1008">
        <v>999</v>
      </c>
      <c r="I1008" s="24">
        <v>3437100649.0912285</v>
      </c>
      <c r="J1008">
        <f t="shared" si="18"/>
        <v>0</v>
      </c>
    </row>
    <row r="1009" spans="8:10" x14ac:dyDescent="0.2">
      <c r="H1009">
        <v>1000</v>
      </c>
      <c r="I1009" s="24">
        <v>2899886300.4386168</v>
      </c>
      <c r="J1009">
        <f t="shared" si="18"/>
        <v>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adee44b2-91fc-40f1-abdd-9cc29351b5fd}" enabled="0" method="" siteId="{adee44b2-91fc-40f1-abdd-9cc29351b5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 Statistics</vt:lpstr>
      <vt:lpstr>Varity A - Carménère</vt:lpstr>
      <vt:lpstr>Varity B - Cabarnet Savignon</vt:lpstr>
      <vt:lpstr>Varity C - Syrah</vt:lpstr>
      <vt:lpstr>NPV - Allt.1</vt:lpstr>
      <vt:lpstr>NPV - Allt.2</vt:lpstr>
      <vt:lpstr>NPV - Allt.3</vt:lpstr>
      <vt:lpstr>NPV - Allt.4</vt:lpstr>
      <vt:lpstr>NPV - Allt5.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Olsen, Julie</dc:creator>
  <cp:lastModifiedBy>(Student) Olsen, Julie</cp:lastModifiedBy>
  <dcterms:created xsi:type="dcterms:W3CDTF">2025-03-03T11:35:52Z</dcterms:created>
  <dcterms:modified xsi:type="dcterms:W3CDTF">2025-05-23T05:03:48Z</dcterms:modified>
</cp:coreProperties>
</file>